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A26B2F3A-61F1-4A69-B7EA-6C50501FC0EB}" xr6:coauthVersionLast="47" xr6:coauthVersionMax="47" xr10:uidLastSave="{00000000-0000-0000-0000-000000000000}"/>
  <bookViews>
    <workbookView xWindow="-105" yWindow="0" windowWidth="14610" windowHeight="15585" tabRatio="692" xr2:uid="{00000000-000D-0000-FFFF-FFFF00000000}"/>
  </bookViews>
  <sheets>
    <sheet name="Hoja1" sheetId="1" r:id="rId1"/>
    <sheet name="Conteo" sheetId="2" r:id="rId2"/>
    <sheet name="Temas" sheetId="4" r:id="rId3"/>
    <sheet name="Estrategia" sheetId="5" r:id="rId4"/>
  </sheets>
  <definedNames>
    <definedName name="_xlnm._FilterDatabase" localSheetId="0" hidden="1">Hoja1!$A$1:$Q$2456</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56" i="1" l="1"/>
  <c r="A2456" i="1"/>
  <c r="B2455" i="1"/>
  <c r="A2455" i="1"/>
  <c r="B2454" i="1"/>
  <c r="A2454" i="1"/>
  <c r="B2453" i="1"/>
  <c r="A2453" i="1"/>
  <c r="B2452" i="1"/>
  <c r="A2452" i="1"/>
  <c r="B2451" i="1"/>
  <c r="A2451" i="1"/>
  <c r="B2450" i="1"/>
  <c r="A2450" i="1"/>
  <c r="B2449" i="1"/>
  <c r="A2449" i="1"/>
  <c r="B2448" i="1"/>
  <c r="A2448" i="1"/>
  <c r="B2447" i="1"/>
  <c r="A2447" i="1"/>
  <c r="B2446" i="1"/>
  <c r="A2446" i="1"/>
  <c r="B2445" i="1"/>
  <c r="A2445" i="1"/>
  <c r="B2444" i="1"/>
  <c r="A2444" i="1"/>
  <c r="B2443" i="1"/>
  <c r="A2443" i="1"/>
  <c r="B2442" i="1"/>
  <c r="A2442" i="1"/>
  <c r="B2441" i="1"/>
  <c r="A2441" i="1"/>
  <c r="B2440" i="1"/>
  <c r="A2440" i="1"/>
  <c r="B2439" i="1"/>
  <c r="A2439" i="1"/>
  <c r="B2438" i="1"/>
  <c r="A2438" i="1"/>
  <c r="B2437" i="1"/>
  <c r="A2437" i="1"/>
  <c r="B2436" i="1"/>
  <c r="A2436" i="1"/>
  <c r="B2435" i="1"/>
  <c r="A2435" i="1"/>
  <c r="B2434" i="1"/>
  <c r="A2434" i="1"/>
  <c r="B2433" i="1"/>
  <c r="A2433" i="1"/>
  <c r="B2432" i="1"/>
  <c r="A2432" i="1"/>
  <c r="B2431" i="1"/>
  <c r="A2431" i="1"/>
  <c r="B2430" i="1"/>
  <c r="A2430" i="1"/>
  <c r="B2429" i="1"/>
  <c r="A2429" i="1"/>
  <c r="B2428" i="1"/>
  <c r="A2428" i="1"/>
  <c r="B2427" i="1"/>
  <c r="A2427" i="1"/>
  <c r="B2426" i="1"/>
  <c r="A2426" i="1"/>
  <c r="B2425" i="1"/>
  <c r="A2425" i="1"/>
  <c r="B2424" i="1"/>
  <c r="A2424" i="1"/>
  <c r="B2423" i="1"/>
  <c r="A2423" i="1"/>
  <c r="B2422" i="1"/>
  <c r="A2422" i="1"/>
  <c r="A2381" i="1"/>
  <c r="B2381" i="1"/>
  <c r="A2382" i="1"/>
  <c r="B2382" i="1"/>
  <c r="A2383" i="1"/>
  <c r="B2383" i="1"/>
  <c r="A2384" i="1"/>
  <c r="B2384" i="1"/>
  <c r="A2385" i="1"/>
  <c r="B2385" i="1"/>
  <c r="A2386" i="1"/>
  <c r="B2386" i="1"/>
  <c r="A2387" i="1"/>
  <c r="B2387" i="1"/>
  <c r="A2388" i="1"/>
  <c r="B2388" i="1"/>
  <c r="A2389" i="1"/>
  <c r="B2389" i="1"/>
  <c r="A2390" i="1"/>
  <c r="B2390" i="1"/>
  <c r="A2391" i="1"/>
  <c r="B2391" i="1"/>
  <c r="A2392" i="1"/>
  <c r="B2392" i="1"/>
  <c r="A2393" i="1"/>
  <c r="B2393" i="1"/>
  <c r="A2394" i="1"/>
  <c r="B2394" i="1"/>
  <c r="A2395" i="1"/>
  <c r="B2395" i="1"/>
  <c r="A2396" i="1"/>
  <c r="B2396" i="1"/>
  <c r="A2397" i="1"/>
  <c r="B2397" i="1"/>
  <c r="A2398" i="1"/>
  <c r="B2398" i="1"/>
  <c r="A2399" i="1"/>
  <c r="B2399" i="1"/>
  <c r="A2400" i="1"/>
  <c r="B2400" i="1"/>
  <c r="A2401" i="1"/>
  <c r="B2401" i="1"/>
  <c r="A2402" i="1"/>
  <c r="B2402" i="1"/>
  <c r="A2403" i="1"/>
  <c r="B2403" i="1"/>
  <c r="A2404" i="1"/>
  <c r="B2404" i="1"/>
  <c r="A2405" i="1"/>
  <c r="B2405" i="1"/>
  <c r="A2406" i="1"/>
  <c r="B2406" i="1"/>
  <c r="A2407" i="1"/>
  <c r="B2407" i="1"/>
  <c r="A2408" i="1"/>
  <c r="B2408" i="1"/>
  <c r="A2409" i="1"/>
  <c r="B2409" i="1"/>
  <c r="A2410" i="1"/>
  <c r="B2410" i="1"/>
  <c r="A2411" i="1"/>
  <c r="B2411" i="1"/>
  <c r="A2412" i="1"/>
  <c r="B2412" i="1"/>
  <c r="A2413" i="1"/>
  <c r="B2413" i="1"/>
  <c r="A2414" i="1"/>
  <c r="B2414" i="1"/>
  <c r="A2415" i="1"/>
  <c r="B2415" i="1"/>
  <c r="A2416" i="1"/>
  <c r="B2416" i="1"/>
  <c r="A2417" i="1"/>
  <c r="B2417" i="1"/>
  <c r="A2418" i="1"/>
  <c r="B2418" i="1"/>
  <c r="A2419" i="1"/>
  <c r="B2419" i="1"/>
  <c r="A2420" i="1"/>
  <c r="B2420" i="1"/>
  <c r="A2421" i="1"/>
  <c r="B2421" i="1"/>
  <c r="B2380" i="1"/>
  <c r="A2380" i="1"/>
  <c r="B2379" i="1"/>
  <c r="A2379" i="1"/>
  <c r="B2378" i="1"/>
  <c r="A2378" i="1"/>
  <c r="B2377" i="1"/>
  <c r="A2377" i="1"/>
  <c r="B2376" i="1"/>
  <c r="A2376" i="1"/>
  <c r="B2375" i="1"/>
  <c r="A2375" i="1"/>
  <c r="B2374" i="1"/>
  <c r="A2374" i="1"/>
  <c r="B2373" i="1"/>
  <c r="A2373" i="1"/>
  <c r="B2372" i="1"/>
  <c r="A2372" i="1"/>
  <c r="B2371" i="1"/>
  <c r="A2371" i="1"/>
  <c r="B2370" i="1"/>
  <c r="A2370" i="1"/>
  <c r="B2369" i="1"/>
  <c r="A2369" i="1"/>
  <c r="B2368" i="1"/>
  <c r="A2368" i="1"/>
  <c r="B2367" i="1"/>
  <c r="A2367" i="1"/>
  <c r="B2366" i="1"/>
  <c r="A2366" i="1"/>
  <c r="B2365" i="1"/>
  <c r="A2365" i="1"/>
  <c r="B2364" i="1"/>
  <c r="A2364" i="1"/>
  <c r="B2363" i="1"/>
  <c r="A2363" i="1"/>
  <c r="B2362" i="1"/>
  <c r="A2362" i="1"/>
  <c r="B2361" i="1"/>
  <c r="A2361" i="1"/>
  <c r="B2360" i="1"/>
  <c r="A2360" i="1"/>
  <c r="B2359" i="1"/>
  <c r="A2359" i="1"/>
  <c r="B2358" i="1"/>
  <c r="A2358" i="1"/>
  <c r="B2357" i="1"/>
  <c r="A2357" i="1"/>
  <c r="B2356" i="1"/>
  <c r="A2356" i="1"/>
  <c r="B2355" i="1"/>
  <c r="A2355" i="1"/>
  <c r="B2354" i="1"/>
  <c r="A2354" i="1"/>
  <c r="B2353" i="1"/>
  <c r="A2353" i="1"/>
  <c r="B2352" i="1"/>
  <c r="B2351" i="1"/>
  <c r="B2350" i="1"/>
  <c r="B2349" i="1"/>
  <c r="B2348" i="1"/>
  <c r="B2347" i="1"/>
  <c r="B2346" i="1"/>
  <c r="B2345" i="1"/>
  <c r="B2344" i="1"/>
  <c r="C6" i="5"/>
  <c r="D6" i="5"/>
  <c r="E6" i="5"/>
  <c r="F6" i="5"/>
  <c r="B10" i="5"/>
  <c r="B9" i="5"/>
  <c r="B8" i="5"/>
  <c r="B6" i="5"/>
  <c r="B4" i="4"/>
  <c r="B5" i="4" s="1"/>
  <c r="B6" i="4" l="1"/>
  <c r="B7" i="4"/>
  <c r="B8" i="4" l="1"/>
  <c r="B2300" i="1" l="1"/>
  <c r="B2301" i="1"/>
  <c r="B2299" i="1"/>
  <c r="B2238" i="1"/>
  <c r="B2237" i="1"/>
  <c r="B2236" i="1"/>
  <c r="B9" i="4"/>
  <c r="B10" i="4" l="1"/>
  <c r="B2306" i="1" l="1"/>
  <c r="B2305" i="1"/>
  <c r="B2307" i="1"/>
  <c r="B2241" i="1"/>
  <c r="B2239" i="1"/>
  <c r="B2240" i="1"/>
  <c r="B11" i="4"/>
  <c r="B2336" i="1" l="1"/>
  <c r="B2337" i="1"/>
  <c r="B2267" i="1"/>
  <c r="B2338" i="1"/>
  <c r="B2266" i="1"/>
  <c r="B2341" i="1"/>
  <c r="B2265" i="1"/>
  <c r="B2263" i="1"/>
  <c r="B2264" i="1"/>
  <c r="B12" i="4"/>
  <c r="B2312" i="1" l="1"/>
  <c r="B2313" i="1"/>
  <c r="B2247" i="1"/>
  <c r="B2246" i="1"/>
  <c r="B2339" i="1"/>
  <c r="B2316" i="1"/>
  <c r="B2278" i="1"/>
  <c r="B2314" i="1"/>
  <c r="B2315" i="1"/>
  <c r="B2249" i="1"/>
  <c r="B2253" i="1"/>
  <c r="B2310" i="1"/>
  <c r="B2276" i="1"/>
  <c r="B2252" i="1"/>
  <c r="B2251" i="1"/>
  <c r="B2250" i="1"/>
  <c r="B2309" i="1"/>
  <c r="B2248" i="1"/>
  <c r="B2311" i="1"/>
  <c r="B13" i="4"/>
  <c r="B2324" i="1" l="1"/>
  <c r="B2256" i="1"/>
  <c r="B2255" i="1"/>
  <c r="B2318" i="1"/>
  <c r="B2258" i="1"/>
  <c r="B2257" i="1"/>
  <c r="B2317" i="1"/>
  <c r="B2254" i="1"/>
  <c r="B2319" i="1"/>
  <c r="B2320" i="1"/>
  <c r="B2332" i="1"/>
  <c r="B2322" i="1"/>
  <c r="B2323" i="1"/>
  <c r="B2321" i="1"/>
  <c r="B2333" i="1"/>
  <c r="B2334" i="1"/>
  <c r="B2335" i="1"/>
  <c r="B14" i="4"/>
  <c r="B2325" i="1" l="1"/>
  <c r="B2271" i="1"/>
  <c r="B2340" i="1"/>
  <c r="B2330" i="1"/>
  <c r="B2272" i="1"/>
  <c r="B2326" i="1"/>
  <c r="B2270" i="1"/>
  <c r="B2269" i="1"/>
  <c r="B2329" i="1"/>
  <c r="B2274" i="1"/>
  <c r="B2273" i="1"/>
  <c r="B15" i="4"/>
  <c r="B2327" i="1" l="1"/>
  <c r="B2328" i="1"/>
  <c r="B2331" i="1"/>
  <c r="B2275" i="1"/>
  <c r="B16" i="4"/>
  <c r="B17" i="4" l="1"/>
  <c r="B18" i="4" s="1"/>
  <c r="B19" i="4" s="1"/>
  <c r="B2268" i="1" l="1"/>
  <c r="B2277" i="1"/>
  <c r="B20" i="4"/>
  <c r="B2259" i="1" l="1"/>
  <c r="B2261" i="1"/>
  <c r="B2260" i="1"/>
  <c r="B21" i="4"/>
  <c r="B22" i="4" l="1"/>
  <c r="B23" i="4" l="1"/>
  <c r="B24" i="4" l="1"/>
  <c r="B25" i="4" l="1"/>
  <c r="B26" i="4" s="1"/>
  <c r="B27" i="4" s="1"/>
  <c r="B2220" i="1" l="1"/>
  <c r="B2176" i="1"/>
  <c r="B2219" i="1"/>
  <c r="B2150" i="1"/>
  <c r="B1709" i="1"/>
  <c r="B2217" i="1"/>
  <c r="B1683" i="1"/>
  <c r="B2245" i="1"/>
  <c r="B2146" i="1"/>
  <c r="B2145" i="1"/>
  <c r="B2342" i="1"/>
  <c r="B2144" i="1"/>
  <c r="B2242" i="1"/>
  <c r="B1738" i="1"/>
  <c r="B2218" i="1"/>
  <c r="B2149" i="1"/>
  <c r="B1684" i="1"/>
  <c r="B2147" i="1"/>
  <c r="B2216" i="1"/>
  <c r="B2244" i="1"/>
  <c r="B2215" i="1"/>
  <c r="B2243" i="1"/>
  <c r="B2189" i="1"/>
  <c r="B2221" i="1"/>
  <c r="B2343" i="1"/>
  <c r="B2188" i="1"/>
  <c r="B2143" i="1"/>
  <c r="B2186" i="1"/>
  <c r="B2222" i="1"/>
  <c r="B2308" i="1"/>
  <c r="B2187" i="1"/>
  <c r="B2101" i="1"/>
  <c r="B2223" i="1"/>
  <c r="B2185" i="1"/>
  <c r="B2184" i="1"/>
  <c r="B1734" i="1"/>
  <c r="B2080" i="1"/>
  <c r="B28" i="4"/>
  <c r="B29" i="4" s="1"/>
  <c r="B2078" i="1"/>
  <c r="B2303" i="1" l="1"/>
  <c r="B2280" i="1"/>
  <c r="B2302" i="1"/>
  <c r="B2304" i="1"/>
  <c r="B2279" i="1"/>
  <c r="B2262" i="1"/>
  <c r="B30" i="4"/>
  <c r="B31" i="4" s="1"/>
  <c r="B32" i="4" s="1"/>
  <c r="B33" i="4" s="1"/>
  <c r="B34" i="4" s="1"/>
  <c r="B35" i="4" s="1"/>
  <c r="B36" i="4" s="1"/>
  <c r="B37" i="4" s="1"/>
</calcChain>
</file>

<file path=xl/sharedStrings.xml><?xml version="1.0" encoding="utf-8"?>
<sst xmlns="http://schemas.openxmlformats.org/spreadsheetml/2006/main" count="20506" uniqueCount="9841">
  <si>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</si>
  <si>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</si>
  <si>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</si>
  <si>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</si>
  <si>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</si>
  <si>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</si>
  <si>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</si>
  <si>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</si>
  <si>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</si>
  <si>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</si>
  <si>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</si>
  <si>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</si>
  <si>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</si>
  <si>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</si>
  <si>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</si>
  <si>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</si>
  <si>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</si>
  <si>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</si>
  <si>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</si>
  <si>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</si>
  <si>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</si>
  <si>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</si>
  <si>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</si>
  <si>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</si>
  <si>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</si>
  <si>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</si>
  <si>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</si>
  <si>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</si>
  <si>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</si>
  <si>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</si>
  <si>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</si>
  <si>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</si>
  <si>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</si>
  <si>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</si>
  <si>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</si>
  <si>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</si>
  <si>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</si>
  <si>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</si>
  <si>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</si>
  <si>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</si>
  <si>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</si>
  <si>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</si>
  <si>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</si>
  <si>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</si>
  <si>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</si>
  <si>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</si>
  <si>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</si>
  <si>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</si>
  <si>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</si>
  <si>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</si>
  <si>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</si>
  <si>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</si>
  <si>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</si>
  <si>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</si>
  <si>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</si>
  <si>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</si>
  <si>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</si>
  <si>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</si>
  <si>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</si>
  <si>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</si>
  <si>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</si>
  <si>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</si>
  <si>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</si>
  <si>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</si>
  <si>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</si>
  <si>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</si>
  <si>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</si>
  <si>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</si>
  <si>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</si>
  <si>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</si>
  <si>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</si>
  <si>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</si>
  <si>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</si>
  <si>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</si>
  <si>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</si>
  <si>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</si>
  <si>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</si>
  <si>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</si>
  <si>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</si>
  <si>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</si>
  <si>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</si>
  <si>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</si>
  <si>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</si>
  <si>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</si>
  <si>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</si>
  <si>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</si>
  <si>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</si>
  <si>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</si>
  <si>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</si>
  <si>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</si>
  <si>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</si>
  <si>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</si>
  <si>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</si>
  <si>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</si>
  <si>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</si>
  <si>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</si>
  <si>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</si>
  <si>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</si>
  <si>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</si>
  <si>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</si>
  <si>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</si>
  <si>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</si>
  <si>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</si>
  <si>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</si>
  <si>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</si>
  <si>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</si>
  <si>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</si>
  <si>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</si>
  <si>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</si>
  <si>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</si>
  <si>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</si>
  <si>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</si>
  <si>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</si>
  <si>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</si>
  <si>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</si>
  <si>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</si>
  <si>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</si>
  <si>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</si>
  <si>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</si>
  <si>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</si>
  <si>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</si>
  <si>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</si>
  <si>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</si>
  <si>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</si>
  <si>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</si>
  <si>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</si>
  <si>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</si>
  <si>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</si>
  <si>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</si>
  <si>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</si>
  <si>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</si>
  <si>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</si>
  <si>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</si>
  <si>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</si>
  <si>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</si>
  <si>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</si>
  <si>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</si>
  <si>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</si>
  <si>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</si>
  <si>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</si>
  <si>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</si>
  <si>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</si>
  <si>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</si>
  <si>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</si>
  <si>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</si>
  <si>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</si>
  <si>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</si>
  <si>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</si>
  <si>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</si>
  <si>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</si>
  <si>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</si>
  <si>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</si>
  <si>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</si>
  <si>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</si>
  <si>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</si>
  <si>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</si>
  <si>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</si>
  <si>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</si>
  <si>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</si>
  <si>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</si>
  <si>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</si>
  <si>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</si>
  <si>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</si>
  <si>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</si>
  <si>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</si>
  <si>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</si>
  <si>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</si>
  <si>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</si>
  <si>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</si>
  <si>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</si>
  <si>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</si>
  <si>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</si>
  <si>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</si>
  <si>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</si>
  <si>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</si>
  <si>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</si>
  <si>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</si>
  <si>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</si>
  <si>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</si>
  <si>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</si>
  <si>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</si>
  <si>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</si>
  <si>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</si>
  <si>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</si>
  <si>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</si>
  <si>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</si>
  <si>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</si>
  <si>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</si>
  <si>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</si>
  <si>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</si>
  <si>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</si>
  <si>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</si>
  <si>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</si>
  <si>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</si>
  <si>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</si>
  <si>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</si>
  <si>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</si>
  <si>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</si>
  <si>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</si>
  <si>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</si>
  <si>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</si>
  <si>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</si>
  <si>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</si>
  <si>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</si>
  <si>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</si>
  <si>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</si>
  <si>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</si>
  <si>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</si>
  <si>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</si>
  <si>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</si>
  <si>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</si>
  <si>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</si>
  <si>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</si>
  <si>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</si>
  <si>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</si>
  <si>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</si>
  <si>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</si>
  <si>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</si>
  <si>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</si>
  <si>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</si>
  <si>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</si>
  <si>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</si>
  <si>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</si>
  <si>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</si>
  <si>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</si>
  <si>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</si>
  <si>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</si>
  <si>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</si>
  <si>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</si>
  <si>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</si>
  <si>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</si>
  <si>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</si>
  <si>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</si>
  <si>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</si>
  <si>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</si>
  <si>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</si>
  <si>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</si>
  <si>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</si>
  <si>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</si>
  <si>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</si>
  <si>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</si>
  <si>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</si>
  <si>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</si>
  <si>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</si>
  <si>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</si>
  <si>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</si>
  <si>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</si>
  <si>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</si>
  <si>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</si>
  <si>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</si>
  <si>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</si>
  <si>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</si>
  <si>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</si>
  <si>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</si>
  <si>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</si>
  <si>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</si>
  <si>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</si>
  <si>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</si>
  <si>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</si>
  <si>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</si>
  <si>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</si>
  <si>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</si>
  <si>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</si>
  <si>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</si>
  <si>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</si>
  <si>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</si>
  <si>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</si>
  <si>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</si>
  <si>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</si>
  <si>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</si>
  <si>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</si>
  <si>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</si>
  <si>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</si>
  <si>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</si>
  <si>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</si>
  <si>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</si>
  <si>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</si>
  <si>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</si>
  <si>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</si>
  <si>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</si>
  <si>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</si>
  <si>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</si>
  <si>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</si>
  <si>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</si>
  <si>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</si>
  <si>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</si>
  <si>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</si>
  <si>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</si>
  <si>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</si>
  <si>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</si>
  <si>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</si>
  <si>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</si>
  <si>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</si>
  <si>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</si>
  <si>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</si>
  <si>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</si>
  <si>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</si>
  <si>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</si>
  <si>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</si>
  <si>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</si>
  <si>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</si>
  <si>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</si>
  <si>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</si>
  <si>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</si>
  <si>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</si>
  <si>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</si>
  <si>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</si>
  <si>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</si>
  <si>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</si>
  <si>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</si>
  <si>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</si>
  <si>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</si>
  <si>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</si>
  <si>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</si>
  <si>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</si>
  <si>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</si>
  <si>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</si>
  <si>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</si>
  <si>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</si>
  <si>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</si>
  <si>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</si>
  <si>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</si>
  <si>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</si>
  <si>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</si>
  <si>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</si>
  <si>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</si>
  <si>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</si>
  <si>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</si>
  <si>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</si>
  <si>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</si>
  <si>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</si>
  <si>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</si>
  <si>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</si>
  <si>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</si>
  <si>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</si>
  <si>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</si>
  <si>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</si>
  <si>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</si>
  <si>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</si>
  <si>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</si>
  <si>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</si>
  <si>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</si>
  <si>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</si>
  <si>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</si>
  <si>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</si>
  <si>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</si>
  <si>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</si>
  <si>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</si>
  <si>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</si>
  <si>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</si>
  <si>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</si>
  <si>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</si>
  <si>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</si>
  <si>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</si>
  <si>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</si>
  <si>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</si>
  <si>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</si>
  <si>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</si>
  <si>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</si>
  <si>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</si>
  <si>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</si>
  <si>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</si>
  <si>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</si>
  <si>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</si>
  <si>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</si>
  <si>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</si>
  <si>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</si>
  <si>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</si>
  <si>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</si>
  <si>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</si>
  <si>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</si>
  <si>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</si>
  <si>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</si>
  <si>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</si>
  <si>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</si>
  <si>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</si>
  <si>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</si>
  <si>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</si>
  <si>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</si>
  <si>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</si>
  <si>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</si>
  <si>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</si>
  <si>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</si>
  <si>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</si>
  <si>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</si>
  <si>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</si>
  <si>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</si>
  <si>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</si>
  <si>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</si>
  <si>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</si>
  <si>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</si>
  <si>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</si>
  <si>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</si>
  <si>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</si>
  <si>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</si>
  <si>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</si>
  <si>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</si>
  <si>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</si>
  <si>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</si>
  <si>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</si>
  <si>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</si>
  <si>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</si>
  <si>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</si>
  <si>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</si>
  <si>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</si>
  <si>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</si>
  <si>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</si>
  <si>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</si>
  <si>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</si>
  <si>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</si>
  <si>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</si>
  <si>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</si>
  <si>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</si>
  <si>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</si>
  <si>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</si>
  <si>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</si>
  <si>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</si>
  <si>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</si>
  <si>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</si>
  <si>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</si>
  <si>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</si>
  <si>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</si>
  <si>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</si>
  <si>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</si>
  <si>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</si>
  <si>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</si>
  <si>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</si>
  <si>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</si>
  <si>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</si>
  <si>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</si>
  <si>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</si>
  <si>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</si>
  <si>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</si>
  <si>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</si>
  <si>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</si>
  <si>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</si>
  <si>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</si>
  <si>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</si>
  <si>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</si>
  <si>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</si>
  <si>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</si>
  <si>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</si>
  <si>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</si>
  <si>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</si>
  <si>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</si>
  <si>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</si>
  <si>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</si>
  <si>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</si>
  <si>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</si>
  <si>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</si>
  <si>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</si>
  <si>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</si>
  <si>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</si>
  <si>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</si>
  <si>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</si>
  <si>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</si>
  <si>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</si>
  <si>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</si>
  <si>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</si>
  <si>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</si>
  <si>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</si>
  <si>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</si>
  <si>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</si>
  <si>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</si>
  <si>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</si>
  <si>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</si>
  <si>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</si>
  <si>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</si>
  <si>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</si>
  <si>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</si>
  <si>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</si>
  <si>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</si>
  <si>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</si>
  <si>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</si>
  <si>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</si>
  <si>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</si>
  <si>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</si>
  <si>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</si>
  <si>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</si>
  <si>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</si>
  <si>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</si>
  <si>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</si>
  <si>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</si>
  <si>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</si>
  <si>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</si>
  <si>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</si>
  <si>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</si>
  <si>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</si>
  <si>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</si>
  <si>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</si>
  <si>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</si>
  <si>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</si>
  <si>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</si>
  <si>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</si>
  <si>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</si>
  <si>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</si>
  <si>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</si>
  <si>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</si>
  <si>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</si>
  <si>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</si>
  <si>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</si>
  <si>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</si>
  <si>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</si>
  <si>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</si>
  <si>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</si>
  <si>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</si>
  <si>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</si>
  <si>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</si>
  <si>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</si>
  <si>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</si>
  <si>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</si>
  <si>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</si>
  <si>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</si>
  <si>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</si>
  <si>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</si>
  <si>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</si>
  <si>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</si>
  <si>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</si>
  <si>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</si>
  <si>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</si>
  <si>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</si>
  <si>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</si>
  <si>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</si>
  <si>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</si>
  <si>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</si>
  <si>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</si>
  <si>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</si>
  <si>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</si>
  <si>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</si>
  <si>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</si>
  <si>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</si>
  <si>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</si>
  <si>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</si>
  <si>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</si>
  <si>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</si>
  <si>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</si>
  <si>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</si>
  <si>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</si>
  <si>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</si>
  <si>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</si>
  <si>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</si>
  <si>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</si>
  <si>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</si>
  <si>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</si>
  <si>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</si>
  <si>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</si>
  <si>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</si>
  <si>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</si>
  <si>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</si>
  <si>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</si>
  <si>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</si>
  <si>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</si>
  <si>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</si>
  <si>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</si>
  <si>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</si>
  <si>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</si>
  <si>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</si>
  <si>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Las entidades de derecho privado, no vinculados o independientes de las Administraciones Públicas.</t>
  </si>
  <si>
    <t>Todas ellas a, b,  integran el sector público institucional a efectos de la Ley 39/2015 de 1 de Octubre del Procedimiento Administrativo común de las Administraciones Públicas.</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</si>
  <si>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</si>
  <si>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</si>
  <si>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</si>
  <si>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</si>
  <si>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</si>
  <si>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</si>
  <si>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</si>
  <si>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</si>
  <si>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</si>
  <si>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</si>
  <si>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</si>
  <si>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</si>
  <si>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</si>
  <si>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</si>
  <si>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</si>
  <si>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</si>
  <si>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</si>
  <si>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</si>
  <si>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</si>
  <si>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</si>
  <si>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</si>
  <si>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</si>
  <si>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</si>
  <si>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</si>
  <si>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</si>
  <si>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</si>
  <si>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</si>
  <si>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</si>
  <si>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</si>
  <si>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</si>
  <si>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</si>
  <si>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</si>
  <si>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</si>
  <si>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</si>
  <si>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</si>
  <si>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</si>
  <si>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</si>
  <si>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</si>
  <si>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</si>
  <si>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</si>
  <si>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</si>
  <si>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</si>
  <si>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</si>
  <si>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</si>
  <si>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</si>
  <si>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</si>
  <si>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</si>
  <si>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</si>
  <si>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</si>
  <si>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</si>
  <si>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</si>
  <si>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</si>
  <si>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</si>
  <si>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</si>
  <si>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</si>
  <si>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</si>
  <si>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</si>
  <si>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</si>
  <si>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</si>
  <si>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</si>
  <si>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</si>
  <si>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</si>
  <si>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</si>
  <si>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</si>
  <si>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</si>
  <si>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</si>
  <si>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</si>
  <si>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</si>
  <si>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</si>
  <si>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</si>
  <si>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</si>
  <si>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</si>
  <si>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</si>
  <si>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</si>
  <si>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</si>
  <si>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</si>
  <si>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</si>
  <si>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</si>
  <si>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</si>
  <si>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</si>
  <si>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</si>
  <si>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</si>
  <si>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</si>
  <si>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</si>
  <si>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</si>
  <si>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</si>
  <si>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</si>
  <si>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</si>
  <si>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</si>
  <si>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</si>
  <si>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</si>
  <si>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</si>
  <si>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</si>
  <si>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</si>
  <si>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</si>
  <si>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</si>
  <si>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</si>
  <si>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</si>
  <si>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</si>
  <si>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</si>
  <si>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</si>
  <si>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</si>
  <si>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</si>
  <si>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</si>
  <si>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</si>
  <si>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</si>
  <si>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</si>
  <si>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</si>
  <si>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</si>
  <si>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</si>
  <si>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</si>
  <si>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</si>
  <si>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</si>
  <si>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</si>
  <si>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</si>
  <si>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</si>
  <si>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</si>
  <si>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</si>
  <si>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</si>
  <si>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</si>
  <si>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</si>
  <si>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</si>
  <si>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</si>
  <si>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</si>
  <si>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</si>
  <si>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</si>
  <si>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</si>
  <si>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</si>
  <si>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</si>
  <si>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</si>
  <si>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</si>
  <si>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</si>
  <si>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</si>
  <si>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</si>
  <si>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</si>
  <si>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</si>
  <si>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</si>
  <si>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</si>
  <si>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</si>
  <si>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</si>
  <si>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</si>
  <si>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</si>
  <si>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</si>
  <si>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</si>
  <si>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</si>
  <si>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</si>
  <si>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</si>
  <si>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</si>
  <si>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</si>
  <si>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</si>
  <si>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</si>
  <si>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</si>
  <si>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</si>
  <si>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</si>
  <si>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</si>
  <si>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</si>
  <si>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</si>
  <si>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</si>
  <si>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</si>
  <si>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</si>
  <si>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</si>
  <si>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</si>
  <si>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</si>
  <si>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</si>
  <si>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</si>
  <si>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</si>
  <si>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</si>
  <si>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</si>
  <si>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</si>
  <si>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</si>
  <si>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</si>
  <si>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</si>
  <si>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</si>
  <si>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</si>
  <si>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</si>
  <si>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</si>
  <si>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</si>
  <si>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</si>
  <si>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</si>
  <si>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</si>
  <si>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</si>
  <si>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</si>
  <si>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</si>
  <si>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</si>
  <si>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</si>
  <si>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</si>
  <si>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</si>
  <si>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</si>
  <si>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</si>
  <si>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</si>
  <si>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</si>
  <si>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</si>
  <si>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</si>
  <si>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</si>
  <si>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</si>
  <si>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</si>
  <si>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</si>
  <si>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</si>
  <si>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</si>
  <si>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</si>
  <si>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</si>
  <si>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</si>
  <si>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</si>
  <si>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</si>
  <si>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</si>
  <si>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</si>
  <si>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</si>
  <si>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</si>
  <si>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</si>
  <si>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</si>
  <si>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</si>
  <si>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</si>
  <si>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</si>
  <si>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</si>
  <si>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</si>
  <si>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</si>
  <si>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</si>
  <si>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</si>
  <si>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</si>
  <si>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</si>
  <si>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</si>
  <si>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</si>
  <si>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</si>
  <si>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</si>
  <si>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</si>
  <si>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</si>
  <si>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</si>
  <si>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</si>
  <si>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</si>
  <si>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</si>
  <si>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</si>
  <si>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</si>
  <si>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</si>
  <si>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</si>
  <si>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</si>
  <si>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</si>
  <si>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</si>
  <si>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</si>
  <si>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</si>
  <si>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</si>
  <si>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</si>
  <si>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</si>
  <si>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</si>
  <si>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</si>
  <si>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</si>
  <si>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</si>
  <si>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</si>
  <si>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</si>
  <si>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</si>
  <si>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</si>
  <si>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</si>
  <si>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</si>
  <si>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</si>
  <si>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</si>
  <si>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</si>
  <si>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</si>
  <si>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</si>
  <si>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</si>
  <si>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</si>
  <si>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</si>
  <si>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</si>
  <si>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</si>
  <si>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</si>
  <si>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</si>
  <si>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</si>
  <si>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</si>
  <si>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</si>
  <si>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</si>
  <si>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</si>
  <si>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</si>
  <si>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</si>
  <si>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</si>
  <si>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</si>
  <si>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</si>
  <si>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</si>
  <si>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</si>
  <si>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</si>
  <si>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</si>
  <si>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</si>
  <si>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</si>
  <si>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</si>
  <si>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</si>
  <si>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</si>
  <si>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</si>
  <si>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</si>
  <si>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</si>
  <si>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</si>
  <si>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</si>
  <si>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</si>
  <si>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</si>
  <si>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</si>
  <si>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</si>
  <si>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</si>
  <si>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</si>
  <si>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</si>
  <si>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</si>
  <si>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</si>
  <si>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</si>
  <si>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</si>
  <si>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</si>
  <si>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</si>
  <si>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</si>
  <si>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</si>
  <si>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</si>
  <si>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</si>
  <si>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</si>
  <si>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</si>
  <si>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</si>
  <si>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</si>
  <si>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</si>
  <si>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</si>
  <si>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</si>
  <si>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</si>
  <si>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</si>
  <si>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</si>
  <si>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</si>
  <si>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</si>
  <si>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</si>
  <si>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</si>
  <si>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</si>
  <si>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</si>
  <si>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</si>
  <si>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</si>
  <si>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</si>
  <si>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</si>
  <si>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</si>
  <si>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</si>
  <si>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</si>
  <si>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</si>
  <si>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</si>
  <si>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</si>
  <si>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</si>
  <si>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</si>
  <si>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</si>
  <si>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</si>
  <si>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</si>
  <si>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</si>
  <si>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</si>
  <si>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</si>
  <si>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</si>
  <si>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</si>
  <si>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</si>
  <si>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</si>
  <si>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</si>
  <si>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</si>
  <si>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</si>
  <si>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</si>
  <si>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</si>
  <si>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</si>
  <si>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</si>
  <si>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</si>
  <si>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</si>
  <si>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</si>
  <si>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</si>
  <si>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</si>
  <si>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</si>
  <si>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</si>
  <si>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</si>
  <si>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</si>
  <si>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</si>
  <si>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</si>
  <si>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</si>
  <si>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</si>
  <si>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</si>
  <si>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</si>
  <si>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</si>
  <si>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</si>
  <si>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</si>
  <si>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</si>
  <si>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</si>
  <si>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</si>
  <si>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</si>
  <si>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</si>
  <si>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En los Ayuntamientos, con carácter general,  las funciones de ordenación de pagos:</t>
  </si>
  <si>
    <t>Competen al Alcalde.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</si>
  <si>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</si>
  <si>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</si>
  <si>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</si>
  <si>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</si>
  <si>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</si>
  <si>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</si>
  <si>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</si>
  <si>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</si>
  <si>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</si>
  <si>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</si>
  <si>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</si>
  <si>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</si>
  <si>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</si>
  <si>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</si>
  <si>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</si>
  <si>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</si>
  <si>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</si>
  <si>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</si>
  <si>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</si>
  <si>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</si>
  <si>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</si>
  <si>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</si>
  <si>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</si>
  <si>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</si>
  <si>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</si>
  <si>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</si>
  <si>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</si>
  <si>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</si>
  <si>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</si>
  <si>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Entre otros, a los efectos de este impuesto  se considerarán aptos los vehículos provistos de permisos temporales y matrícula turística.</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</si>
  <si>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</si>
  <si>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</si>
  <si>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</si>
  <si>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</si>
  <si>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</si>
  <si>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</si>
  <si>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</si>
  <si>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</si>
  <si>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</si>
  <si>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</si>
  <si>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</si>
  <si>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</si>
  <si>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</si>
  <si>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</si>
  <si>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</si>
  <si>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</si>
  <si>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</si>
  <si>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</si>
  <si>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</si>
  <si>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</si>
  <si>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</si>
  <si>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</si>
  <si>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</si>
  <si>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</si>
  <si>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</si>
  <si>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</si>
  <si>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</si>
  <si>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</si>
  <si>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</si>
  <si>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</si>
  <si>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</si>
  <si>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</si>
  <si>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</si>
  <si>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</si>
  <si>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</si>
  <si>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</si>
  <si>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</si>
  <si>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</si>
  <si>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</si>
  <si>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</si>
  <si>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</si>
  <si>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</si>
  <si>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</si>
  <si>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</si>
  <si>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</si>
  <si>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</si>
  <si>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</si>
  <si>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</si>
  <si>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</si>
  <si>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</si>
  <si>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</si>
  <si>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</si>
  <si>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</si>
  <si>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</si>
  <si>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</si>
  <si>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</si>
  <si>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</si>
  <si>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</si>
  <si>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</si>
  <si>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</si>
  <si>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</si>
  <si>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</si>
  <si>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</si>
  <si>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</si>
  <si>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</si>
  <si>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</si>
  <si>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</si>
  <si>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</si>
  <si>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</si>
  <si>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</si>
  <si>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</si>
  <si>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</si>
  <si>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</si>
  <si>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</si>
  <si>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</si>
  <si>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</si>
  <si>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</si>
  <si>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</si>
  <si>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</si>
  <si>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</si>
  <si>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</si>
  <si>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</si>
  <si>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</si>
  <si>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</si>
  <si>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</si>
  <si>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</si>
  <si>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</si>
  <si>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</si>
  <si>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</si>
  <si>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</si>
  <si>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</si>
  <si>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</si>
  <si>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</si>
  <si>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</si>
  <si>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</si>
  <si>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</si>
  <si>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</si>
  <si>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</si>
  <si>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</si>
  <si>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</si>
  <si>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</si>
  <si>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</si>
  <si>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</si>
  <si>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</si>
  <si>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</si>
  <si>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</si>
  <si>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</si>
  <si>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</si>
  <si>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</si>
  <si>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</si>
  <si>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</si>
  <si>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</si>
  <si>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</si>
  <si>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</si>
  <si>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</si>
  <si>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</si>
  <si>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</si>
  <si>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</si>
  <si>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</si>
  <si>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</si>
  <si>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</si>
  <si>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</si>
  <si>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</si>
  <si>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</si>
  <si>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</si>
  <si>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</si>
  <si>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</si>
  <si>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</si>
  <si>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</si>
  <si>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</si>
  <si>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</si>
  <si>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</si>
  <si>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</si>
  <si>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</si>
  <si>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</si>
  <si>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</si>
  <si>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</si>
  <si>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</si>
  <si>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</si>
  <si>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</si>
  <si>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</si>
  <si>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</si>
  <si>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</si>
  <si>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</si>
  <si>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</si>
  <si>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</si>
  <si>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</si>
  <si>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</si>
  <si>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</si>
  <si>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</si>
  <si>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</si>
  <si>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</si>
  <si>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</si>
  <si>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</si>
  <si>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</si>
  <si>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</si>
  <si>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</si>
  <si>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</si>
  <si>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</si>
  <si>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</si>
  <si>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</si>
  <si>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</si>
  <si>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</si>
  <si>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</si>
  <si>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</si>
  <si>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</si>
  <si>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</si>
  <si>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</si>
  <si>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</si>
  <si>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</si>
  <si>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</si>
  <si>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</si>
  <si>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</si>
  <si>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</si>
  <si>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</si>
  <si>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</si>
  <si>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</si>
  <si>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</si>
  <si>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</si>
  <si>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</si>
  <si>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</si>
  <si>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</si>
  <si>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</si>
  <si>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</si>
  <si>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</si>
  <si>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</si>
  <si>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</si>
  <si>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</si>
  <si>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</si>
  <si>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</si>
  <si>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</si>
  <si>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</si>
  <si>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</si>
  <si>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</si>
  <si>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</si>
  <si>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</si>
  <si>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</si>
  <si>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</si>
  <si>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</si>
  <si>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</si>
  <si>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</si>
  <si>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</si>
  <si>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</si>
  <si>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</si>
  <si>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</si>
  <si>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</si>
  <si>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</si>
  <si>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</si>
  <si>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</si>
  <si>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</si>
  <si>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</si>
  <si>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</si>
  <si>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</si>
  <si>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</si>
  <si>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</si>
  <si>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</si>
  <si>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</si>
  <si>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</si>
  <si>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</si>
  <si>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</si>
  <si>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</si>
  <si>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</si>
  <si>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</si>
  <si>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</si>
  <si>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</si>
  <si>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</si>
  <si>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</si>
  <si>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</si>
  <si>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</si>
  <si>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</si>
  <si>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</si>
  <si>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</si>
  <si>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</si>
  <si>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</si>
  <si>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</si>
  <si>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</si>
  <si>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</si>
  <si>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</si>
  <si>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</si>
  <si>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</si>
  <si>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</si>
  <si>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</si>
  <si>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</si>
  <si>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</si>
  <si>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</si>
  <si>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</si>
  <si>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</si>
  <si>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</si>
  <si>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</si>
  <si>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</si>
  <si>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</si>
  <si>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</si>
  <si>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</si>
  <si>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</si>
  <si>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</si>
  <si>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</si>
  <si>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</si>
  <si>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</si>
  <si>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</si>
  <si>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</si>
  <si>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</si>
  <si>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</si>
  <si>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</si>
  <si>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</si>
  <si>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</si>
  <si>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</si>
  <si>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</si>
  <si>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</si>
  <si>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</si>
  <si>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</si>
  <si>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</si>
  <si>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</si>
  <si>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</si>
  <si>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</si>
  <si>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</si>
  <si>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</si>
  <si>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</si>
  <si>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</si>
  <si>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</si>
  <si>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</si>
  <si>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</si>
  <si>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</si>
  <si>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</si>
  <si>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</si>
  <si>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</si>
  <si>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</si>
  <si>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</si>
  <si>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</si>
  <si>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</si>
  <si>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</si>
  <si>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</si>
  <si>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</si>
  <si>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</si>
  <si>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</si>
  <si>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</si>
  <si>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</si>
  <si>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</si>
  <si>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</si>
  <si>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</si>
  <si>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</si>
  <si>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</si>
  <si>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</si>
  <si>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</si>
  <si>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</si>
  <si>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</si>
  <si>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</si>
  <si>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</si>
  <si>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</si>
  <si>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</si>
  <si>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</si>
  <si>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</si>
  <si>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</si>
  <si>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</si>
  <si>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</si>
  <si>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</si>
  <si>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</si>
  <si>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</si>
  <si>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</si>
  <si>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</si>
  <si>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</si>
  <si>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</si>
  <si>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</si>
  <si>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</si>
  <si>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</si>
  <si>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</si>
  <si>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</si>
  <si>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</si>
  <si>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</si>
  <si>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</si>
  <si>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</si>
  <si>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</si>
  <si>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</si>
  <si>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</si>
  <si>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</si>
  <si>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</si>
  <si>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</si>
  <si>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</si>
  <si>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</si>
  <si>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</si>
  <si>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</si>
  <si>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</si>
  <si>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</si>
  <si>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</si>
  <si>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</si>
  <si>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</si>
  <si>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</si>
  <si>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</si>
  <si>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</si>
  <si>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</si>
  <si>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</si>
  <si>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</si>
  <si>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</si>
  <si>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</si>
  <si>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</si>
  <si>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</si>
  <si>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</si>
  <si>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</si>
  <si>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</si>
  <si>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</si>
  <si>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</si>
  <si>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</si>
  <si>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</si>
  <si>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</si>
  <si>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</si>
  <si>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</si>
  <si>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</si>
  <si>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</si>
  <si>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</si>
  <si>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</si>
  <si>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</si>
  <si>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</si>
  <si>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</si>
  <si>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</si>
  <si>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</si>
  <si>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</si>
  <si>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</si>
  <si>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</si>
  <si>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</si>
  <si>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</si>
  <si>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</si>
  <si>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</si>
  <si>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</si>
  <si>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</si>
  <si>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</si>
  <si>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</si>
  <si>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</si>
  <si>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</si>
  <si>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</si>
  <si>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</si>
  <si>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</si>
  <si>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</si>
  <si>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</si>
  <si>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</si>
  <si>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</si>
  <si>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</si>
  <si>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</si>
  <si>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</si>
  <si>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</si>
  <si>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</si>
  <si>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</si>
  <si>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</si>
  <si>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</si>
  <si>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</si>
  <si>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</si>
  <si>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</si>
  <si>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</si>
  <si>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</si>
  <si>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</si>
  <si>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</si>
  <si>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</si>
  <si>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</si>
  <si>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</si>
  <si>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</si>
  <si>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</si>
  <si>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</si>
  <si>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</si>
  <si>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</si>
  <si>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</si>
  <si>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</si>
  <si>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</si>
  <si>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</si>
  <si>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</si>
  <si>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</si>
  <si>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</si>
  <si>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</si>
  <si>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</si>
  <si>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</si>
  <si>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</si>
  <si>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</si>
  <si>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</si>
  <si>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</si>
  <si>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</si>
  <si>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</si>
  <si>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</si>
  <si>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</si>
  <si>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</si>
  <si>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</si>
  <si>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</si>
  <si>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</si>
  <si>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</si>
  <si>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</si>
  <si>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</si>
  <si>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</si>
  <si>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</si>
  <si>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</si>
  <si>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</si>
  <si>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</si>
  <si>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</si>
  <si>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</si>
  <si>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</si>
  <si>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</si>
  <si>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</si>
  <si>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</si>
  <si>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</si>
  <si>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</si>
  <si>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</si>
  <si>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</si>
  <si>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</si>
  <si>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</si>
  <si>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</si>
  <si>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</si>
  <si>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</si>
  <si>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</si>
  <si>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</si>
  <si>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</si>
  <si>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</si>
  <si>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</si>
  <si>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</si>
  <si>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</si>
  <si>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</si>
  <si>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</si>
  <si>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</si>
  <si>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</si>
  <si>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</si>
  <si>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</si>
  <si>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</si>
  <si>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</si>
  <si>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</si>
  <si>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</si>
  <si>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</si>
  <si>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</si>
  <si>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</si>
  <si>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</si>
  <si>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</si>
  <si>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</si>
  <si>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</si>
  <si>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</si>
  <si>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</si>
  <si>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</si>
  <si>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</si>
  <si>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</si>
  <si>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</si>
  <si>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</si>
  <si>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</si>
  <si>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</si>
  <si>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</si>
  <si>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</si>
  <si>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</si>
  <si>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</si>
  <si>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</si>
  <si>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</si>
  <si>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</si>
  <si>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</si>
  <si>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</si>
  <si>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</si>
  <si>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</si>
  <si>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</si>
  <si>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</si>
  <si>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</si>
  <si>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</si>
  <si>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</si>
  <si>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</si>
  <si>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</si>
  <si>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</si>
  <si>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</si>
  <si>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</si>
  <si>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</si>
  <si>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</si>
  <si>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</si>
  <si>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</si>
  <si>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</si>
  <si>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</si>
  <si>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</si>
  <si>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</si>
  <si>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</si>
  <si>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</si>
  <si>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</si>
  <si>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</si>
  <si>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</si>
  <si>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</si>
  <si>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</si>
  <si>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</si>
  <si>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</si>
  <si>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</si>
  <si>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</si>
  <si>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</si>
  <si>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</si>
  <si>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</si>
  <si>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</si>
  <si>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</si>
  <si>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</si>
  <si>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</si>
  <si>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</si>
  <si>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</si>
  <si>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</si>
  <si>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</si>
  <si>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</si>
  <si>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</si>
  <si>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</si>
  <si>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</si>
  <si>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</si>
  <si>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</si>
  <si>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</si>
  <si>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</si>
  <si>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</si>
  <si>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</si>
  <si>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</si>
  <si>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</si>
  <si>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</si>
  <si>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</si>
  <si>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</si>
  <si>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</si>
  <si>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</si>
  <si>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</si>
  <si>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</si>
  <si>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</si>
  <si>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</si>
  <si>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</si>
  <si>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</si>
  <si>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</si>
  <si>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</si>
  <si>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</si>
  <si>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</si>
  <si>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</si>
  <si>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</si>
  <si>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</si>
  <si>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</si>
  <si>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</si>
  <si>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</si>
  <si>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</si>
  <si>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</si>
  <si>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</si>
  <si>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</si>
  <si>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</si>
  <si>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</si>
  <si>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</si>
  <si>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</si>
  <si>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</si>
  <si>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</si>
  <si>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</si>
  <si>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</si>
  <si>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</si>
  <si>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</si>
  <si>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</si>
  <si>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</si>
  <si>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</si>
  <si>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</si>
  <si>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</si>
  <si>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</si>
  <si>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</si>
  <si>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</si>
  <si>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</si>
  <si>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</si>
  <si>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</si>
  <si>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</si>
  <si>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</si>
  <si>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</si>
  <si>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</si>
  <si>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</si>
  <si>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</si>
  <si>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</si>
  <si>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</si>
  <si>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</si>
  <si>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</si>
  <si>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</si>
  <si>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</si>
  <si>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</si>
  <si>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</si>
  <si>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</si>
  <si>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</si>
  <si>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</si>
  <si>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</si>
  <si>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</si>
  <si>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</si>
  <si>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</si>
  <si>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</si>
  <si>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</si>
  <si>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</si>
  <si>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</si>
  <si>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</si>
  <si>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</si>
  <si>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</si>
  <si>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</si>
  <si>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</si>
  <si>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</si>
  <si>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</si>
  <si>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</si>
  <si>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</si>
  <si>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</si>
  <si>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</si>
  <si>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</si>
  <si>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</si>
  <si>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</si>
  <si>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</si>
  <si>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</si>
  <si>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</si>
  <si>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</si>
  <si>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</si>
  <si>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</si>
  <si>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</si>
  <si>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</si>
  <si>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</si>
  <si>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</si>
  <si>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</si>
  <si>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</si>
  <si>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</si>
  <si>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</si>
  <si>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</si>
  <si>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</si>
  <si>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</si>
  <si>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</si>
  <si>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</si>
  <si>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</si>
  <si>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</si>
  <si>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</si>
  <si>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</si>
  <si>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</si>
  <si>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</si>
  <si>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</si>
  <si>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</si>
  <si>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</si>
  <si>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</si>
  <si>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</si>
  <si>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</si>
  <si>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</si>
  <si>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</si>
  <si>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</si>
  <si>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</si>
  <si>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</si>
  <si>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</si>
  <si>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</si>
  <si>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</si>
  <si>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</si>
  <si>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</si>
  <si>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</si>
  <si>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</si>
  <si>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</si>
  <si>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</si>
  <si>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</si>
  <si>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</si>
  <si>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</si>
  <si>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</si>
  <si>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</si>
  <si>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</si>
  <si>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</si>
  <si>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</si>
  <si>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</si>
  <si>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</si>
  <si>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</si>
  <si>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</si>
  <si>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</si>
  <si>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</si>
  <si>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</si>
  <si>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</si>
  <si>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</si>
  <si>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</si>
  <si>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</si>
  <si>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</si>
  <si>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</si>
  <si>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</si>
  <si>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</si>
  <si>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</si>
  <si>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</si>
  <si>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</si>
  <si>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</si>
  <si>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</si>
  <si>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</si>
  <si>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</si>
  <si>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</si>
  <si>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</si>
  <si>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</si>
  <si>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</si>
  <si>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</si>
  <si>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</si>
  <si>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</si>
  <si>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</si>
  <si>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</si>
  <si>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</si>
  <si>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</si>
  <si>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</si>
  <si>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</si>
  <si>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</si>
  <si>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</si>
  <si>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</si>
  <si>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</si>
  <si>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</si>
  <si>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</si>
  <si>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</si>
  <si>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</si>
  <si>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</si>
  <si>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</si>
  <si>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</si>
  <si>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</si>
  <si>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</si>
  <si>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</si>
  <si>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</si>
  <si>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</si>
  <si>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</si>
  <si>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</si>
  <si>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</si>
  <si>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</si>
  <si>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</si>
  <si>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</si>
  <si>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</si>
  <si>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</si>
  <si>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</si>
  <si>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</si>
  <si>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</si>
  <si>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</si>
  <si>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</si>
  <si>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</si>
  <si>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</si>
  <si>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</si>
  <si>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</si>
  <si>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</si>
  <si>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</si>
  <si>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</si>
  <si>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</si>
  <si>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</si>
  <si>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</si>
  <si>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</si>
  <si>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</si>
  <si>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</si>
  <si>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</si>
  <si>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</si>
  <si>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</si>
  <si>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</si>
  <si>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</si>
  <si>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</si>
  <si>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</si>
  <si>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</si>
  <si>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</si>
  <si>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</si>
  <si>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</si>
  <si>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</si>
  <si>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</si>
  <si>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</si>
  <si>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</si>
  <si>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</si>
  <si>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</si>
  <si>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</si>
  <si>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</si>
  <si>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</si>
  <si>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</si>
  <si>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</si>
  <si>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</si>
  <si>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</si>
  <si>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</si>
  <si>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</si>
  <si>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</si>
  <si>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</si>
  <si>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</si>
  <si>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</si>
  <si>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</si>
  <si>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</si>
  <si>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</si>
  <si>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</si>
  <si>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</si>
  <si>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</si>
  <si>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</si>
  <si>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</si>
  <si>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</si>
  <si>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</si>
  <si>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</si>
  <si>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</si>
  <si>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</si>
  <si>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</si>
  <si>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</si>
  <si>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</si>
  <si>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</si>
  <si>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</si>
  <si>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</si>
  <si>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</si>
  <si>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</si>
  <si>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</si>
  <si>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</si>
  <si>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</si>
  <si>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</si>
  <si>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</si>
  <si>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</si>
  <si>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</si>
  <si>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</si>
  <si>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</si>
  <si>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</si>
  <si>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</si>
  <si>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</si>
  <si>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</si>
  <si>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</si>
  <si>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</si>
  <si>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</si>
  <si>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</si>
  <si>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</si>
  <si>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</si>
  <si>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</si>
  <si>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</si>
  <si>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</si>
  <si>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</si>
  <si>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</si>
  <si>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</si>
  <si>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</si>
  <si>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</si>
  <si>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</si>
  <si>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</si>
  <si>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</si>
  <si>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</si>
  <si>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</si>
  <si>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</si>
  <si>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</si>
  <si>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</si>
  <si>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</si>
  <si>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</si>
  <si>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</si>
  <si>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</si>
  <si>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</si>
  <si>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</si>
  <si>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</si>
  <si>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</si>
  <si>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</si>
  <si>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</si>
  <si>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</si>
  <si>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</si>
  <si>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</si>
  <si>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</si>
  <si>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</si>
  <si>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</si>
  <si>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</si>
  <si>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</si>
  <si>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</si>
  <si>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</si>
  <si>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</si>
  <si>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</si>
  <si>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</si>
  <si>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</si>
  <si>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</si>
  <si>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</si>
  <si>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</si>
  <si>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</si>
  <si>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</si>
  <si>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</si>
  <si>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</si>
  <si>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</si>
  <si>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</si>
  <si>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</si>
  <si>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</si>
  <si>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</si>
  <si>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</si>
  <si>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</si>
  <si>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</si>
  <si>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</si>
  <si>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</si>
  <si>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</si>
  <si>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</si>
  <si>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</si>
  <si>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</si>
  <si>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</si>
  <si>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</si>
  <si>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</si>
  <si>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</si>
  <si>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</si>
  <si>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</si>
  <si>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</si>
  <si>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</si>
  <si>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</si>
  <si>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</si>
  <si>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</si>
  <si>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</si>
  <si>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</si>
  <si>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</si>
  <si>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</si>
  <si>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</si>
  <si>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</si>
  <si>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</si>
  <si>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</si>
  <si>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</si>
  <si>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</si>
  <si>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</si>
  <si>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</si>
  <si>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</si>
  <si>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</si>
  <si>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</si>
  <si>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</si>
  <si>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</si>
  <si>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</si>
  <si>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</si>
  <si>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</si>
  <si>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</si>
  <si>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</si>
  <si>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</si>
  <si>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</si>
  <si>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</si>
  <si>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</si>
  <si>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</si>
  <si>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</si>
  <si>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</si>
  <si>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</si>
  <si>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</si>
  <si>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</si>
  <si>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</si>
  <si>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</si>
  <si>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</si>
  <si>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</si>
  <si>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</si>
  <si>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</si>
  <si>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</si>
  <si>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</si>
  <si>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</si>
  <si>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</si>
  <si>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</si>
  <si>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</si>
  <si>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</si>
  <si>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</si>
  <si>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</si>
  <si>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</si>
  <si>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</si>
  <si>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</si>
  <si>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</si>
  <si>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</si>
  <si>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</si>
  <si>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</si>
  <si>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</si>
  <si>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</si>
  <si>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</si>
  <si>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</si>
  <si>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</si>
  <si>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</si>
  <si>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</si>
  <si>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</si>
  <si>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</si>
  <si>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</si>
  <si>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</si>
  <si>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</si>
  <si>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</si>
  <si>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</si>
  <si>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</si>
  <si>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</si>
  <si>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</si>
  <si>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</si>
  <si>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</si>
  <si>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</si>
  <si>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</si>
  <si>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</si>
  <si>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</si>
  <si>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</si>
  <si>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</si>
  <si>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</si>
  <si>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</si>
  <si>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</si>
  <si>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</si>
  <si>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</si>
  <si>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</si>
  <si>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</si>
  <si>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</si>
  <si>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</si>
  <si>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</si>
  <si>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</si>
  <si>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</si>
  <si>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</si>
  <si>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</si>
  <si>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</si>
  <si>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</si>
  <si>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</si>
  <si>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</si>
  <si>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</si>
  <si>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</si>
  <si>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</si>
  <si>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</si>
  <si>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</si>
  <si>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</si>
  <si>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</si>
  <si>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</si>
  <si>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</si>
  <si>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</si>
  <si>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</si>
  <si>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</si>
  <si>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</si>
  <si>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</si>
  <si>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</si>
  <si>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</si>
  <si>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</si>
  <si>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</si>
  <si>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</si>
  <si>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</si>
  <si>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</si>
  <si>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</si>
  <si>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</si>
  <si>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</si>
  <si>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</si>
  <si>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</si>
  <si>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</si>
  <si>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</si>
  <si>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</si>
  <si>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</si>
  <si>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</si>
  <si>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</si>
  <si>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</si>
  <si>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</si>
  <si>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</si>
  <si>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</si>
  <si>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</si>
  <si>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</si>
  <si>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</si>
  <si>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</si>
  <si>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</si>
  <si>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</si>
  <si>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</si>
  <si>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</si>
  <si>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</si>
  <si>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</si>
  <si>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</si>
  <si>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</si>
  <si>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</si>
  <si>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</si>
  <si>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</si>
  <si>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</si>
  <si>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</si>
  <si>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</si>
  <si>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</si>
  <si>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</si>
  <si>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</si>
  <si>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</si>
  <si>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</si>
  <si>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</si>
  <si>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</si>
  <si>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</si>
  <si>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</si>
  <si>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</si>
  <si>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</si>
  <si>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</si>
  <si>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</si>
  <si>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</si>
  <si>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</si>
  <si>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</si>
  <si>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</si>
  <si>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</si>
  <si>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</si>
  <si>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</si>
  <si>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</si>
  <si>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</si>
  <si>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</si>
  <si>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</si>
  <si>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</si>
  <si>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</si>
  <si>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</si>
  <si>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</si>
  <si>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</si>
  <si>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</si>
  <si>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</si>
  <si>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</si>
  <si>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</si>
  <si>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</si>
  <si>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</si>
  <si>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</si>
  <si>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</si>
  <si>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</si>
  <si>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</si>
  <si>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</si>
  <si>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</si>
  <si>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</si>
  <si>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</si>
  <si>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</si>
  <si>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</si>
  <si>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</si>
  <si>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</si>
  <si>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</si>
  <si>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</si>
  <si>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</si>
  <si>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</si>
  <si>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</si>
  <si>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</si>
  <si>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</si>
  <si>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</si>
  <si>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</si>
  <si>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</si>
  <si>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</si>
  <si>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</si>
  <si>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</si>
  <si>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</si>
  <si>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</si>
  <si>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</si>
  <si>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</si>
  <si>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</si>
  <si>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</si>
  <si>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</si>
  <si>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</si>
  <si>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</si>
  <si>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</si>
  <si>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</si>
  <si>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</si>
  <si>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</si>
  <si>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</si>
  <si>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</si>
  <si>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</si>
  <si>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</si>
  <si>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</si>
  <si>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</si>
  <si>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</si>
  <si>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</si>
  <si>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</si>
  <si>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</si>
  <si>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</si>
  <si>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</si>
  <si>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</si>
  <si>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</si>
  <si>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</si>
  <si>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</si>
  <si>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</si>
  <si>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</si>
  <si>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</si>
  <si>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</si>
  <si>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</si>
  <si>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</si>
  <si>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</si>
  <si>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</si>
  <si>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</si>
  <si>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</si>
  <si>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</si>
  <si>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</si>
  <si>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</si>
  <si>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</si>
  <si>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</si>
  <si>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</si>
  <si>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</si>
  <si>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</si>
  <si>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</si>
  <si>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</si>
  <si>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</si>
  <si>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</si>
  <si>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</si>
  <si>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</si>
  <si>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</si>
  <si>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</si>
  <si>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</si>
  <si>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</si>
  <si>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</si>
  <si>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</si>
  <si>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</si>
  <si>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</si>
  <si>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</si>
  <si>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</si>
  <si>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</si>
  <si>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</si>
  <si>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</si>
  <si>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</si>
  <si>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</si>
  <si>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</si>
  <si>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</si>
  <si>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</si>
  <si>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</si>
  <si>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</si>
  <si>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</si>
  <si>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</si>
  <si>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</si>
  <si>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</si>
  <si>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</si>
  <si>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</si>
  <si>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</si>
  <si>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</si>
  <si>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</si>
  <si>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</si>
  <si>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</si>
  <si>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</si>
  <si>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</si>
  <si>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</si>
  <si>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</si>
  <si>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</si>
  <si>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</si>
  <si>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</si>
  <si>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</si>
  <si>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</si>
  <si>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</si>
  <si>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</si>
  <si>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</si>
  <si>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</si>
  <si>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</si>
  <si>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</si>
  <si>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</si>
  <si>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</si>
  <si>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</si>
  <si>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</si>
  <si>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</si>
  <si>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</si>
  <si>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</si>
  <si>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</si>
  <si>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72.1 del Estatuto de Autonomía de Aragón, en materia de aguas que discurran íntegramente por su territorio corresponde  a la Comunidad Autónoma la competencia:</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</si>
  <si>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</si>
  <si>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</si>
  <si>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</si>
  <si>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</si>
  <si>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</si>
  <si>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</si>
  <si>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</si>
  <si>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</si>
  <si>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</si>
  <si>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</si>
  <si>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</si>
  <si>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</si>
  <si>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</si>
  <si>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</si>
  <si>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</si>
  <si>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</si>
  <si>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</si>
  <si>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</si>
  <si>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</si>
  <si>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</si>
  <si>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</si>
  <si>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</si>
  <si>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</si>
  <si>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</si>
  <si>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</si>
  <si>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</si>
  <si>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</si>
  <si>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</si>
  <si>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</si>
  <si>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</si>
  <si>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</si>
  <si>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</si>
  <si>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</si>
  <si>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</si>
  <si>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</si>
  <si>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</si>
  <si>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</si>
  <si>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</si>
  <si>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</si>
  <si>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</si>
  <si>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</si>
  <si>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</si>
  <si>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</si>
  <si>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</si>
  <si>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</si>
  <si>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</si>
  <si>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</si>
  <si>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</si>
  <si>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</si>
  <si>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</si>
  <si>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</si>
  <si>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</si>
  <si>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</si>
  <si>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</si>
  <si>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</si>
  <si>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</si>
  <si>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</si>
  <si>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</si>
  <si>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</si>
  <si>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</si>
  <si>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</si>
  <si>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</si>
  <si>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</si>
  <si>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</si>
  <si>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</si>
  <si>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</si>
  <si>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</si>
  <si>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</si>
  <si>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</si>
  <si>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</si>
  <si>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</si>
  <si>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</si>
  <si>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</si>
  <si>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</si>
  <si>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</si>
  <si>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</si>
  <si>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</si>
  <si>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</si>
  <si>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</si>
  <si>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</si>
  <si>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</si>
  <si>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</si>
  <si>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</si>
  <si>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</si>
  <si>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</si>
  <si>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</si>
  <si>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</si>
  <si>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</si>
  <si>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</si>
  <si>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</si>
  <si>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</si>
  <si>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</si>
  <si>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</si>
  <si>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</si>
  <si>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</si>
  <si>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</si>
  <si>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</si>
  <si>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</si>
  <si>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</si>
  <si>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</si>
  <si>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</si>
  <si>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</si>
  <si>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</si>
  <si>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</si>
  <si>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</si>
  <si>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</si>
  <si>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</si>
  <si>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</si>
  <si>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</si>
  <si>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</si>
  <si>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</si>
  <si>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</si>
  <si>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</si>
  <si>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</si>
  <si>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</si>
  <si>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</si>
  <si>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</si>
  <si>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</si>
  <si>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</si>
  <si>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</si>
  <si>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</si>
  <si>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</si>
  <si>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</si>
  <si>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</si>
  <si>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</si>
  <si>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</si>
  <si>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</si>
  <si>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</si>
  <si>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</si>
  <si>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</si>
  <si>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</si>
  <si>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</si>
  <si>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</si>
  <si>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</si>
  <si>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</si>
  <si>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</si>
  <si>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</si>
  <si>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</si>
  <si>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</si>
  <si>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</si>
  <si>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</si>
  <si>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</si>
  <si>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</si>
  <si>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</si>
  <si>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</si>
  <si>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</si>
  <si>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</si>
  <si>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</si>
  <si>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</si>
  <si>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</si>
  <si>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</si>
  <si>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</si>
  <si>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</si>
  <si>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</si>
  <si>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</si>
  <si>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</si>
  <si>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</si>
  <si>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</si>
  <si>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</si>
  <si>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</si>
  <si>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</si>
  <si>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</si>
  <si>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</si>
  <si>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</si>
  <si>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</si>
  <si>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</si>
  <si>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</si>
  <si>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</si>
  <si>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</si>
  <si>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</si>
  <si>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</si>
  <si>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</si>
  <si>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</si>
  <si>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</si>
  <si>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</si>
  <si>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</si>
  <si>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</si>
  <si>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</si>
  <si>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</si>
  <si>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</si>
  <si>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</si>
  <si>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</si>
  <si>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</si>
  <si>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</si>
  <si>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</si>
  <si>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</si>
  <si>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</si>
  <si>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</si>
  <si>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</si>
  <si>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</si>
  <si>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</si>
  <si>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</si>
  <si>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</si>
  <si>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</si>
  <si>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</si>
  <si>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</si>
  <si>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</si>
  <si>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</si>
  <si>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</si>
  <si>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</si>
  <si>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</si>
  <si>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</si>
  <si>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</si>
  <si>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</si>
  <si>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</si>
  <si>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</si>
  <si>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</si>
  <si>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</si>
  <si>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</si>
  <si>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</si>
  <si>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</si>
  <si>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</si>
  <si>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</si>
  <si>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</si>
  <si>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</si>
  <si>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</si>
  <si>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</si>
  <si>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</si>
  <si>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</si>
  <si>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</si>
  <si>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</si>
  <si>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</si>
  <si>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</si>
  <si>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</si>
  <si>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</si>
  <si>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</si>
  <si>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</si>
  <si>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</si>
  <si>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</si>
  <si>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</si>
  <si>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</si>
  <si>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</si>
  <si>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</si>
  <si>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</si>
  <si>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</si>
  <si>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</si>
  <si>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</si>
  <si>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</si>
  <si>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</si>
  <si>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</si>
  <si>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</si>
  <si>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</si>
  <si>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</si>
  <si>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</si>
  <si>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</si>
  <si>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</si>
  <si>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</si>
  <si>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</si>
  <si>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</si>
  <si>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</si>
  <si>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</si>
  <si>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</si>
  <si>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</si>
  <si>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</si>
  <si>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</si>
  <si>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</si>
  <si>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</si>
  <si>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</si>
  <si>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</si>
  <si>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</si>
  <si>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</si>
  <si>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</si>
  <si>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</si>
  <si>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</si>
  <si>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</si>
  <si>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</si>
  <si>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</si>
  <si>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</si>
  <si>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</si>
  <si>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</si>
  <si>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</si>
  <si>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</si>
  <si>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</si>
  <si>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</si>
  <si>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</si>
  <si>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</si>
  <si>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</si>
  <si>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</si>
  <si>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</si>
  <si>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</si>
  <si>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</si>
  <si>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</si>
  <si>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</si>
  <si>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</si>
  <si>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</si>
  <si>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</si>
  <si>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</si>
  <si>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</si>
  <si>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</si>
  <si>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</si>
  <si>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</si>
  <si>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</si>
  <si>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</si>
  <si>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</si>
  <si>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</si>
  <si>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</si>
  <si>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</si>
  <si>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</si>
  <si>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</si>
  <si>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</si>
  <si>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</si>
  <si>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</si>
  <si>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</si>
  <si>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</si>
  <si>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</si>
  <si>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</si>
  <si>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</si>
  <si>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</si>
  <si>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</si>
  <si>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</si>
  <si>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</si>
  <si>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</si>
  <si>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</si>
  <si>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</si>
  <si>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</si>
  <si>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</si>
  <si>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</si>
  <si>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</si>
  <si>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</si>
  <si>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</si>
  <si>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</si>
  <si>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</si>
  <si>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</si>
  <si>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</si>
  <si>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</si>
  <si>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</si>
  <si>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</si>
  <si>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</si>
  <si>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</si>
  <si>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</si>
  <si>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</si>
  <si>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</si>
  <si>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</si>
  <si>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</si>
  <si>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</si>
  <si>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La entidad local básica de la organización territorial del Estado</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</si>
  <si>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</si>
  <si>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</si>
  <si>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</si>
  <si>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</si>
  <si>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</si>
  <si>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</si>
  <si>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</si>
  <si>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</si>
  <si>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</si>
  <si>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</si>
  <si>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</si>
  <si>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Los Delegados de Personal y las Juntas de personal.</t>
  </si>
  <si>
    <t>Los Delegados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</si>
  <si>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</si>
  <si>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</si>
  <si>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</si>
  <si>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</si>
  <si>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</si>
  <si>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</si>
  <si>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</si>
  <si>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</si>
  <si>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</si>
  <si>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</si>
  <si>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</si>
  <si>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</si>
  <si>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</si>
  <si>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</si>
  <si>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</si>
  <si>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</si>
  <si>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</si>
  <si>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</si>
  <si>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</si>
  <si>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</si>
  <si>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</si>
  <si>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</si>
  <si>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</si>
  <si>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</si>
  <si>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</si>
  <si>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</si>
  <si>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</si>
  <si>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</si>
  <si>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</si>
  <si>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</si>
  <si>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</si>
  <si>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</si>
  <si>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</si>
  <si>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</si>
  <si>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</si>
  <si>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</si>
  <si>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</si>
  <si>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</si>
  <si>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</si>
  <si>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</si>
  <si>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</si>
  <si>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</si>
  <si>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</si>
  <si>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</si>
  <si>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</si>
  <si>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</si>
  <si>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</si>
  <si>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</si>
  <si>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</si>
  <si>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</si>
  <si>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</si>
  <si>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</si>
  <si>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</si>
  <si>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</si>
  <si>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</si>
  <si>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</si>
  <si>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</si>
  <si>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</si>
  <si>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</si>
  <si>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</si>
  <si>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</si>
  <si>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</si>
  <si>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</si>
  <si>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Filtración</t>
  </si>
  <si>
    <t>Capilaridad</t>
  </si>
  <si>
    <t>Fugas</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</si>
  <si>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</si>
  <si>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</si>
  <si>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</si>
  <si>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</si>
  <si>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</si>
  <si>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</si>
  <si>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</si>
  <si>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</si>
  <si>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</si>
  <si>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</si>
  <si>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</si>
  <si>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</si>
  <si>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</si>
  <si>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</si>
  <si>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</si>
  <si>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</si>
  <si>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</si>
  <si>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</si>
  <si>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</si>
  <si>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</si>
  <si>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</si>
  <si>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</si>
  <si>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</si>
  <si>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</si>
  <si>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</si>
  <si>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</si>
  <si>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</si>
  <si>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</si>
  <si>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</si>
  <si>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</si>
  <si>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</si>
  <si>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</si>
  <si>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60%.</t>
  </si>
  <si>
    <t>90%.</t>
  </si>
  <si>
    <t>80%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</si>
  <si>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</si>
  <si>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</si>
  <si>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</si>
  <si>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</si>
  <si>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</si>
  <si>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</si>
  <si>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</si>
  <si>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</si>
  <si>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</si>
  <si>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</si>
  <si>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</si>
  <si>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</si>
  <si>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</si>
  <si>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</si>
  <si>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</si>
  <si>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</si>
  <si>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</si>
  <si>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</si>
  <si>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</si>
  <si>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</si>
  <si>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</si>
  <si>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</si>
  <si>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</si>
  <si>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</si>
  <si>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</si>
  <si>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</si>
  <si>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</si>
  <si>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</si>
  <si>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</si>
  <si>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</si>
  <si>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</si>
  <si>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</si>
  <si>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</si>
  <si>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</si>
  <si>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</si>
  <si>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</si>
  <si>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</si>
  <si>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</si>
  <si>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</si>
  <si>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</si>
  <si>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</si>
  <si>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</si>
  <si>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</si>
  <si>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</si>
  <si>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</si>
  <si>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</si>
  <si>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</si>
  <si>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</si>
  <si>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</si>
  <si>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</si>
  <si>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</si>
  <si>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</si>
  <si>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</si>
  <si>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</si>
  <si>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</si>
  <si>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</si>
  <si>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</si>
  <si>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</si>
  <si>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</si>
  <si>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</si>
  <si>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</si>
  <si>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</si>
  <si>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</si>
  <si>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</si>
  <si>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</si>
  <si>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</si>
  <si>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</si>
  <si>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</si>
  <si>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</si>
  <si>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</si>
  <si>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</si>
  <si>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</si>
  <si>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</si>
  <si>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</si>
  <si>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</si>
  <si>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</si>
  <si>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</si>
  <si>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</si>
  <si>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</si>
  <si>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</si>
  <si>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</si>
  <si>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</si>
  <si>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</si>
  <si>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</si>
  <si>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</si>
  <si>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</si>
  <si>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</si>
  <si>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</si>
  <si>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</si>
  <si>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</si>
  <si>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</si>
  <si>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</si>
  <si>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</si>
  <si>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</si>
  <si>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</si>
  <si>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</si>
  <si>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</si>
  <si>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</si>
  <si>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</si>
  <si>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</si>
  <si>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</si>
  <si>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</si>
  <si>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</si>
  <si>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</si>
  <si>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</si>
  <si>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</si>
  <si>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</si>
  <si>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</si>
  <si>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</si>
  <si>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</si>
  <si>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</si>
  <si>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</si>
  <si>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</si>
  <si>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</si>
  <si>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</si>
  <si>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</si>
  <si>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</si>
  <si>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</si>
  <si>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</si>
  <si>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</si>
  <si>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</si>
  <si>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</si>
  <si>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</si>
  <si>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</si>
  <si>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</si>
  <si>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</si>
  <si>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</si>
  <si>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</si>
  <si>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</si>
  <si>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</si>
  <si>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</si>
  <si>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</si>
  <si>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</si>
  <si>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</si>
  <si>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</si>
  <si>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</si>
  <si>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</si>
  <si>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</si>
  <si>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</si>
  <si>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</si>
  <si>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</si>
  <si>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</si>
  <si>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</si>
  <si>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</si>
  <si>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</si>
  <si>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</si>
  <si>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</si>
  <si>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</si>
  <si>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</si>
  <si>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</si>
  <si>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</si>
  <si>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</si>
  <si>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</si>
  <si>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</si>
  <si>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</si>
  <si>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</si>
  <si>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</si>
  <si>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</si>
  <si>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</si>
  <si>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</si>
  <si>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</si>
  <si>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</si>
  <si>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</si>
  <si>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</si>
  <si>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</si>
  <si>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</si>
  <si>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</si>
  <si>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</si>
  <si>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</si>
  <si>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</si>
  <si>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</si>
  <si>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</si>
  <si>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</si>
  <si>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</si>
  <si>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</si>
  <si>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</si>
  <si>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</si>
  <si>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</si>
  <si>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</si>
  <si>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</si>
  <si>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</si>
  <si>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</si>
  <si>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</si>
  <si>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</si>
  <si>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</si>
  <si>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</si>
  <si>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</si>
  <si>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</si>
  <si>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</si>
  <si>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</si>
  <si>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</si>
  <si>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</si>
  <si>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</si>
  <si>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</si>
  <si>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</si>
  <si>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</si>
  <si>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</si>
  <si>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</si>
  <si>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</si>
  <si>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</si>
  <si>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</si>
  <si>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</si>
  <si>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</si>
  <si>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</si>
  <si>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</si>
  <si>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</si>
  <si>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</si>
  <si>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</si>
  <si>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</si>
  <si>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</si>
  <si>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</si>
  <si>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</si>
  <si>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</si>
  <si>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</si>
  <si>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</si>
  <si>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</si>
  <si>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</si>
  <si>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</si>
  <si>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</si>
  <si>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</si>
  <si>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</si>
  <si>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</si>
  <si>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</si>
  <si>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El mortero que refluye del tendel al asentar la pieza puede utilizarse en la ejecución de la llaga.</t>
  </si>
  <si>
    <t>¿A qué se le denomina "muro aparejado"?</t>
  </si>
  <si>
    <t>Al muro de ladrillo trabado en todo su espesor, ejecutado con una sola clase de ladrillo.</t>
  </si>
  <si>
    <t>Antes de extender una capa de grava-cemento deberá comprobarse que la superficie de asiento se encuentra:</t>
  </si>
  <si>
    <t>Totalmente seca.</t>
  </si>
  <si>
    <t>Húmeda, pero no encharcada.</t>
  </si>
  <si>
    <t>Ligeramente encharcada, para que el agua inicie el fraguado del cemento.</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</si>
  <si>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</si>
  <si>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</si>
  <si>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</si>
  <si>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</si>
  <si>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</si>
  <si>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</si>
  <si>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</si>
  <si>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</si>
  <si>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</si>
  <si>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</si>
  <si>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</si>
  <si>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</si>
  <si>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</si>
  <si>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</si>
  <si>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</si>
  <si>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</si>
  <si>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</si>
  <si>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</si>
  <si>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</si>
  <si>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</si>
  <si>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</si>
  <si>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</si>
  <si>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</si>
  <si>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</si>
  <si>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</si>
  <si>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</si>
  <si>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</si>
  <si>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</si>
  <si>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</si>
  <si>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</si>
  <si>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</si>
  <si>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</si>
  <si>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</si>
  <si>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</si>
  <si>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</si>
  <si>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Dientes.</t>
  </si>
  <si>
    <t>Endejas.</t>
  </si>
  <si>
    <t>Salmeres.</t>
  </si>
  <si>
    <t>Estribos.</t>
  </si>
  <si>
    <t>Solapes.</t>
  </si>
  <si>
    <t>Adarajas.</t>
  </si>
  <si>
    <t>En una pared de ladrillo caravista, 240X114X48 mm. construida con aparejo a soga. ¿Cual será el espesor de la pared?</t>
  </si>
  <si>
    <t>La medida de la soga del ladrillo.</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</si>
  <si>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</si>
  <si>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</si>
  <si>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</si>
  <si>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</si>
  <si>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</si>
  <si>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</si>
  <si>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</si>
  <si>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</si>
  <si>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</si>
  <si>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</si>
  <si>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</si>
  <si>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</si>
  <si>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</si>
  <si>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</si>
  <si>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</si>
  <si>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</si>
  <si>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</si>
  <si>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</si>
  <si>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</si>
  <si>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</si>
  <si>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</si>
  <si>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</si>
  <si>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</si>
  <si>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</si>
  <si>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</si>
  <si>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</si>
  <si>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</si>
  <si>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</si>
  <si>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</si>
  <si>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</si>
  <si>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</si>
  <si>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</si>
  <si>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</si>
  <si>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</si>
  <si>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</si>
  <si>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</si>
  <si>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</si>
  <si>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</si>
  <si>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</si>
  <si>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</si>
  <si>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</si>
  <si>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</si>
  <si>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</si>
  <si>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</si>
  <si>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</si>
  <si>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</si>
  <si>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</si>
  <si>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</si>
  <si>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</si>
  <si>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</si>
  <si>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</si>
  <si>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</si>
  <si>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</si>
  <si>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</si>
  <si>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</si>
  <si>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</si>
  <si>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</si>
  <si>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</si>
  <si>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</si>
  <si>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</si>
  <si>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</si>
  <si>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</si>
  <si>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</si>
  <si>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</si>
  <si>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</si>
  <si>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</si>
  <si>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</si>
  <si>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</si>
  <si>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</si>
  <si>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</si>
  <si>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</si>
  <si>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</si>
  <si>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</si>
  <si>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</si>
  <si>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</si>
  <si>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</si>
  <si>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</si>
  <si>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</si>
  <si>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</si>
  <si>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</si>
  <si>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</si>
  <si>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</si>
  <si>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</si>
  <si>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</si>
  <si>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</si>
  <si>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</si>
  <si>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</si>
  <si>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</si>
  <si>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</si>
  <si>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</si>
  <si>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</si>
  <si>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</si>
  <si>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</si>
  <si>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</si>
  <si>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</si>
  <si>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</si>
  <si>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</si>
  <si>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</si>
  <si>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</si>
  <si>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</si>
  <si>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</si>
  <si>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</si>
  <si>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</si>
  <si>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</si>
  <si>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</si>
  <si>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</si>
  <si>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</si>
  <si>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</si>
  <si>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</si>
  <si>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</si>
  <si>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</si>
  <si>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</si>
  <si>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</si>
  <si>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</si>
  <si>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</si>
  <si>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</si>
  <si>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</si>
  <si>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</si>
  <si>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</si>
  <si>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</si>
  <si>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</si>
  <si>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</si>
  <si>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</si>
  <si>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</si>
  <si>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</si>
  <si>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</si>
  <si>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</si>
  <si>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</si>
  <si>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</si>
  <si>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</si>
  <si>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</si>
  <si>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</si>
  <si>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</si>
  <si>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</si>
  <si>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</si>
  <si>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</si>
  <si>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</si>
  <si>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</si>
  <si>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</si>
  <si>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</si>
  <si>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</si>
  <si>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</si>
  <si>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</si>
  <si>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</si>
  <si>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</si>
  <si>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</si>
  <si>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</si>
  <si>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</si>
  <si>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</si>
  <si>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</si>
  <si>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</si>
  <si>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</si>
  <si>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</si>
  <si>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</si>
  <si>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</si>
  <si>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</si>
  <si>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</si>
  <si>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</si>
  <si>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</si>
  <si>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</si>
  <si>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</si>
  <si>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</si>
  <si>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</si>
  <si>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</si>
  <si>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</si>
  <si>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</si>
  <si>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</si>
  <si>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</si>
  <si>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</si>
  <si>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</si>
  <si>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</si>
  <si>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</si>
  <si>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</si>
  <si>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</si>
  <si>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</si>
  <si>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</si>
  <si>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</si>
  <si>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</si>
  <si>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</si>
  <si>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</si>
  <si>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</si>
  <si>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</si>
  <si>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</si>
  <si>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Betún, plástico, barro, brea, pintura, pegamentos, cemento, asfalto y resinas</t>
  </si>
  <si>
    <t>Barro, asfalto, betún, pinturas, pegamentos, resinas, silicona, plásticos y brea</t>
  </si>
  <si>
    <t>Cal, pinturas, brea, plásticos, betún, pegamentos, resinas, asfalto y silicona</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</si>
  <si>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</si>
  <si>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</si>
  <si>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</si>
  <si>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</si>
  <si>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</si>
  <si>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</si>
  <si>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</si>
  <si>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</si>
  <si>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</si>
  <si>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</si>
  <si>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</si>
  <si>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</si>
  <si>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</si>
  <si>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</si>
  <si>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</si>
  <si>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</si>
  <si>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</si>
  <si>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</si>
  <si>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</si>
  <si>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</si>
  <si>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</si>
  <si>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</si>
  <si>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</si>
  <si>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</si>
  <si>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</si>
  <si>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</si>
  <si>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</si>
  <si>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</si>
  <si>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</si>
  <si>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</si>
  <si>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</si>
  <si>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</si>
  <si>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</si>
  <si>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</si>
  <si>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</si>
  <si>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</si>
  <si>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</si>
  <si>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</si>
  <si>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</si>
  <si>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</si>
  <si>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</si>
  <si>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</si>
  <si>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</si>
  <si>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</si>
  <si>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</si>
  <si>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</si>
  <si>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</si>
  <si>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</si>
  <si>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</si>
  <si>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</si>
  <si>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</si>
  <si>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</si>
  <si>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</si>
  <si>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</si>
  <si>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</si>
  <si>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</si>
  <si>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</si>
  <si>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</si>
  <si>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</si>
  <si>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</si>
  <si>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</si>
  <si>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</si>
  <si>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</si>
  <si>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</si>
  <si>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</si>
  <si>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</si>
  <si>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</si>
  <si>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</si>
  <si>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</si>
  <si>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</si>
  <si>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</si>
  <si>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</si>
  <si>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</si>
  <si>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</si>
  <si>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</si>
  <si>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</si>
  <si>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</si>
  <si>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</si>
  <si>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</si>
  <si>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</si>
  <si>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</si>
  <si>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</si>
  <si>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</si>
  <si>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</si>
  <si>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</si>
  <si>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</si>
  <si>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</si>
  <si>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</si>
  <si>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</si>
  <si>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</si>
  <si>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</si>
  <si>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</si>
  <si>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</si>
  <si>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</si>
  <si>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</si>
  <si>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</si>
  <si>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</si>
  <si>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</si>
  <si>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</si>
  <si>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</si>
  <si>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</si>
  <si>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</si>
  <si>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</si>
  <si>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</si>
  <si>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</si>
  <si>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</si>
  <si>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</si>
  <si>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</si>
  <si>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</si>
  <si>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</si>
  <si>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</si>
  <si>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</si>
  <si>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</si>
  <si>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</si>
  <si>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</si>
  <si>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</si>
  <si>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</si>
  <si>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</si>
  <si>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</si>
  <si>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</si>
  <si>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</si>
  <si>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</si>
  <si>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</si>
  <si>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</si>
  <si>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</si>
  <si>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</si>
  <si>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</si>
  <si>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</si>
  <si>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</si>
  <si>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</si>
  <si>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</si>
  <si>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</si>
  <si>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</si>
  <si>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</si>
  <si>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</si>
  <si>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</si>
  <si>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</si>
  <si>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</si>
  <si>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</si>
  <si>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</si>
  <si>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</si>
  <si>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</si>
  <si>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</si>
  <si>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</si>
  <si>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</si>
  <si>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</si>
  <si>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</si>
  <si>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</si>
  <si>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</si>
  <si>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</si>
  <si>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</si>
  <si>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</si>
  <si>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</si>
  <si>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</si>
  <si>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</si>
  <si>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</si>
  <si>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</si>
  <si>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</si>
  <si>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</si>
  <si>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</si>
  <si>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</si>
  <si>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</si>
  <si>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</si>
  <si>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</si>
  <si>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</si>
  <si>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</si>
  <si>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</si>
  <si>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</si>
  <si>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</si>
  <si>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</si>
  <si>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</si>
  <si>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</si>
  <si>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</si>
  <si>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</si>
  <si>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</si>
  <si>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</si>
  <si>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</si>
  <si>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</si>
  <si>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</si>
  <si>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</si>
  <si>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</si>
  <si>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</si>
  <si>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</si>
  <si>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</si>
  <si>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</si>
  <si>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</si>
  <si>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</si>
  <si>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</si>
  <si>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</si>
  <si>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</si>
  <si>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</si>
  <si>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</si>
  <si>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</si>
  <si>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</si>
  <si>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</si>
  <si>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</si>
  <si>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</si>
  <si>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</si>
  <si>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</si>
  <si>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</si>
  <si>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</si>
  <si>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</si>
  <si>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</si>
  <si>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</si>
  <si>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</si>
  <si>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</si>
  <si>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</si>
  <si>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</si>
  <si>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</si>
  <si>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</si>
  <si>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</si>
  <si>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</si>
  <si>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</si>
  <si>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</si>
  <si>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</si>
  <si>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</si>
  <si>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</si>
  <si>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</si>
  <si>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</si>
  <si>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</si>
  <si>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</si>
  <si>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</si>
  <si>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</si>
  <si>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</si>
  <si>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</si>
  <si>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</si>
  <si>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</si>
  <si>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</si>
  <si>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</si>
  <si>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</si>
  <si>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</si>
  <si>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</si>
  <si>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</si>
  <si>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</si>
  <si>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</si>
  <si>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</si>
  <si>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</si>
  <si>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</si>
  <si>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</si>
  <si>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</si>
  <si>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</si>
  <si>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</si>
  <si>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</si>
  <si>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</si>
  <si>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</si>
  <si>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</si>
  <si>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</si>
  <si>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</si>
  <si>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</si>
  <si>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</si>
  <si>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</si>
  <si>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</si>
  <si>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</si>
  <si>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</si>
  <si>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</si>
  <si>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</si>
  <si>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</si>
  <si>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</si>
  <si>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</si>
  <si>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</si>
  <si>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</si>
  <si>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</si>
  <si>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</si>
  <si>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</si>
  <si>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</si>
  <si>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</si>
  <si>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</si>
  <si>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</si>
  <si>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</si>
  <si>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</si>
  <si>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</si>
  <si>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</si>
  <si>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</si>
  <si>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</si>
  <si>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</si>
  <si>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</si>
  <si>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</si>
  <si>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</si>
  <si>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</si>
  <si>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</si>
  <si>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</si>
  <si>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</si>
  <si>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</si>
  <si>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</si>
  <si>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</si>
  <si>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</si>
  <si>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</si>
  <si>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</si>
  <si>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</si>
  <si>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</si>
  <si>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</si>
  <si>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</si>
  <si>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</si>
  <si>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</si>
  <si>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</si>
  <si>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</si>
  <si>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</si>
  <si>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</si>
  <si>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</si>
  <si>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</si>
  <si>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</si>
  <si>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</si>
  <si>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</si>
  <si>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</si>
  <si>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</si>
  <si>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</si>
  <si>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</si>
  <si>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</si>
  <si>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</si>
  <si>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</si>
  <si>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</si>
  <si>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</si>
  <si>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</si>
  <si>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</si>
  <si>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</si>
  <si>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</si>
  <si>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</si>
  <si>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</si>
  <si>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</si>
  <si>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</si>
  <si>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</si>
  <si>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</si>
  <si>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</si>
  <si>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</si>
  <si>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</si>
  <si>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</si>
  <si>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</si>
  <si>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</si>
  <si>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</si>
  <si>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</si>
  <si>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</si>
  <si>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</si>
  <si>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</si>
  <si>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</si>
  <si>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</si>
  <si>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</si>
  <si>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</si>
  <si>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</si>
  <si>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</si>
  <si>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</si>
  <si>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</si>
  <si>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</si>
  <si>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</si>
  <si>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</si>
  <si>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</si>
  <si>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</si>
  <si>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</si>
  <si>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</si>
  <si>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</si>
  <si>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</si>
  <si>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</si>
  <si>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</si>
  <si>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</si>
  <si>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</si>
  <si>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</si>
  <si>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</si>
  <si>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</si>
  <si>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</si>
  <si>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</si>
  <si>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</si>
  <si>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</si>
  <si>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</si>
  <si>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</si>
  <si>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</si>
  <si>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</si>
  <si>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</si>
  <si>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</si>
  <si>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</si>
  <si>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</si>
  <si>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</si>
  <si>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</si>
  <si>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</si>
  <si>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</si>
  <si>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</si>
  <si>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</si>
  <si>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</si>
  <si>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</si>
  <si>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</si>
  <si>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</si>
  <si>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</si>
  <si>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</si>
  <si>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</si>
  <si>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</si>
  <si>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</si>
  <si>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</si>
  <si>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</si>
  <si>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</si>
  <si>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</si>
  <si>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</si>
  <si>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</si>
  <si>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</si>
  <si>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</si>
  <si>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</si>
  <si>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</si>
  <si>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</si>
  <si>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</si>
  <si>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</si>
  <si>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</si>
  <si>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</si>
  <si>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</si>
  <si>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</si>
  <si>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</si>
  <si>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</si>
  <si>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</si>
  <si>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</si>
  <si>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</si>
  <si>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</si>
  <si>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</si>
  <si>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</si>
  <si>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</si>
  <si>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</si>
  <si>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</si>
  <si>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</si>
  <si>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</si>
  <si>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</si>
  <si>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</si>
  <si>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</si>
  <si>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</si>
  <si>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</si>
  <si>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</si>
  <si>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</si>
  <si>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</si>
  <si>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</si>
  <si>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</si>
  <si>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</si>
  <si>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</si>
  <si>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</si>
  <si>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</si>
  <si>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</si>
  <si>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</si>
  <si>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</si>
  <si>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</si>
  <si>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</si>
  <si>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</si>
  <si>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</si>
  <si>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</si>
  <si>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</si>
  <si>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</si>
  <si>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</si>
  <si>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</si>
  <si>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</si>
  <si>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</si>
  <si>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</si>
  <si>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</si>
  <si>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</si>
  <si>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</si>
  <si>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</si>
  <si>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</si>
  <si>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</si>
  <si>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</si>
  <si>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</si>
  <si>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</si>
  <si>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</si>
  <si>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</si>
  <si>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</si>
  <si>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</si>
  <si>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</si>
  <si>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</si>
  <si>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</si>
  <si>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</si>
  <si>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</si>
  <si>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</si>
  <si>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</si>
  <si>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</si>
  <si>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</si>
  <si>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</si>
  <si>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</si>
  <si>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</si>
  <si>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</si>
  <si>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</si>
  <si>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</si>
  <si>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</si>
  <si>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</si>
  <si>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</si>
  <si>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</si>
  <si>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</si>
  <si>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</si>
  <si>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</si>
  <si>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</si>
  <si>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</si>
  <si>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</si>
  <si>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</si>
  <si>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</si>
  <si>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</si>
  <si>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</si>
  <si>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</si>
  <si>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</si>
  <si>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</si>
  <si>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</si>
  <si>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</si>
  <si>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</si>
  <si>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</si>
  <si>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</si>
  <si>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</si>
  <si>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</si>
  <si>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</si>
  <si>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</si>
  <si>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</si>
  <si>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</si>
  <si>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</si>
  <si>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</si>
  <si>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</si>
  <si>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</si>
  <si>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</si>
  <si>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</si>
  <si>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</si>
  <si>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</si>
  <si>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</si>
  <si>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</si>
  <si>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</si>
  <si>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</si>
  <si>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</si>
  <si>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</si>
  <si>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</si>
  <si>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</si>
  <si>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</si>
  <si>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</si>
  <si>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</si>
  <si>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</si>
  <si>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</si>
  <si>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</si>
  <si>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</si>
  <si>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</si>
  <si>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</si>
  <si>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</si>
  <si>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</si>
  <si>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</si>
  <si>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</si>
  <si>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</si>
  <si>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</si>
  <si>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</si>
  <si>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</si>
  <si>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</si>
  <si>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</si>
  <si>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</si>
  <si>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</si>
  <si>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</si>
  <si>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</si>
  <si>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</si>
  <si>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</si>
  <si>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</si>
  <si>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</si>
  <si>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</si>
  <si>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</si>
  <si>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</si>
  <si>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</si>
  <si>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</si>
  <si>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</si>
  <si>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</si>
  <si>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</si>
  <si>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</si>
  <si>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</si>
  <si>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</si>
  <si>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</si>
  <si>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</si>
  <si>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</si>
  <si>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</si>
  <si>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</si>
  <si>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</si>
  <si>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</si>
  <si>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</si>
  <si>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</si>
  <si>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</si>
  <si>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</si>
  <si>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</si>
  <si>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</si>
  <si>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</si>
  <si>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</si>
  <si>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</si>
  <si>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</si>
  <si>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</si>
  <si>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</si>
  <si>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</si>
  <si>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</si>
  <si>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</si>
  <si>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</si>
  <si>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</si>
  <si>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</si>
  <si>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</si>
  <si>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</si>
  <si>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</si>
  <si>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</si>
  <si>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</si>
  <si>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</si>
  <si>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</si>
  <si>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</si>
  <si>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</si>
  <si>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</si>
  <si>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</si>
  <si>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</si>
  <si>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</si>
  <si>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</si>
  <si>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</si>
  <si>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</si>
  <si>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</si>
  <si>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</si>
  <si>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</si>
  <si>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</si>
  <si>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</si>
  <si>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</si>
  <si>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</si>
  <si>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</si>
  <si>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</si>
  <si>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</si>
  <si>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</si>
  <si>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</si>
  <si>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</si>
  <si>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</si>
  <si>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</si>
  <si>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</si>
  <si>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</si>
  <si>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</si>
  <si>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</si>
  <si>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</si>
  <si>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</si>
  <si>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</si>
  <si>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</si>
  <si>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</si>
  <si>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</si>
  <si>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</si>
  <si>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</si>
  <si>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</si>
  <si>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</si>
  <si>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</si>
  <si>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</si>
  <si>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</si>
  <si>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</si>
  <si>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</si>
  <si>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</si>
  <si>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</si>
  <si>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</si>
  <si>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</si>
  <si>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</si>
  <si>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</si>
  <si>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</si>
  <si>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</si>
  <si>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</si>
  <si>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</si>
  <si>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</si>
  <si>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</si>
  <si>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</si>
  <si>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</si>
  <si>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</si>
  <si>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</si>
  <si>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</si>
  <si>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</si>
  <si>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</si>
  <si>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</si>
  <si>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</si>
  <si>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</si>
  <si>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</si>
  <si>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</si>
  <si>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</si>
  <si>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</si>
  <si>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</si>
  <si>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</si>
  <si>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Herramienta manual para lijar madera</t>
  </si>
  <si>
    <t>Instrumento musical</t>
  </si>
  <si>
    <t>Insecto que se alimenta de madera</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</si>
  <si>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</si>
  <si>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</si>
  <si>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</si>
  <si>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</si>
  <si>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</si>
  <si>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</si>
  <si>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</si>
  <si>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</si>
  <si>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</si>
  <si>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</si>
  <si>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</si>
  <si>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</si>
  <si>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</si>
  <si>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</si>
  <si>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</si>
  <si>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</si>
  <si>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</si>
  <si>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</si>
  <si>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</si>
  <si>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</si>
  <si>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</si>
  <si>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</si>
  <si>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</si>
  <si>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</si>
  <si>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</si>
  <si>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</si>
  <si>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</si>
  <si>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roble, caoba y pino</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</si>
  <si>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</si>
  <si>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</si>
  <si>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</si>
  <si>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</si>
  <si>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</si>
  <si>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</si>
  <si>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</si>
  <si>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</si>
  <si>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</si>
  <si>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</si>
  <si>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</si>
  <si>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</si>
  <si>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</si>
  <si>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</si>
  <si>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</si>
  <si>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</si>
  <si>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</si>
  <si>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</si>
  <si>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</si>
  <si>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Cabeza, puntilla y arandela</t>
  </si>
  <si>
    <t>Cabeza, masilla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</si>
  <si>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</si>
  <si>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</si>
  <si>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</si>
  <si>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</si>
  <si>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</si>
  <si>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</si>
  <si>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</si>
  <si>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</si>
  <si>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</si>
  <si>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</si>
  <si>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</si>
  <si>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Leer las instrucciones que recomienda el fabricante del producto y seguirlas</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</si>
  <si>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</si>
  <si>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</si>
  <si>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</si>
  <si>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</si>
  <si>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</si>
  <si>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</si>
  <si>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</si>
  <si>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</si>
  <si>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</si>
  <si>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</si>
  <si>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</si>
  <si>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</si>
  <si>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</si>
  <si>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</si>
  <si>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</si>
  <si>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</si>
  <si>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</si>
  <si>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</si>
  <si>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</si>
  <si>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</si>
  <si>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</si>
  <si>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</si>
  <si>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</si>
  <si>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</si>
  <si>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</si>
  <si>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</si>
  <si>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</si>
  <si>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</si>
  <si>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</si>
  <si>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</si>
  <si>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</si>
  <si>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</si>
  <si>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</si>
  <si>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</si>
  <si>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</si>
  <si>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</si>
  <si>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</si>
  <si>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</si>
  <si>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</si>
  <si>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</si>
  <si>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</si>
  <si>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</si>
  <si>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</si>
  <si>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</si>
  <si>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</si>
  <si>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</si>
  <si>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</si>
  <si>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</si>
  <si>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</si>
  <si>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</si>
  <si>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</si>
  <si>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</si>
  <si>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</si>
  <si>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</si>
  <si>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</si>
  <si>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</si>
  <si>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</si>
  <si>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</si>
  <si>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</si>
  <si>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</si>
  <si>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</si>
  <si>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</si>
  <si>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</si>
  <si>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</si>
  <si>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</si>
  <si>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</si>
  <si>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</si>
  <si>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</si>
  <si>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</si>
  <si>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</si>
  <si>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</si>
  <si>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</si>
  <si>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</si>
  <si>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</si>
  <si>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</si>
  <si>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</si>
  <si>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</si>
  <si>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</si>
  <si>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</si>
  <si>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</si>
  <si>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</si>
  <si>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</si>
  <si>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</si>
  <si>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</si>
  <si>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</si>
  <si>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</si>
  <si>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</si>
  <si>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</si>
  <si>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</si>
  <si>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</si>
  <si>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</si>
  <si>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</si>
  <si>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</si>
  <si>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</si>
  <si>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</si>
  <si>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</si>
  <si>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</si>
  <si>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</si>
  <si>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</si>
  <si>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</si>
  <si>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</si>
  <si>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</si>
  <si>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</si>
  <si>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</si>
  <si>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</si>
  <si>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</si>
  <si>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</si>
  <si>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</si>
  <si>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</si>
  <si>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</si>
  <si>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</si>
  <si>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</si>
  <si>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</si>
  <si>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</si>
  <si>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</si>
  <si>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</si>
  <si>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</si>
  <si>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</si>
  <si>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</si>
  <si>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</si>
  <si>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</si>
  <si>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</si>
  <si>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</si>
  <si>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</si>
  <si>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</si>
  <si>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</si>
  <si>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</si>
  <si>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</si>
  <si>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</si>
  <si>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</si>
  <si>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</si>
  <si>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</si>
  <si>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</si>
  <si>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</si>
  <si>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</si>
  <si>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</si>
  <si>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</si>
  <si>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</si>
  <si>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</si>
  <si>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</si>
  <si>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</si>
  <si>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</si>
  <si>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</si>
  <si>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</si>
  <si>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</si>
  <si>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</si>
  <si>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</si>
  <si>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</si>
  <si>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</si>
  <si>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</si>
  <si>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</si>
  <si>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</si>
  <si>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</si>
  <si>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</si>
  <si>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</si>
  <si>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</si>
  <si>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</si>
  <si>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</si>
  <si>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</si>
  <si>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</si>
  <si>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</si>
  <si>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</si>
  <si>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</si>
  <si>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</si>
  <si>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</si>
  <si>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</si>
  <si>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</si>
  <si>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</si>
  <si>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</si>
  <si>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</si>
  <si>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</si>
  <si>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</si>
  <si>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</si>
  <si>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</si>
  <si>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</si>
  <si>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</si>
  <si>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</si>
  <si>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</si>
  <si>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</si>
  <si>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</si>
  <si>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</si>
  <si>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</si>
  <si>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</si>
  <si>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</si>
  <si>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</si>
  <si>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</si>
  <si>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</si>
  <si>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</si>
  <si>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</si>
  <si>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</si>
  <si>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</si>
  <si>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</si>
  <si>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</si>
  <si>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</si>
  <si>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</si>
  <si>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</si>
  <si>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</si>
  <si>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</si>
  <si>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</si>
  <si>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</si>
  <si>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</si>
  <si>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</si>
  <si>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</si>
  <si>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</si>
  <si>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</si>
  <si>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</si>
  <si>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</si>
  <si>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</si>
  <si>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</si>
  <si>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</si>
  <si>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</si>
  <si>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</si>
  <si>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</si>
  <si>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</si>
  <si>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</si>
  <si>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</si>
  <si>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</si>
  <si>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</si>
  <si>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</si>
  <si>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</si>
  <si>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</si>
  <si>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</si>
  <si>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</si>
  <si>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</si>
  <si>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</si>
  <si>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</si>
  <si>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</si>
  <si>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</si>
  <si>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</si>
  <si>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</si>
  <si>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</si>
  <si>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</si>
  <si>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</si>
  <si>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</si>
  <si>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</si>
  <si>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</si>
  <si>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</si>
  <si>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</si>
  <si>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</si>
  <si>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</si>
  <si>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</si>
  <si>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</si>
  <si>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</si>
  <si>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</si>
  <si>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</si>
  <si>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</si>
  <si>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</si>
  <si>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</si>
  <si>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</si>
  <si>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</si>
  <si>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</si>
  <si>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</si>
  <si>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</si>
  <si>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</si>
  <si>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</si>
  <si>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</si>
  <si>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</si>
  <si>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</si>
  <si>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</si>
  <si>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</si>
  <si>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</si>
  <si>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</si>
  <si>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</si>
  <si>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</si>
  <si>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</si>
  <si>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</si>
  <si>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</si>
  <si>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</si>
  <si>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</si>
  <si>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</si>
  <si>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</si>
  <si>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</si>
  <si>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</si>
  <si>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</si>
  <si>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</si>
  <si>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</si>
  <si>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</si>
  <si>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</si>
  <si>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</si>
  <si>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</si>
  <si>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</si>
  <si>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</si>
  <si>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</si>
  <si>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</si>
  <si>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</si>
  <si>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</si>
  <si>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</si>
  <si>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</si>
  <si>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</si>
  <si>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</si>
  <si>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</si>
  <si>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</si>
  <si>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</si>
  <si>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</si>
  <si>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</si>
  <si>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</si>
  <si>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</si>
  <si>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</si>
  <si>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</si>
  <si>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</si>
  <si>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</si>
  <si>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</si>
  <si>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</si>
  <si>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</si>
  <si>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</si>
  <si>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</si>
  <si>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</si>
  <si>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</si>
  <si>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</si>
  <si>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</si>
  <si>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</si>
  <si>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</si>
  <si>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</si>
  <si>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</si>
  <si>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</si>
  <si>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</si>
  <si>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</si>
  <si>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</si>
  <si>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</si>
  <si>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</si>
  <si>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</si>
  <si>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</si>
  <si>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</si>
  <si>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</si>
  <si>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</si>
  <si>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</si>
  <si>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</si>
  <si>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</si>
  <si>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</si>
  <si>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</si>
  <si>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</si>
  <si>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</si>
  <si>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</si>
  <si>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</si>
  <si>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</si>
  <si>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</si>
  <si>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</si>
  <si>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</si>
  <si>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</si>
  <si>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</si>
  <si>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</si>
  <si>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</si>
  <si>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</si>
  <si>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</si>
  <si>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</si>
  <si>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</si>
  <si>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</si>
  <si>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</si>
  <si>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</si>
  <si>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</si>
  <si>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</si>
  <si>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</si>
  <si>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</si>
  <si>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</si>
  <si>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</si>
  <si>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</si>
  <si>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</si>
  <si>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</si>
  <si>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</si>
  <si>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</si>
  <si>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</si>
  <si>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</si>
  <si>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</si>
  <si>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</si>
  <si>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</si>
  <si>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</si>
  <si>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</si>
  <si>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</si>
  <si>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</si>
  <si>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</si>
  <si>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</si>
  <si>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</si>
  <si>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</si>
  <si>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</si>
  <si>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</si>
  <si>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</si>
  <si>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</si>
  <si>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</si>
  <si>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</si>
  <si>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</si>
  <si>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</si>
  <si>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</si>
  <si>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</si>
  <si>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</si>
  <si>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</si>
  <si>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</si>
  <si>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</si>
  <si>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</si>
  <si>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</si>
  <si>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</si>
  <si>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</si>
  <si>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</si>
  <si>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</si>
  <si>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</si>
  <si>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</si>
  <si>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</si>
  <si>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</si>
  <si>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</si>
  <si>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</si>
  <si>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</si>
  <si>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</si>
  <si>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</si>
  <si>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</si>
  <si>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</si>
  <si>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</si>
  <si>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</si>
  <si>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</si>
  <si>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</si>
  <si>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</si>
  <si>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</si>
  <si>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</si>
  <si>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</si>
  <si>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</si>
  <si>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</si>
  <si>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</si>
  <si>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</si>
  <si>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</si>
  <si>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</si>
  <si>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</si>
  <si>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</si>
  <si>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</si>
  <si>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</si>
  <si>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</si>
  <si>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</si>
  <si>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</si>
  <si>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</si>
  <si>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</si>
  <si>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</si>
  <si>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</si>
  <si>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</si>
  <si>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</si>
  <si>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</si>
  <si>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</si>
  <si>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</si>
  <si>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</si>
  <si>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</si>
  <si>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</si>
  <si>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</si>
  <si>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</si>
  <si>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</si>
  <si>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</si>
  <si>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</si>
  <si>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</si>
  <si>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</si>
  <si>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</si>
  <si>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</si>
  <si>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</si>
  <si>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</si>
  <si>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</si>
  <si>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</si>
  <si>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</si>
  <si>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</si>
  <si>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</si>
  <si>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</si>
  <si>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</si>
  <si>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</si>
  <si>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</si>
  <si>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</si>
  <si>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</si>
  <si>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</si>
  <si>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</si>
  <si>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</si>
  <si>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</si>
  <si>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</si>
  <si>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</si>
  <si>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</si>
  <si>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</si>
  <si>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</si>
  <si>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</si>
  <si>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</si>
  <si>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</si>
  <si>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</si>
  <si>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</si>
  <si>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</si>
  <si>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</si>
  <si>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</si>
  <si>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</si>
  <si>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</si>
  <si>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</si>
  <si>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</si>
  <si>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</si>
  <si>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</si>
  <si>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</si>
  <si>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</si>
  <si>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</si>
  <si>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</si>
  <si>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</si>
  <si>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</si>
  <si>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</si>
  <si>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</si>
  <si>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</si>
  <si>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</si>
  <si>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</si>
  <si>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</si>
  <si>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</si>
  <si>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</si>
  <si>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</si>
  <si>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</si>
  <si>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</si>
  <si>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</si>
  <si>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</si>
  <si>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</si>
  <si>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</si>
  <si>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</si>
  <si>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</si>
  <si>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</si>
  <si>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</si>
  <si>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</si>
  <si>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</si>
  <si>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</si>
  <si>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</si>
  <si>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</si>
  <si>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</si>
  <si>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</si>
  <si>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</si>
  <si>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</si>
  <si>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</si>
  <si>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</si>
  <si>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</si>
  <si>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</si>
  <si>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</si>
  <si>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</si>
  <si>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</si>
  <si>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</si>
  <si>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</si>
  <si>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</si>
  <si>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</si>
  <si>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</si>
  <si>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</si>
  <si>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</si>
  <si>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</si>
  <si>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</si>
  <si>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</si>
  <si>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</si>
  <si>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</si>
  <si>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</si>
  <si>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</si>
  <si>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</si>
  <si>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</si>
  <si>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</si>
  <si>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</si>
  <si>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</si>
  <si>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</si>
  <si>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</si>
  <si>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</si>
  <si>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</si>
  <si>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</si>
  <si>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</si>
  <si>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</si>
  <si>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</si>
  <si>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</si>
  <si>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</si>
  <si>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</si>
  <si>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</si>
  <si>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</si>
  <si>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</si>
  <si>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</si>
  <si>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</si>
  <si>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</si>
  <si>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</si>
  <si>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</si>
  <si>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</si>
  <si>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</si>
  <si>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</si>
  <si>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</si>
  <si>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</si>
  <si>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</si>
  <si>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</si>
  <si>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</si>
  <si>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</si>
  <si>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</si>
  <si>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</si>
  <si>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</si>
  <si>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</si>
  <si>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</si>
  <si>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</si>
  <si>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</si>
  <si>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</si>
  <si>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</si>
  <si>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</si>
  <si>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</si>
  <si>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</si>
  <si>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</si>
  <si>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</si>
  <si>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</si>
  <si>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</si>
  <si>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</si>
  <si>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</si>
  <si>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</si>
  <si>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</si>
  <si>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</si>
  <si>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</si>
  <si>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</si>
  <si>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</si>
  <si>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</si>
  <si>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</si>
  <si>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</si>
  <si>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</si>
  <si>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</si>
  <si>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</si>
  <si>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</si>
  <si>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</si>
  <si>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</si>
  <si>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</si>
  <si>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</si>
  <si>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</si>
  <si>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</si>
  <si>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</si>
  <si>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</si>
  <si>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</si>
  <si>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</si>
  <si>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</si>
  <si>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</si>
  <si>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</si>
  <si>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</si>
  <si>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</si>
  <si>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</si>
  <si>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</si>
  <si>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</si>
  <si>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</si>
  <si>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</si>
  <si>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</si>
  <si>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</si>
  <si>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</si>
  <si>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</si>
  <si>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</si>
  <si>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</si>
  <si>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</si>
  <si>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</si>
  <si>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</si>
  <si>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</si>
  <si>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</si>
  <si>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</si>
  <si>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</si>
  <si>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</si>
  <si>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</si>
  <si>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</si>
  <si>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</si>
  <si>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</si>
  <si>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</si>
  <si>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</si>
  <si>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</si>
  <si>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</si>
  <si>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</si>
  <si>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</si>
  <si>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</si>
  <si>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</si>
  <si>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</si>
  <si>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</si>
  <si>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</si>
  <si>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</si>
  <si>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</si>
  <si>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</si>
  <si>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</si>
  <si>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</si>
  <si>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</si>
  <si>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</si>
  <si>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</si>
  <si>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</si>
  <si>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</si>
  <si>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</si>
  <si>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</si>
  <si>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</si>
  <si>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</si>
  <si>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</si>
  <si>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</si>
  <si>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</si>
  <si>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</si>
  <si>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</si>
  <si>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</si>
  <si>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</si>
  <si>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</si>
  <si>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</si>
  <si>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</si>
  <si>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</si>
  <si>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</si>
  <si>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</si>
  <si>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</si>
  <si>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</si>
  <si>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</si>
  <si>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</si>
  <si>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</si>
  <si>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</si>
  <si>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</si>
  <si>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</si>
  <si>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</si>
  <si>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</si>
  <si>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</si>
  <si>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</si>
  <si>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</si>
  <si>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</si>
  <si>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</si>
  <si>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</si>
  <si>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</si>
  <si>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</si>
  <si>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</si>
  <si>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</si>
  <si>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</si>
  <si>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</si>
  <si>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</si>
  <si>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</si>
  <si>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</si>
  <si>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</si>
  <si>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</si>
  <si>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</si>
  <si>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</si>
  <si>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</si>
  <si>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</si>
  <si>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</si>
  <si>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</si>
  <si>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</si>
  <si>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</si>
  <si>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</si>
  <si>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</si>
  <si>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</si>
  <si>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</si>
  <si>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</si>
  <si>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</si>
  <si>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</si>
  <si>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</si>
  <si>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</si>
  <si>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</si>
  <si>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</si>
  <si>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</si>
  <si>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</si>
  <si>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</si>
  <si>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</si>
  <si>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</si>
  <si>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</si>
  <si>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</si>
  <si>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</si>
  <si>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</si>
  <si>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</si>
  <si>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</si>
  <si>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</si>
  <si>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</si>
  <si>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</si>
  <si>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</si>
  <si>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</si>
  <si>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</si>
  <si>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</si>
  <si>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</si>
  <si>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</si>
  <si>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</si>
  <si>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</si>
  <si>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</si>
  <si>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</si>
  <si>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</si>
  <si>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</si>
  <si>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</si>
  <si>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</si>
  <si>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</si>
  <si>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</si>
  <si>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</si>
  <si>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</si>
  <si>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</si>
  <si>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</si>
  <si>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</si>
  <si>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</si>
  <si>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</si>
  <si>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</si>
  <si>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</si>
  <si>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</si>
  <si>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</si>
  <si>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</si>
  <si>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</si>
  <si>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</si>
  <si>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</si>
  <si>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</si>
  <si>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</si>
  <si>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</si>
  <si>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</si>
  <si>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</si>
  <si>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</si>
  <si>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</si>
  <si>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</si>
  <si>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</si>
  <si>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</si>
  <si>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</si>
  <si>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</si>
  <si>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</si>
  <si>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</si>
  <si>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</si>
  <si>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</si>
  <si>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</si>
  <si>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</si>
  <si>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</si>
  <si>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</si>
  <si>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</si>
  <si>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</si>
  <si>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</si>
  <si>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</si>
  <si>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</si>
  <si>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</si>
  <si>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</si>
  <si>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</si>
  <si>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</si>
  <si>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</si>
  <si>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</si>
  <si>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</si>
  <si>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</si>
  <si>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</si>
  <si>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</si>
  <si>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</si>
  <si>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</si>
  <si>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</si>
  <si>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</si>
  <si>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</si>
  <si>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</si>
  <si>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</si>
  <si>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</si>
  <si>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</si>
  <si>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</si>
  <si>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</si>
  <si>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</si>
  <si>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</si>
  <si>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</si>
  <si>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</si>
  <si>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</si>
  <si>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</si>
  <si>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</si>
  <si>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</si>
  <si>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</si>
  <si>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</si>
  <si>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</si>
  <si>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</si>
  <si>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</si>
  <si>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</si>
  <si>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</si>
  <si>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</si>
  <si>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</si>
  <si>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</si>
  <si>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</si>
  <si>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</si>
  <si>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</si>
  <si>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</si>
  <si>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</si>
  <si>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</si>
  <si>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</si>
  <si>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</si>
  <si>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</si>
  <si>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</si>
  <si>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</si>
  <si>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</si>
  <si>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</si>
  <si>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</si>
  <si>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</si>
  <si>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</si>
  <si>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</si>
  <si>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</si>
  <si>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</si>
  <si>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</si>
  <si>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</si>
  <si>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</si>
  <si>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</si>
  <si>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</si>
  <si>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</si>
  <si>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</si>
  <si>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</si>
  <si>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</si>
  <si>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</si>
  <si>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</si>
  <si>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</si>
  <si>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</si>
  <si>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</si>
  <si>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</si>
  <si>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</si>
  <si>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</si>
  <si>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</si>
  <si>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</si>
  <si>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</si>
  <si>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</si>
  <si>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</si>
  <si>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</si>
  <si>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</si>
  <si>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</si>
  <si>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</si>
  <si>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</si>
  <si>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</si>
  <si>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</si>
  <si>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</si>
  <si>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</si>
  <si>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</si>
  <si>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</si>
  <si>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</si>
  <si>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</si>
  <si>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</si>
  <si>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</si>
  <si>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</si>
  <si>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</si>
  <si>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</si>
  <si>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</si>
  <si>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</si>
  <si>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</si>
  <si>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</si>
  <si>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</si>
  <si>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</si>
  <si>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</si>
  <si>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</si>
  <si>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</si>
  <si>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</si>
  <si>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</si>
  <si>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</si>
  <si>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</si>
  <si>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</si>
  <si>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</si>
  <si>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</si>
  <si>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</si>
  <si>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</si>
  <si>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</si>
  <si>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</si>
  <si>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</si>
  <si>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</si>
  <si>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</si>
  <si>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</si>
  <si>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</si>
  <si>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</si>
  <si>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</si>
  <si>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</si>
  <si>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</si>
  <si>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</si>
  <si>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</si>
  <si>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</si>
  <si>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</si>
  <si>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</si>
  <si>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</si>
  <si>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</si>
  <si>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</si>
  <si>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</si>
  <si>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</si>
  <si>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</si>
  <si>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</si>
  <si>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</si>
  <si>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</si>
  <si>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</si>
  <si>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</si>
  <si>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</si>
  <si>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</si>
  <si>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</si>
  <si>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</si>
  <si>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</si>
  <si>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</si>
  <si>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</si>
  <si>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</si>
  <si>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</si>
  <si>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</si>
  <si>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</si>
  <si>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</si>
  <si>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</si>
  <si>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</si>
  <si>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</si>
  <si>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</si>
  <si>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</si>
  <si>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</si>
  <si>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</si>
  <si>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</si>
  <si>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</si>
  <si>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</si>
  <si>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</si>
  <si>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</si>
  <si>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</si>
  <si>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</si>
  <si>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</si>
  <si>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</si>
  <si>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</si>
  <si>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</si>
  <si>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</si>
  <si>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</si>
  <si>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</si>
  <si>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</si>
  <si>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</si>
  <si>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</si>
  <si>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</si>
  <si>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</si>
  <si>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</si>
  <si>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</si>
  <si>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</si>
  <si>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</si>
  <si>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</si>
  <si>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</si>
  <si>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</si>
  <si>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</si>
  <si>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</si>
  <si>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</si>
  <si>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</si>
  <si>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</si>
  <si>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</si>
  <si>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</si>
  <si>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</si>
  <si>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</si>
  <si>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</si>
  <si>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</si>
  <si>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</si>
  <si>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</si>
  <si>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</si>
  <si>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</si>
  <si>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</si>
  <si>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</si>
  <si>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</si>
  <si>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</si>
  <si>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</si>
  <si>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</si>
  <si>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</si>
  <si>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</si>
  <si>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</si>
  <si>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</si>
  <si>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</si>
  <si>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</si>
  <si>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</si>
  <si>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</si>
  <si>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</si>
  <si>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</si>
  <si>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</si>
  <si>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</si>
  <si>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</si>
  <si>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</si>
  <si>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</si>
  <si>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</si>
  <si>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</si>
  <si>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</si>
  <si>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</si>
  <si>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</si>
  <si>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</si>
  <si>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</si>
  <si>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</si>
  <si>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</si>
  <si>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</si>
  <si>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</si>
  <si>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</si>
  <si>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</si>
  <si>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</si>
  <si>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</si>
  <si>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</si>
  <si>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</si>
  <si>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</si>
  <si>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</si>
  <si>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</si>
  <si>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</si>
  <si>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</si>
  <si>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</si>
  <si>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</si>
  <si>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</si>
  <si>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</si>
  <si>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</si>
  <si>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</si>
  <si>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</si>
  <si>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</si>
  <si>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</si>
  <si>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</si>
  <si>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</si>
  <si>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</si>
  <si>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</si>
  <si>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</si>
  <si>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</si>
  <si>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</si>
  <si>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</si>
  <si>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</si>
  <si>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</si>
  <si>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</si>
  <si>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</si>
  <si>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</si>
  <si>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</si>
  <si>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</si>
  <si>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</si>
  <si>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</si>
  <si>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</si>
  <si>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</si>
  <si>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</si>
  <si>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</si>
  <si>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</si>
  <si>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</si>
  <si>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</si>
  <si>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</si>
  <si>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</si>
  <si>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</si>
  <si>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</si>
  <si>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</si>
  <si>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</si>
  <si>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</si>
  <si>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</si>
  <si>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</si>
  <si>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</si>
  <si>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</si>
  <si>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</si>
  <si>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</si>
  <si>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</si>
  <si>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</si>
  <si>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</si>
  <si>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</si>
  <si>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</si>
  <si>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</si>
  <si>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</si>
  <si>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</si>
  <si>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</si>
  <si>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</si>
  <si>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</si>
  <si>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</si>
  <si>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</si>
  <si>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</si>
  <si>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</si>
  <si>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</si>
  <si>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</si>
  <si>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</si>
  <si>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</si>
  <si>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</si>
  <si>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</si>
  <si>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</si>
  <si>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</si>
  <si>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</si>
  <si>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</si>
  <si>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</si>
  <si>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</si>
  <si>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</si>
  <si>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</si>
  <si>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</si>
  <si>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</si>
  <si>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</si>
  <si>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</si>
  <si>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</si>
  <si>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</si>
  <si>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</si>
  <si>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</si>
  <si>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</si>
  <si>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</si>
  <si>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</si>
  <si>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</si>
  <si>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</si>
  <si>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</si>
  <si>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</si>
  <si>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</si>
  <si>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</si>
  <si>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</si>
  <si>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</si>
  <si>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</si>
  <si>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</si>
  <si>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</si>
  <si>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</si>
  <si>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</si>
  <si>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</si>
  <si>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</si>
  <si>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</si>
  <si>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</si>
  <si>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</si>
  <si>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</si>
  <si>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</si>
  <si>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</si>
  <si>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</si>
  <si>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</si>
  <si>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</si>
  <si>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</si>
  <si>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</si>
  <si>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</si>
  <si>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</si>
  <si>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</si>
  <si>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</si>
  <si>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</si>
  <si>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</si>
  <si>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</si>
  <si>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</si>
  <si>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</si>
  <si>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</si>
  <si>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</si>
  <si>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</si>
  <si>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</si>
  <si>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</si>
  <si>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</si>
  <si>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</si>
  <si>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</si>
  <si>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</si>
  <si>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</si>
  <si>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</si>
  <si>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</si>
  <si>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</si>
  <si>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</si>
  <si>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</si>
  <si>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</si>
  <si>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</si>
  <si>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</si>
  <si>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</si>
  <si>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</si>
  <si>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</si>
  <si>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</si>
  <si>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</si>
  <si>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</si>
  <si>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</si>
  <si>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</si>
  <si>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</si>
  <si>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</si>
  <si>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</si>
  <si>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</si>
  <si>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</si>
  <si>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</si>
  <si>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</si>
  <si>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</si>
  <si>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</si>
  <si>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</si>
  <si>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</si>
  <si>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</si>
  <si>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</si>
  <si>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</si>
  <si>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</si>
  <si>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</si>
  <si>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</si>
  <si>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</si>
  <si>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</si>
  <si>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</si>
  <si>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</si>
  <si>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</si>
  <si>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</si>
  <si>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</si>
  <si>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</si>
  <si>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</si>
  <si>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</si>
  <si>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</si>
  <si>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</si>
  <si>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</si>
  <si>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</si>
  <si>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</si>
  <si>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</si>
  <si>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</si>
  <si>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</si>
  <si>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</si>
  <si>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</si>
  <si>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</si>
  <si>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</si>
  <si>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</si>
  <si>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</si>
  <si>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</si>
  <si>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</si>
  <si>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</si>
  <si>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</si>
  <si>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</si>
  <si>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</si>
  <si>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</si>
  <si>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</si>
  <si>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</si>
  <si>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</si>
  <si>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</si>
  <si>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</si>
  <si>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</si>
  <si>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</si>
  <si>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</si>
  <si>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</si>
  <si>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</si>
  <si>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</si>
  <si>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</si>
  <si>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</si>
  <si>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</si>
  <si>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</si>
  <si>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</si>
  <si>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</si>
  <si>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</si>
  <si>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</si>
  <si>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</si>
  <si>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</si>
  <si>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</si>
  <si>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</si>
  <si>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</si>
  <si>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</si>
  <si>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</si>
  <si>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</si>
  <si>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</si>
  <si>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</si>
  <si>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</si>
  <si>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</si>
  <si>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</si>
  <si>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</si>
  <si>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</si>
  <si>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</si>
  <si>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</si>
  <si>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</si>
  <si>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</si>
  <si>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</si>
  <si>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</si>
  <si>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</si>
  <si>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</si>
  <si>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</si>
  <si>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</si>
  <si>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</si>
  <si>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</si>
  <si>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</si>
  <si>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</si>
  <si>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</si>
  <si>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</si>
  <si>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</si>
  <si>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</si>
  <si>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</si>
  <si>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</si>
  <si>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</si>
  <si>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</si>
  <si>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</si>
  <si>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</si>
  <si>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</si>
  <si>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</si>
  <si>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</si>
  <si>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</si>
  <si>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</si>
  <si>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</si>
  <si>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</si>
  <si>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</si>
  <si>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</si>
  <si>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</si>
  <si>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</si>
  <si>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</si>
  <si>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</si>
  <si>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</si>
  <si>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</si>
  <si>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</si>
  <si>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</si>
  <si>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</si>
  <si>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</si>
  <si>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</si>
  <si>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</si>
  <si>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</si>
  <si>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</si>
  <si>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</si>
  <si>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</si>
  <si>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</si>
  <si>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</si>
  <si>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</si>
  <si>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</si>
  <si>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</si>
  <si>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</si>
  <si>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</si>
  <si>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</si>
  <si>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</si>
  <si>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</si>
  <si>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</si>
  <si>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</si>
  <si>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</si>
  <si>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</si>
  <si>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</si>
  <si>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</si>
  <si>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</si>
  <si>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</si>
  <si>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</si>
  <si>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</si>
  <si>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</si>
  <si>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</si>
  <si>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</si>
  <si>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</si>
  <si>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</si>
  <si>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</si>
  <si>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</si>
  <si>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</si>
  <si>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</si>
  <si>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</si>
  <si>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</si>
  <si>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</si>
  <si>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</si>
  <si>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</si>
  <si>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</si>
  <si>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</si>
  <si>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</si>
  <si>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</si>
  <si>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</si>
  <si>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</si>
  <si>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</si>
  <si>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</si>
  <si>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</si>
  <si>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</si>
  <si>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</si>
  <si>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</si>
  <si>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</si>
  <si>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</si>
  <si>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</si>
  <si>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</si>
  <si>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</si>
  <si>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</si>
  <si>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</si>
  <si>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</si>
  <si>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</si>
  <si>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</si>
  <si>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</si>
  <si>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</si>
  <si>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</si>
  <si>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</si>
  <si>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</si>
  <si>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</si>
  <si>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</si>
  <si>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</si>
  <si>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</si>
  <si>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</si>
  <si>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</si>
  <si>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</si>
  <si>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</si>
  <si>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</si>
  <si>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</si>
  <si>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</si>
  <si>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</si>
  <si>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</si>
  <si>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</si>
  <si>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</si>
  <si>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</si>
  <si>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</si>
  <si>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</si>
  <si>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</si>
  <si>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</si>
  <si>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</si>
  <si>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</si>
  <si>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</si>
  <si>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</si>
  <si>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</si>
  <si>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</si>
  <si>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</si>
  <si>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</si>
  <si>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</si>
  <si>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</si>
  <si>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</si>
  <si>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</si>
  <si>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</si>
  <si>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</si>
  <si>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</si>
  <si>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</si>
  <si>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</si>
  <si>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</si>
  <si>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</si>
  <si>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</si>
  <si>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</si>
  <si>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</si>
  <si>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</si>
  <si>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</si>
  <si>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</si>
  <si>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</si>
  <si>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</si>
  <si>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</si>
  <si>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</si>
  <si>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</si>
  <si>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</si>
  <si>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</si>
  <si>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</si>
  <si>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</si>
  <si>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</si>
  <si>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</si>
  <si>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</si>
  <si>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</si>
  <si>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</si>
  <si>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</si>
  <si>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</si>
  <si>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</si>
  <si>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</si>
  <si>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</si>
  <si>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</si>
  <si>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</si>
  <si>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</si>
  <si>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</si>
  <si>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</si>
  <si>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</si>
  <si>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</si>
  <si>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</si>
  <si>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</si>
  <si>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</si>
  <si>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</si>
  <si>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</si>
  <si>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</si>
  <si>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</si>
  <si>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</si>
  <si>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</si>
  <si>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</si>
  <si>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</si>
  <si>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</si>
  <si>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</si>
  <si>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</si>
  <si>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</si>
  <si>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</si>
  <si>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</si>
  <si>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</si>
  <si>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</si>
  <si>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</si>
  <si>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</si>
  <si>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</si>
  <si>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</si>
  <si>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</si>
  <si>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</si>
  <si>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</si>
  <si>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</si>
  <si>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</si>
  <si>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</si>
  <si>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</si>
  <si>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</si>
  <si>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</si>
  <si>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</si>
  <si>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</si>
  <si>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</si>
  <si>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</si>
  <si>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</si>
  <si>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</si>
  <si>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</si>
  <si>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</si>
  <si>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</si>
  <si>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</si>
  <si>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</si>
  <si>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</si>
  <si>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</si>
  <si>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</si>
  <si>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</si>
  <si>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</si>
  <si>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</si>
  <si>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</si>
  <si>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</si>
  <si>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</si>
  <si>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</si>
  <si>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</si>
  <si>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</si>
  <si>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</si>
  <si>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</si>
  <si>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</si>
  <si>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</si>
  <si>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</si>
  <si>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</si>
  <si>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</si>
  <si>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</si>
  <si>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</si>
  <si>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</si>
  <si>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</si>
  <si>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</si>
  <si>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</si>
  <si>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</si>
  <si>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</si>
  <si>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</si>
  <si>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</si>
  <si>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</si>
  <si>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</si>
  <si>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</si>
  <si>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</si>
  <si>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</si>
  <si>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</si>
  <si>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</si>
  <si>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</si>
  <si>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</si>
  <si>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</si>
  <si>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</si>
  <si>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</si>
  <si>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</si>
  <si>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</si>
  <si>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</si>
  <si>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</si>
  <si>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</si>
  <si>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</si>
  <si>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</si>
  <si>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</si>
  <si>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</si>
  <si>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</si>
  <si>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</si>
  <si>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</si>
  <si>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</si>
  <si>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</si>
  <si>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</si>
  <si>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</si>
  <si>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</si>
  <si>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</si>
  <si>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</si>
  <si>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</si>
  <si>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</si>
  <si>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</si>
  <si>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</si>
  <si>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</si>
  <si>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</si>
  <si>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</si>
  <si>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</si>
  <si>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</si>
  <si>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</si>
  <si>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</si>
  <si>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</si>
  <si>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</si>
  <si>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</si>
  <si>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</si>
  <si>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</si>
  <si>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</si>
  <si>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</si>
  <si>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</si>
  <si>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</si>
  <si>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</si>
  <si>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</si>
  <si>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</si>
  <si>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</si>
  <si>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</si>
  <si>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</si>
  <si>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</si>
  <si>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</si>
  <si>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</si>
  <si>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</si>
  <si>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</si>
  <si>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</si>
  <si>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</si>
  <si>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</si>
  <si>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</si>
  <si>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</si>
  <si>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</si>
  <si>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</si>
  <si>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</si>
  <si>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</si>
  <si>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</si>
  <si>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</si>
  <si>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</si>
  <si>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</si>
  <si>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</si>
  <si>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</si>
  <si>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</si>
  <si>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</si>
  <si>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</si>
  <si>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</si>
  <si>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</si>
  <si>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</si>
  <si>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</si>
  <si>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</si>
  <si>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</si>
  <si>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</si>
  <si>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</si>
  <si>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</si>
  <si>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</si>
  <si>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</si>
  <si>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</si>
  <si>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</si>
  <si>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</si>
  <si>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</si>
  <si>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</si>
  <si>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</si>
  <si>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</si>
  <si>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</si>
  <si>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</si>
  <si>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</si>
  <si>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</si>
  <si>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</si>
  <si>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</si>
  <si>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</si>
  <si>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</si>
  <si>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</si>
  <si>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</si>
  <si>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</si>
  <si>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</si>
  <si>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</si>
  <si>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</si>
  <si>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</si>
  <si>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</si>
  <si>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</si>
  <si>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</si>
  <si>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</si>
  <si>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</si>
  <si>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</si>
  <si>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</si>
  <si>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</si>
  <si>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</si>
  <si>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</si>
  <si>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</si>
  <si>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</si>
  <si>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</si>
  <si>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</si>
  <si>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</si>
  <si>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</si>
  <si>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</si>
  <si>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</si>
  <si>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</si>
  <si>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</si>
  <si>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</si>
  <si>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</si>
  <si>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</si>
  <si>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</si>
  <si>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</si>
  <si>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</si>
  <si>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</si>
  <si>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</si>
  <si>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</si>
  <si>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</si>
  <si>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</si>
  <si>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</si>
  <si>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</si>
  <si>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</si>
  <si>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</si>
  <si>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</si>
  <si>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</si>
  <si>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</si>
  <si>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</si>
  <si>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</si>
  <si>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</si>
  <si>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</si>
  <si>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</si>
  <si>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</si>
  <si>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</si>
  <si>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</si>
  <si>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</si>
  <si>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</si>
  <si>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</si>
  <si>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</si>
  <si>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</si>
  <si>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</si>
  <si>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</si>
  <si>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</si>
  <si>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</si>
  <si>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</si>
  <si>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</si>
  <si>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</si>
  <si>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</si>
  <si>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</si>
  <si>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</si>
  <si>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</si>
  <si>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</si>
  <si>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</si>
  <si>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</si>
  <si>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</si>
  <si>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</si>
  <si>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</si>
  <si>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</si>
  <si>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</si>
  <si>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</si>
  <si>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</si>
  <si>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</si>
  <si>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</si>
  <si>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</si>
  <si>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</si>
  <si>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</si>
  <si>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</si>
  <si>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</si>
  <si>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</si>
  <si>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</si>
  <si>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</si>
  <si>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</si>
  <si>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</si>
  <si>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</si>
  <si>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</si>
  <si>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</si>
  <si>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</si>
  <si>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</si>
  <si>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</si>
  <si>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</si>
  <si>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</si>
  <si>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</si>
  <si>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</si>
  <si>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</si>
  <si>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</si>
  <si>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</si>
  <si>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</si>
  <si>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</si>
  <si>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</si>
  <si>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</si>
  <si>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</si>
  <si>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</si>
  <si>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</si>
  <si>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</si>
  <si>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</si>
  <si>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</si>
  <si>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</si>
  <si>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</si>
  <si>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</si>
  <si>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</si>
  <si>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</si>
  <si>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</si>
  <si>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</si>
  <si>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</si>
  <si>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</si>
  <si>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</si>
  <si>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</si>
  <si>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</si>
  <si>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</si>
  <si>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</si>
  <si>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</si>
  <si>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</si>
  <si>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</si>
  <si>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</si>
  <si>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</si>
  <si>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</si>
  <si>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</si>
  <si>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</si>
  <si>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</si>
  <si>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</si>
  <si>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</si>
  <si>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</si>
  <si>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</si>
  <si>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</si>
  <si>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</si>
  <si>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</si>
  <si>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</si>
  <si>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</si>
  <si>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</si>
  <si>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</si>
  <si>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</si>
  <si>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</si>
  <si>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</si>
  <si>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</si>
  <si>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</si>
  <si>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</si>
  <si>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</si>
  <si>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</si>
  <si>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</si>
  <si>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</si>
  <si>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</si>
  <si>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</si>
  <si>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</si>
  <si>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</si>
  <si>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</si>
  <si>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</si>
  <si>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</si>
  <si>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</si>
  <si>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</si>
  <si>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</si>
  <si>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</si>
  <si>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</si>
  <si>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</si>
  <si>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</si>
  <si>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</si>
  <si>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</si>
  <si>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</si>
  <si>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</si>
  <si>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</si>
  <si>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</si>
  <si>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</si>
  <si>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</si>
  <si>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</si>
  <si>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</si>
  <si>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</si>
  <si>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</si>
  <si>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</si>
  <si>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</si>
  <si>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</si>
  <si>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</si>
  <si>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</si>
  <si>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</si>
  <si>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</si>
  <si>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</si>
  <si>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</si>
  <si>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</si>
  <si>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</si>
  <si>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</si>
  <si>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</si>
  <si>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</si>
  <si>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</si>
  <si>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</si>
  <si>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</si>
  <si>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</si>
  <si>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</si>
  <si>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</si>
  <si>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</si>
  <si>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</si>
  <si>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</si>
  <si>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</si>
  <si>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</si>
  <si>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</si>
  <si>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</si>
  <si>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</si>
  <si>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</si>
  <si>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</si>
  <si>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</si>
  <si>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</si>
  <si>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</si>
  <si>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</si>
  <si>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</si>
  <si>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</si>
  <si>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</si>
  <si>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</si>
  <si>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</si>
  <si>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</si>
  <si>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</si>
  <si>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</si>
  <si>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</si>
  <si>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</si>
  <si>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</si>
  <si>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</si>
  <si>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</si>
  <si>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</si>
  <si>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</si>
  <si>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</si>
  <si>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</si>
  <si>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</si>
  <si>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</si>
  <si>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</si>
  <si>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</si>
  <si>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</si>
  <si>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</si>
  <si>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</si>
  <si>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</si>
  <si>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</si>
  <si>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</si>
  <si>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</si>
  <si>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</si>
  <si>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</si>
  <si>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</si>
  <si>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</si>
  <si>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</si>
  <si>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</si>
  <si>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</si>
  <si>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</si>
  <si>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</si>
  <si>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</si>
  <si>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</si>
  <si>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</si>
  <si>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</si>
  <si>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</si>
  <si>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</si>
  <si>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</si>
  <si>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</si>
  <si>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</si>
  <si>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</si>
  <si>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</si>
  <si>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</si>
  <si>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</si>
  <si>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</si>
  <si>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</si>
  <si>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</si>
  <si>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</si>
  <si>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</si>
  <si>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</si>
  <si>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</si>
  <si>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</si>
  <si>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</si>
  <si>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</si>
  <si>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</si>
  <si>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</si>
  <si>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</si>
  <si>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</si>
  <si>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</si>
  <si>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</si>
  <si>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</si>
  <si>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</si>
  <si>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</si>
  <si>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</si>
  <si>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</si>
  <si>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</si>
  <si>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</si>
  <si>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</si>
  <si>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</si>
  <si>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</si>
  <si>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</si>
  <si>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</si>
  <si>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</si>
  <si>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</si>
  <si>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</si>
  <si>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</si>
  <si>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</si>
  <si>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</si>
  <si>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</si>
  <si>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</si>
  <si>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</si>
  <si>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</si>
  <si>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</si>
  <si>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</si>
  <si>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</si>
  <si>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</si>
  <si>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</si>
  <si>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</si>
  <si>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</si>
  <si>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</si>
  <si>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</si>
  <si>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</si>
  <si>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</si>
  <si>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</si>
  <si>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</si>
  <si>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</si>
  <si>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</si>
  <si>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</si>
  <si>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</si>
  <si>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</si>
  <si>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</si>
  <si>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</si>
  <si>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</si>
  <si>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</si>
  <si>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</si>
  <si>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</si>
  <si>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</si>
  <si>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</si>
  <si>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</si>
  <si>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</si>
  <si>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</si>
  <si>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</si>
  <si>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</si>
  <si>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</si>
  <si>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</si>
  <si>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</si>
  <si>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</si>
  <si>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</si>
  <si>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</si>
  <si>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</si>
  <si>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</si>
  <si>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</si>
  <si>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</si>
  <si>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</si>
  <si>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</si>
  <si>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</si>
  <si>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</si>
  <si>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</si>
  <si>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</si>
  <si>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</si>
  <si>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</si>
  <si>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</si>
  <si>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</si>
  <si>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</si>
  <si>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</si>
  <si>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</si>
  <si>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</si>
  <si>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</si>
  <si>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</si>
  <si>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</si>
  <si>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</si>
  <si>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</si>
  <si>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</si>
  <si>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</si>
  <si>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</si>
  <si>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</si>
  <si>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</si>
  <si>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</si>
  <si>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</si>
  <si>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</si>
  <si>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</si>
  <si>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</si>
  <si>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</si>
  <si>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</si>
  <si>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</si>
  <si>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</si>
  <si>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</si>
  <si>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</si>
  <si>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</si>
  <si>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</si>
  <si>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</si>
  <si>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</si>
  <si>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</si>
  <si>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</si>
  <si>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</si>
  <si>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</si>
  <si>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</si>
  <si>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</si>
  <si>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</si>
  <si>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</si>
  <si>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</si>
  <si>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</si>
  <si>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</si>
  <si>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</si>
  <si>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</si>
  <si>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</si>
  <si>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</si>
  <si>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</si>
  <si>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</si>
  <si>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</si>
  <si>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</si>
  <si>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</si>
  <si>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</si>
  <si>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</si>
  <si>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</si>
  <si>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</si>
  <si>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</si>
  <si>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</si>
  <si>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</si>
  <si>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</si>
  <si>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</si>
  <si>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</si>
  <si>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</si>
  <si>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</si>
  <si>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</si>
  <si>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</si>
  <si>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</si>
  <si>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</si>
  <si>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</si>
  <si>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</si>
  <si>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</si>
  <si>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</si>
  <si>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</si>
  <si>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</si>
  <si>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</si>
  <si>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</si>
  <si>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</si>
  <si>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</si>
  <si>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</si>
  <si>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</si>
  <si>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</si>
  <si>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</si>
  <si>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</si>
  <si>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</si>
  <si>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</si>
  <si>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</si>
  <si>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</si>
  <si>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</si>
  <si>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</si>
  <si>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</si>
  <si>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</si>
  <si>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</si>
  <si>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</si>
  <si>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</si>
  <si>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</si>
  <si>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</si>
  <si>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</si>
  <si>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</si>
  <si>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</si>
  <si>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</si>
  <si>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</si>
  <si>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</si>
  <si>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</si>
  <si>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</si>
  <si>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</si>
  <si>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</si>
  <si>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</si>
  <si>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</si>
  <si>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</si>
  <si>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</si>
  <si>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</si>
  <si>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</si>
  <si>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</si>
  <si>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</si>
  <si>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</si>
  <si>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</si>
  <si>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</si>
  <si>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</si>
  <si>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</si>
  <si>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</si>
  <si>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</si>
  <si>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</si>
  <si>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</si>
  <si>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</si>
  <si>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</si>
  <si>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</si>
  <si>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</si>
  <si>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</si>
  <si>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</si>
  <si>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</si>
  <si>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</si>
  <si>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</si>
  <si>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</si>
  <si>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</si>
  <si>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</si>
  <si>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</si>
  <si>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</si>
  <si>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</si>
  <si>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</si>
  <si>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</si>
  <si>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</si>
  <si>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</si>
  <si>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</si>
  <si>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</si>
  <si>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</si>
  <si>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</si>
  <si>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</si>
  <si>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</si>
  <si>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</si>
  <si>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</si>
  <si>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</si>
  <si>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</si>
  <si>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</si>
  <si>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</si>
  <si>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</si>
  <si>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</si>
  <si>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</si>
  <si>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</si>
  <si>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</si>
  <si>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</si>
  <si>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</si>
  <si>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</si>
  <si>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</si>
  <si>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</si>
  <si>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</si>
  <si>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</si>
  <si>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</si>
  <si>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</si>
  <si>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</si>
  <si>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</si>
  <si>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</si>
  <si>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</si>
  <si>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</si>
  <si>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</si>
  <si>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</si>
  <si>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</si>
  <si>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</si>
  <si>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</si>
  <si>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</si>
  <si>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</si>
  <si>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</si>
  <si>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</si>
  <si>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</si>
  <si>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</si>
  <si>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</si>
  <si>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</si>
  <si>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</si>
  <si>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</si>
  <si>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</si>
  <si>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</si>
  <si>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</si>
  <si>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</si>
  <si>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</si>
  <si>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</si>
  <si>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</si>
  <si>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</si>
  <si>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</si>
  <si>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</si>
  <si>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</si>
  <si>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</si>
  <si>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</si>
  <si>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</si>
  <si>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</si>
  <si>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</si>
  <si>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</si>
  <si>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</si>
  <si>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</si>
  <si>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</si>
  <si>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</si>
  <si>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</si>
  <si>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</si>
  <si>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</si>
  <si>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</si>
  <si>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</si>
  <si>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</si>
  <si>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</si>
  <si>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</si>
  <si>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</si>
  <si>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</si>
  <si>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</si>
  <si>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</si>
  <si>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</si>
  <si>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</si>
  <si>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</si>
  <si>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</si>
  <si>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</si>
  <si>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</si>
  <si>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</si>
  <si>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</si>
  <si>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</si>
  <si>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</si>
  <si>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</si>
  <si>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</si>
  <si>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</si>
  <si>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</si>
  <si>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</si>
  <si>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</si>
  <si>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</si>
  <si>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</si>
  <si>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</si>
  <si>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</si>
  <si>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</si>
  <si>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</si>
  <si>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</si>
  <si>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</si>
  <si>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</si>
  <si>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</si>
  <si>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</si>
  <si>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</si>
  <si>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</si>
  <si>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</si>
  <si>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</si>
  <si>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</si>
  <si>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</si>
  <si>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</si>
  <si>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</si>
  <si>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</si>
  <si>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</si>
  <si>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</si>
  <si>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</si>
  <si>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</si>
  <si>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</si>
  <si>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</si>
  <si>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</si>
  <si>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</si>
  <si>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</si>
  <si>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</si>
  <si>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</si>
  <si>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</si>
  <si>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</si>
  <si>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</si>
  <si>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</si>
  <si>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</si>
  <si>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</si>
  <si>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</si>
  <si>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</si>
  <si>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</si>
  <si>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</si>
  <si>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</si>
  <si>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</si>
  <si>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</si>
  <si>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</si>
  <si>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</si>
  <si>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</si>
  <si>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</si>
  <si>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</si>
  <si>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</si>
  <si>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</si>
  <si>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</si>
  <si>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</si>
  <si>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</si>
  <si>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</si>
  <si>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</si>
  <si>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</si>
  <si>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</si>
  <si>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</si>
  <si>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</si>
  <si>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</si>
  <si>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</si>
  <si>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</si>
  <si>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</si>
  <si>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</si>
  <si>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</si>
  <si>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</si>
  <si>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</si>
  <si>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</si>
  <si>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</si>
  <si>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</si>
  <si>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</si>
  <si>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</si>
  <si>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</si>
  <si>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</si>
  <si>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</si>
  <si>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</si>
  <si>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</si>
  <si>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</si>
  <si>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</si>
  <si>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</si>
  <si>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</si>
  <si>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</si>
  <si>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</si>
  <si>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</si>
  <si>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</si>
  <si>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</si>
  <si>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</si>
  <si>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</si>
  <si>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</si>
  <si>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</si>
  <si>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</si>
  <si>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</si>
  <si>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</si>
  <si>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</si>
  <si>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</si>
  <si>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</si>
  <si>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</si>
  <si>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</si>
  <si>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</si>
  <si>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</si>
  <si>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</si>
  <si>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</si>
  <si>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</si>
  <si>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</si>
  <si>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</si>
  <si>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</si>
  <si>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</si>
  <si>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</si>
  <si>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</si>
  <si>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</si>
  <si>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</si>
  <si>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</si>
  <si>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</si>
  <si>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</si>
  <si>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</si>
  <si>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</si>
  <si>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</si>
  <si>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</si>
  <si>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</si>
  <si>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</si>
  <si>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</si>
  <si>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</si>
  <si>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</si>
  <si>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</si>
  <si>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</si>
  <si>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</si>
  <si>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</si>
  <si>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</si>
  <si>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</si>
  <si>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</si>
  <si>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</si>
  <si>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</si>
  <si>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</si>
  <si>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</si>
  <si>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</si>
  <si>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</si>
  <si>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</si>
  <si>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</si>
  <si>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</si>
  <si>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</si>
  <si>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</si>
  <si>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</si>
  <si>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</si>
  <si>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</si>
  <si>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</si>
  <si>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</si>
  <si>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</si>
  <si>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</si>
  <si>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</si>
  <si>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</si>
  <si>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</si>
  <si>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</si>
  <si>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</si>
  <si>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</si>
  <si>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</si>
  <si>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</si>
  <si>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</si>
  <si>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</si>
  <si>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</si>
  <si>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</si>
  <si>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</si>
  <si>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</si>
  <si>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</si>
  <si>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</si>
  <si>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</si>
  <si>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</si>
  <si>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</si>
  <si>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</si>
  <si>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</si>
  <si>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</si>
  <si>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</si>
  <si>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</si>
  <si>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</si>
  <si>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</si>
  <si>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</si>
  <si>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</si>
  <si>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</si>
  <si>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</si>
  <si>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</si>
  <si>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</si>
  <si>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</si>
  <si>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</si>
  <si>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</si>
  <si>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</si>
  <si>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</si>
  <si>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</si>
  <si>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</si>
  <si>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</si>
  <si>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</si>
  <si>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</si>
  <si>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</si>
  <si>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</si>
  <si>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</si>
  <si>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</si>
  <si>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</si>
  <si>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</si>
  <si>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</si>
  <si>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</si>
  <si>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</si>
  <si>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</si>
  <si>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</si>
  <si>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</si>
  <si>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</si>
  <si>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</si>
  <si>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</si>
  <si>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</si>
  <si>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</si>
  <si>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</si>
  <si>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</si>
  <si>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</si>
  <si>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</si>
  <si>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</si>
  <si>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</si>
  <si>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</si>
  <si>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</si>
  <si>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</si>
  <si>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</si>
  <si>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</si>
  <si>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</si>
  <si>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</si>
  <si>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</si>
  <si>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</si>
  <si>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</si>
  <si>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</si>
  <si>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</si>
  <si>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</si>
  <si>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</si>
  <si>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</si>
  <si>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</si>
  <si>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</si>
  <si>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</si>
  <si>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</si>
  <si>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</si>
  <si>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</si>
  <si>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</si>
  <si>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</si>
  <si>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</si>
  <si>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</si>
  <si>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</si>
  <si>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</si>
  <si>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</si>
  <si>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</si>
  <si>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</si>
  <si>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</si>
  <si>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</si>
  <si>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</si>
  <si>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</si>
  <si>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</si>
  <si>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</si>
  <si>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</si>
  <si>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</si>
  <si>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</si>
  <si>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</si>
  <si>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</si>
  <si>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</si>
  <si>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</si>
  <si>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</si>
  <si>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</si>
  <si>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</si>
  <si>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</si>
  <si>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</si>
  <si>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</si>
  <si>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</si>
  <si>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</si>
  <si>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</si>
  <si>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</si>
  <si>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</si>
  <si>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</si>
  <si>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</si>
  <si>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</si>
  <si>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</si>
  <si>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</si>
  <si>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</si>
  <si>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</si>
  <si>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</si>
  <si>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</si>
  <si>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</si>
  <si>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</si>
  <si>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</si>
  <si>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</si>
  <si>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</si>
  <si>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</si>
  <si>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</si>
  <si>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</si>
  <si>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</si>
  <si>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</si>
  <si>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</si>
  <si>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</si>
  <si>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</si>
  <si>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</si>
  <si>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</si>
  <si>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</si>
  <si>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</si>
  <si>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</si>
  <si>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</si>
  <si>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</si>
  <si>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</si>
  <si>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</si>
  <si>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</si>
  <si>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</si>
  <si>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</si>
  <si>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</si>
  <si>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</si>
  <si>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</si>
  <si>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</si>
  <si>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</si>
  <si>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</si>
  <si>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</si>
  <si>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</si>
  <si>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</si>
  <si>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</si>
  <si>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</si>
  <si>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</si>
  <si>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</si>
  <si>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</si>
  <si>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</si>
  <si>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</si>
  <si>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</si>
  <si>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</si>
  <si>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</si>
  <si>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</si>
  <si>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</si>
  <si>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</si>
  <si>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</si>
  <si>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</si>
  <si>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</si>
  <si>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</si>
  <si>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</si>
  <si>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</si>
  <si>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</si>
  <si>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</si>
  <si>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</si>
  <si>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</si>
  <si>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</si>
  <si>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</si>
  <si>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</si>
  <si>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</si>
  <si>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</si>
  <si>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</si>
  <si>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</si>
  <si>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</si>
  <si>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</si>
  <si>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</si>
  <si>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</si>
  <si>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</si>
  <si>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</si>
  <si>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</si>
  <si>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</si>
  <si>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</si>
  <si>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</si>
  <si>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</si>
  <si>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</si>
  <si>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</si>
  <si>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</si>
  <si>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</si>
  <si>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</si>
  <si>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</si>
  <si>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</si>
  <si>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</si>
  <si>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</si>
  <si>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</si>
  <si>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</si>
  <si>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</si>
  <si>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</si>
  <si>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</si>
  <si>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</si>
  <si>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</si>
  <si>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</si>
  <si>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</si>
  <si>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</si>
  <si>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</si>
  <si>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</si>
  <si>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</si>
  <si>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</si>
  <si>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</si>
  <si>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</si>
  <si>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</si>
  <si>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</si>
  <si>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</si>
  <si>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</si>
  <si>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</si>
  <si>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</si>
  <si>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</si>
  <si>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</si>
  <si>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</si>
  <si>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</si>
  <si>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</si>
  <si>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</si>
  <si>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</si>
  <si>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</si>
  <si>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</si>
  <si>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</si>
  <si>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</si>
  <si>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</si>
  <si>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</si>
  <si>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</si>
  <si>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</si>
  <si>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</si>
  <si>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</si>
  <si>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</si>
  <si>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</si>
  <si>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</si>
  <si>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</si>
  <si>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</si>
  <si>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</si>
  <si>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</si>
  <si>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</si>
  <si>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</si>
  <si>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</si>
  <si>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</si>
  <si>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</si>
  <si>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</si>
  <si>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</si>
  <si>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</si>
  <si>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</si>
  <si>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</si>
  <si>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</si>
  <si>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</si>
  <si>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</si>
  <si>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</si>
  <si>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</si>
  <si>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</si>
  <si>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</si>
  <si>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</si>
  <si>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</si>
  <si>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</si>
  <si>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</si>
  <si>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</si>
  <si>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</si>
  <si>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</si>
  <si>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</si>
  <si>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</si>
  <si>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</si>
  <si>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</si>
  <si>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</si>
  <si>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</si>
  <si>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</si>
  <si>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</si>
  <si>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</si>
  <si>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</si>
  <si>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</si>
  <si>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</si>
  <si>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</si>
  <si>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</si>
  <si>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</si>
  <si>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</si>
  <si>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</si>
  <si>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</si>
  <si>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</si>
  <si>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</si>
  <si>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</si>
  <si>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</si>
  <si>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</si>
  <si>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</si>
  <si>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</si>
  <si>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</si>
  <si>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</si>
  <si>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</si>
  <si>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</si>
  <si>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</si>
  <si>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</si>
  <si>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</si>
  <si>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</si>
  <si>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</si>
  <si>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</si>
  <si>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</si>
  <si>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</si>
  <si>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</si>
  <si>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</si>
  <si>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</si>
  <si>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</si>
  <si>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</si>
  <si>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</si>
  <si>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</si>
  <si>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</si>
  <si>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</si>
  <si>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</si>
  <si>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</si>
  <si>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</si>
  <si>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</si>
  <si>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</si>
  <si>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</si>
  <si>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</si>
  <si>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</si>
  <si>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</si>
  <si>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</si>
  <si>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</si>
  <si>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</si>
  <si>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</si>
  <si>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</si>
  <si>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</si>
  <si>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</si>
  <si>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</si>
  <si>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</si>
  <si>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</si>
  <si>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</si>
  <si>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</si>
  <si>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</si>
  <si>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</si>
  <si>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</si>
  <si>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</si>
  <si>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</si>
  <si>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</si>
  <si>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</si>
  <si>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</si>
  <si>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</si>
  <si>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</si>
  <si>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</si>
  <si>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</si>
  <si>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</si>
  <si>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</si>
  <si>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</si>
  <si>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</si>
  <si>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</si>
  <si>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</si>
  <si>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</si>
  <si>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</si>
  <si>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</si>
  <si>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</si>
  <si>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</si>
  <si>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</si>
  <si>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</si>
  <si>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</si>
  <si>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</si>
  <si>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</si>
  <si>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</si>
  <si>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</si>
  <si>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</si>
  <si>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</si>
  <si>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</si>
  <si>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</si>
  <si>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</si>
  <si>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</si>
  <si>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</si>
  <si>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</si>
  <si>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</si>
  <si>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</si>
  <si>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</si>
  <si>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</si>
  <si>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</si>
  <si>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</si>
  <si>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</si>
  <si>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</si>
  <si>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</si>
  <si>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</si>
  <si>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</si>
  <si>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</si>
  <si>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</si>
  <si>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</si>
  <si>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</si>
  <si>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</si>
  <si>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</si>
  <si>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</si>
  <si>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</si>
  <si>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</si>
  <si>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</si>
  <si>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</si>
  <si>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</si>
  <si>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</si>
  <si>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</si>
  <si>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</si>
  <si>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</si>
  <si>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</si>
  <si>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</si>
  <si>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</si>
  <si>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</si>
  <si>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</si>
  <si>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</si>
  <si>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</si>
  <si>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</si>
  <si>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</si>
  <si>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</si>
  <si>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</si>
  <si>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</si>
  <si>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</si>
  <si>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</si>
  <si>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</si>
  <si>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</si>
  <si>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</si>
  <si>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</si>
  <si>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</si>
  <si>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</si>
  <si>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</si>
  <si>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</si>
  <si>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</si>
  <si>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</si>
  <si>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</si>
  <si>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</si>
  <si>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</si>
  <si>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</si>
  <si>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</si>
  <si>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</si>
  <si>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</si>
  <si>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</si>
  <si>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</si>
  <si>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</si>
  <si>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</si>
  <si>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</si>
  <si>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</si>
  <si>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</si>
  <si>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</si>
  <si>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</si>
  <si>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</si>
  <si>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</si>
  <si>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</si>
  <si>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</si>
  <si>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</si>
  <si>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</si>
  <si>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</si>
  <si>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</si>
  <si>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</si>
  <si>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</si>
  <si>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</si>
  <si>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</si>
  <si>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</si>
  <si>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</si>
  <si>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</si>
  <si>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</si>
  <si>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</si>
  <si>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</si>
  <si>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</si>
  <si>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</si>
  <si>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</si>
  <si>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</si>
  <si>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</si>
  <si>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</si>
  <si>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</si>
  <si>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</si>
  <si>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</si>
  <si>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</si>
  <si>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</si>
  <si>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</si>
  <si>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</si>
  <si>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</si>
  <si>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</si>
  <si>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</si>
  <si>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</si>
  <si>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</si>
  <si>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</si>
  <si>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</si>
  <si>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</si>
  <si>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</si>
  <si>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</si>
  <si>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</si>
  <si>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</si>
  <si>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</si>
  <si>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</si>
  <si>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</si>
  <si>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</si>
  <si>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</si>
  <si>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</si>
  <si>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</si>
  <si>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</si>
  <si>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</si>
  <si>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</si>
  <si>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</si>
  <si>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</si>
  <si>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</si>
  <si>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</si>
  <si>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</si>
  <si>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</si>
  <si>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</si>
  <si>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</si>
  <si>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</si>
  <si>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</si>
  <si>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</si>
  <si>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</si>
  <si>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</si>
  <si>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</si>
  <si>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</si>
  <si>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</si>
  <si>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</si>
  <si>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</si>
  <si>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</si>
  <si>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</si>
  <si>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</si>
  <si>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</si>
  <si>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</si>
  <si>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</si>
  <si>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</si>
  <si>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</si>
  <si>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</si>
  <si>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</si>
  <si>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</si>
  <si>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</si>
  <si>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</si>
  <si>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</si>
  <si>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</si>
  <si>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</si>
  <si>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</si>
  <si>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</si>
  <si>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</si>
  <si>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</si>
  <si>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</si>
  <si>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</si>
  <si>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</si>
  <si>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</si>
  <si>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</si>
  <si>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</si>
  <si>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</si>
  <si>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</si>
  <si>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</si>
  <si>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</si>
  <si>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</si>
  <si>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</si>
  <si>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</si>
  <si>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</si>
  <si>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</si>
  <si>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</si>
  <si>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</si>
  <si>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</si>
  <si>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</si>
  <si>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</si>
  <si>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</si>
  <si>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</si>
  <si>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</si>
  <si>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</si>
  <si>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</si>
  <si>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</si>
  <si>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</si>
  <si>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</si>
  <si>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</si>
  <si>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La emisión de luz es la consecuencia de la descarga eléctrica a través de vapor de mercurio a baja presión</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</si>
  <si>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</si>
  <si>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</si>
  <si>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</si>
  <si>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</si>
  <si>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</si>
  <si>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</si>
  <si>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</si>
  <si>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</si>
  <si>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</si>
  <si>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</si>
  <si>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</si>
  <si>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</si>
  <si>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</si>
  <si>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</si>
  <si>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</si>
  <si>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</si>
  <si>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</si>
  <si>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</si>
  <si>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</si>
  <si>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</si>
  <si>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</si>
  <si>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</si>
  <si>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</si>
  <si>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</si>
  <si>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</si>
  <si>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</si>
  <si>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</si>
  <si>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</si>
  <si>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</si>
  <si>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</si>
  <si>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</si>
  <si>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</si>
  <si>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</si>
  <si>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</si>
  <si>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</si>
  <si>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</si>
  <si>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</si>
  <si>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</si>
  <si>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</si>
  <si>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</si>
  <si>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</si>
  <si>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</si>
  <si>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</si>
  <si>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</si>
  <si>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</si>
  <si>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</si>
  <si>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</si>
  <si>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</si>
  <si>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</si>
  <si>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</si>
  <si>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</si>
  <si>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</si>
  <si>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</si>
  <si>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</si>
  <si>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</si>
  <si>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</si>
  <si>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</si>
  <si>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</si>
  <si>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</si>
  <si>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</si>
  <si>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</si>
  <si>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</si>
  <si>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</si>
  <si>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</si>
  <si>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</si>
  <si>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</si>
  <si>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</si>
  <si>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</si>
  <si>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</si>
  <si>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</si>
  <si>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</si>
  <si>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</si>
  <si>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</si>
  <si>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</si>
  <si>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</si>
  <si>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</si>
  <si>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</si>
  <si>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</si>
  <si>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</si>
  <si>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</si>
  <si>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</si>
  <si>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</si>
  <si>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</si>
  <si>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</si>
  <si>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</si>
  <si>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</si>
  <si>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</si>
  <si>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</si>
  <si>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</si>
  <si>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</si>
  <si>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</si>
  <si>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</si>
  <si>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</si>
  <si>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</si>
  <si>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</si>
  <si>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</si>
  <si>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</si>
  <si>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</si>
  <si>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</si>
  <si>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</si>
  <si>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</si>
  <si>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</si>
  <si>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</si>
  <si>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</si>
  <si>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</si>
  <si>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</si>
  <si>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</si>
  <si>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</si>
  <si>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</si>
  <si>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</si>
  <si>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</si>
  <si>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</si>
  <si>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</si>
  <si>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</si>
  <si>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</si>
  <si>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</si>
  <si>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</si>
  <si>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</si>
  <si>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</si>
  <si>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</si>
  <si>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</si>
  <si>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</si>
  <si>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</si>
  <si>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</si>
  <si>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</si>
  <si>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</si>
  <si>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</si>
  <si>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</si>
  <si>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</si>
  <si>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</si>
  <si>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</si>
  <si>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</si>
  <si>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</si>
  <si>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</si>
  <si>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</si>
  <si>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</si>
  <si>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</si>
  <si>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</si>
  <si>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</si>
  <si>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</si>
  <si>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</si>
  <si>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</si>
  <si>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</si>
  <si>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</si>
  <si>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</si>
  <si>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</si>
  <si>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</si>
  <si>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</si>
  <si>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</si>
  <si>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</si>
  <si>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</si>
  <si>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</si>
  <si>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</si>
  <si>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</si>
  <si>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</si>
  <si>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</si>
  <si>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</si>
  <si>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</si>
  <si>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</si>
  <si>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</si>
  <si>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</si>
  <si>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</si>
  <si>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</si>
  <si>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</si>
  <si>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</si>
  <si>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</si>
  <si>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</si>
  <si>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</si>
  <si>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</si>
  <si>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</si>
  <si>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</si>
  <si>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</si>
  <si>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</si>
  <si>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</si>
  <si>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</si>
  <si>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</si>
  <si>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</si>
  <si>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</si>
  <si>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</si>
  <si>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</si>
  <si>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</si>
  <si>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</si>
  <si>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</si>
  <si>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</si>
  <si>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</si>
  <si>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</si>
  <si>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</si>
  <si>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</si>
  <si>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</si>
  <si>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</si>
  <si>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</si>
  <si>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</si>
  <si>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</si>
  <si>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</si>
  <si>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</si>
  <si>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</si>
  <si>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</si>
  <si>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</si>
  <si>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</si>
  <si>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</si>
  <si>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</si>
  <si>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</si>
  <si>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</si>
  <si>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</si>
  <si>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</si>
  <si>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</si>
  <si>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</si>
  <si>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</si>
  <si>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</si>
  <si>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</si>
  <si>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</si>
  <si>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</si>
  <si>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</si>
  <si>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</si>
  <si>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</si>
  <si>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</si>
  <si>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</si>
  <si>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</si>
  <si>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</si>
  <si>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</si>
  <si>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</si>
  <si>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</si>
  <si>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</si>
  <si>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</si>
  <si>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</si>
  <si>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</si>
  <si>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</si>
  <si>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</si>
  <si>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</si>
  <si>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</si>
  <si>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</si>
  <si>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</si>
  <si>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</si>
  <si>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</si>
  <si>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</si>
  <si>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</si>
  <si>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</si>
  <si>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</si>
  <si>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</si>
  <si>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</si>
  <si>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</si>
  <si>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</si>
  <si>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</si>
  <si>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</si>
  <si>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</si>
  <si>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</si>
  <si>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</si>
  <si>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</si>
  <si>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</si>
  <si>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</si>
  <si>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El empresario.</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</si>
  <si>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</si>
  <si>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</si>
  <si>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</si>
  <si>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</si>
  <si>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</si>
  <si>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</si>
  <si>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</si>
  <si>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</si>
  <si>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</si>
  <si>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</si>
  <si>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</si>
  <si>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</si>
  <si>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</si>
  <si>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</si>
  <si>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</si>
  <si>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</si>
  <si>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</si>
  <si>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</si>
  <si>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</si>
  <si>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</si>
  <si>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</si>
  <si>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</si>
  <si>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</si>
  <si>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</si>
  <si>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</si>
  <si>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</si>
  <si>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</si>
  <si>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</si>
  <si>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</si>
  <si>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</si>
  <si>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</si>
  <si>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</si>
  <si>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</si>
  <si>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</si>
  <si>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</si>
  <si>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Las pinturas fungicidas se usan para:</t>
  </si>
  <si>
    <t>Imprimar metales ferrosos.</t>
  </si>
  <si>
    <t>Sellar el poro en guarnecidos de mortero o yeso.</t>
  </si>
  <si>
    <t>Paredes interiores de los locales con elevada humedad y propensos a la proliferación de moho.</t>
  </si>
  <si>
    <t>La cubrición de manchas existentes, por ejemplo, grafitis.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</si>
  <si>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</si>
  <si>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</si>
  <si>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</si>
  <si>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</si>
  <si>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</si>
  <si>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</si>
  <si>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</si>
  <si>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</si>
  <si>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</si>
  <si>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</si>
  <si>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</si>
  <si>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</si>
  <si>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</si>
  <si>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</si>
  <si>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</si>
  <si>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</si>
  <si>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</si>
  <si>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</si>
  <si>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</si>
  <si>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</si>
  <si>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</si>
  <si>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</si>
  <si>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</si>
  <si>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</si>
  <si>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</si>
  <si>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</si>
  <si>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</si>
  <si>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</si>
  <si>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</si>
  <si>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</si>
  <si>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</si>
  <si>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</si>
  <si>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</si>
  <si>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</si>
  <si>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</si>
  <si>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</si>
  <si>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</si>
  <si>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</si>
  <si>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</si>
  <si>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</si>
  <si>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</si>
  <si>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</si>
  <si>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</si>
  <si>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</si>
  <si>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</si>
  <si>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</si>
  <si>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</si>
  <si>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</si>
  <si>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</si>
  <si>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</si>
  <si>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</si>
  <si>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</si>
  <si>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</si>
  <si>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</si>
  <si>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</si>
  <si>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</si>
  <si>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</si>
  <si>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</si>
  <si>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</si>
  <si>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</si>
  <si>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</si>
  <si>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</si>
  <si>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</si>
  <si>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</si>
  <si>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</si>
  <si>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</si>
  <si>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</si>
  <si>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</si>
  <si>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</si>
  <si>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</si>
  <si>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</si>
  <si>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</si>
  <si>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</si>
  <si>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</si>
  <si>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</si>
  <si>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</si>
  <si>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</si>
  <si>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</si>
  <si>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</si>
  <si>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</si>
  <si>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</si>
  <si>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</si>
  <si>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</si>
  <si>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</si>
  <si>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</si>
  <si>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</si>
  <si>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</si>
  <si>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</si>
  <si>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</si>
  <si>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</si>
  <si>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</si>
  <si>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</si>
  <si>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</si>
  <si>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</si>
  <si>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</si>
  <si>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</si>
  <si>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</si>
  <si>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</si>
  <si>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</si>
  <si>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</si>
  <si>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</si>
  <si>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</si>
  <si>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</si>
  <si>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</si>
  <si>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</si>
  <si>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</si>
  <si>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</si>
  <si>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</si>
  <si>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</si>
  <si>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</si>
  <si>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</si>
  <si>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</si>
  <si>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</si>
  <si>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</si>
  <si>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</si>
  <si>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</si>
  <si>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</si>
  <si>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</si>
  <si>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</si>
  <si>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</si>
  <si>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</si>
  <si>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</si>
  <si>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</si>
  <si>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</si>
  <si>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</si>
  <si>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</si>
  <si>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</si>
  <si>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</si>
  <si>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</si>
  <si>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</si>
  <si>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</si>
  <si>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</si>
  <si>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</si>
  <si>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</si>
  <si>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</si>
  <si>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</si>
  <si>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</si>
  <si>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</si>
  <si>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</si>
  <si>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</si>
  <si>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</si>
  <si>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</si>
  <si>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</si>
  <si>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</si>
  <si>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</si>
  <si>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</si>
  <si>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</si>
  <si>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</si>
  <si>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</si>
  <si>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</si>
  <si>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</si>
  <si>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</si>
  <si>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</si>
  <si>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</si>
  <si>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</si>
  <si>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</si>
  <si>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</si>
  <si>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</si>
  <si>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</si>
  <si>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</si>
  <si>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</si>
  <si>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</si>
  <si>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</si>
  <si>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</si>
  <si>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</si>
  <si>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</si>
  <si>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</si>
  <si>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</si>
  <si>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</si>
  <si>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</si>
  <si>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</si>
  <si>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</si>
  <si>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</si>
  <si>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</si>
  <si>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</si>
  <si>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</si>
  <si>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</si>
  <si>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</si>
  <si>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</si>
  <si>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</si>
  <si>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</si>
  <si>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</si>
  <si>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</si>
  <si>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</si>
  <si>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</si>
  <si>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</si>
  <si>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</si>
  <si>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</si>
  <si>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</si>
  <si>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</si>
  <si>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</si>
  <si>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</si>
  <si>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</si>
  <si>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</si>
  <si>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</si>
  <si>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</si>
  <si>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</si>
  <si>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</si>
  <si>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</si>
  <si>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</si>
  <si>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</si>
  <si>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</si>
  <si>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</si>
  <si>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</si>
  <si>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</si>
  <si>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</si>
  <si>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</si>
  <si>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</si>
  <si>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</si>
  <si>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</si>
  <si>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</si>
  <si>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</si>
  <si>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</si>
  <si>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</si>
  <si>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</si>
  <si>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</si>
  <si>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</si>
  <si>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</si>
  <si>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</si>
  <si>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</si>
  <si>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</si>
  <si>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</si>
  <si>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</si>
  <si>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</si>
  <si>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</si>
  <si>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¿Qué tres colores son básicos o primarios en pintura?</t>
  </si>
  <si>
    <t>Amarillo, verde y blanco.</t>
  </si>
  <si>
    <t>Amarillo, verde, rojo.</t>
  </si>
  <si>
    <t>Azul, rojo y amarillo.</t>
  </si>
  <si>
    <t>Azul, amarillo, violeta.</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</si>
  <si>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</si>
  <si>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</si>
  <si>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</si>
  <si>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</si>
  <si>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</si>
  <si>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</si>
  <si>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</si>
  <si>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</si>
  <si>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</si>
  <si>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</si>
  <si>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</si>
  <si>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</si>
  <si>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</si>
  <si>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</si>
  <si>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</si>
  <si>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</si>
  <si>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</si>
  <si>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</si>
  <si>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</si>
  <si>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</si>
  <si>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</si>
  <si>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</si>
  <si>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</si>
  <si>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</si>
  <si>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</si>
  <si>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</si>
  <si>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</si>
  <si>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</si>
  <si>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</si>
  <si>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</si>
  <si>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</si>
  <si>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</si>
  <si>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</si>
  <si>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</si>
  <si>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</si>
  <si>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</si>
  <si>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</si>
  <si>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En pintura, una paletina es:</t>
  </si>
  <si>
    <t>Un tipo de virola.</t>
  </si>
  <si>
    <t>Un tipo de rodillo.</t>
  </si>
  <si>
    <t>Un tipo de brocha.</t>
  </si>
  <si>
    <t>La tabla en la que los pintores mezclan los colores.</t>
  </si>
  <si>
    <t>El péndulo de Charpy es un dispositivo que se utiliza en ensayos de materiales para determinar:</t>
  </si>
  <si>
    <t>Elasticidad.</t>
  </si>
  <si>
    <t>Resistencia.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</si>
  <si>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</si>
  <si>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</si>
  <si>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</si>
  <si>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</si>
  <si>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</si>
  <si>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</si>
  <si>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</si>
  <si>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</si>
  <si>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</si>
  <si>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</si>
  <si>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</si>
  <si>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</si>
  <si>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</si>
  <si>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</si>
  <si>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</si>
  <si>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</si>
  <si>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</si>
  <si>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</si>
  <si>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</si>
  <si>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</si>
  <si>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</si>
  <si>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</si>
  <si>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</si>
  <si>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</si>
  <si>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</si>
  <si>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</si>
  <si>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</si>
  <si>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</si>
  <si>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</si>
  <si>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</si>
  <si>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</si>
  <si>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</si>
  <si>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</si>
  <si>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Nos dicen que tenemos que pintar una habitación de color beige. ¿Que colores tendremos que mezclar para conseguir el citado color?</t>
  </si>
  <si>
    <t>A partir de pintura de color naranja añadiendo pintura de color blanco.</t>
  </si>
  <si>
    <t>A partir de pintura de color blanco añadiendo colorante negro y colorante ocre o amarillo.</t>
  </si>
  <si>
    <t>A partir de pintura ocre añadiendo colorante verde o amarillo.</t>
  </si>
  <si>
    <t>A partir de pintura de color blanco añadiendo colorante de color sombra.</t>
  </si>
  <si>
    <t>Etiquetas de fila</t>
  </si>
  <si>
    <t>(en blanco)</t>
  </si>
  <si>
    <t>Total general</t>
  </si>
  <si>
    <t>Cuenta de Pregunta</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</si>
  <si>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</si>
  <si>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</si>
  <si>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</si>
  <si>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</si>
  <si>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</si>
  <si>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</si>
  <si>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</si>
  <si>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</si>
  <si>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</si>
  <si>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</si>
  <si>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</si>
  <si>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</si>
  <si>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</si>
  <si>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</si>
  <si>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</si>
  <si>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</si>
  <si>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</si>
  <si>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</si>
  <si>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</si>
  <si>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</si>
  <si>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</si>
  <si>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</si>
  <si>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</si>
  <si>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</si>
  <si>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</si>
  <si>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</si>
  <si>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</si>
  <si>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</si>
  <si>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</si>
  <si>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</si>
  <si>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</si>
  <si>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</si>
  <si>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</si>
  <si>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</si>
  <si>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</si>
  <si>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</si>
  <si>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</si>
  <si>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</si>
  <si>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</si>
  <si>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</si>
  <si>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</si>
  <si>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</si>
  <si>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</si>
  <si>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</si>
  <si>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</si>
  <si>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</si>
  <si>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</si>
  <si>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</si>
  <si>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</si>
  <si>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</si>
  <si>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</si>
  <si>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</si>
  <si>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</si>
  <si>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</si>
  <si>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</si>
  <si>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</si>
  <si>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</si>
  <si>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</si>
  <si>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</si>
  <si>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</si>
  <si>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</si>
  <si>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</si>
  <si>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</si>
  <si>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</si>
  <si>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</si>
  <si>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</si>
  <si>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</si>
  <si>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</si>
  <si>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</si>
  <si>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</si>
  <si>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</si>
  <si>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</si>
  <si>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</si>
  <si>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</si>
  <si>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</si>
  <si>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</si>
  <si>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</si>
  <si>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</si>
  <si>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</si>
  <si>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</si>
  <si>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</si>
  <si>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</si>
  <si>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</si>
  <si>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</si>
  <si>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</si>
  <si>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</si>
  <si>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</si>
  <si>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</si>
  <si>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</si>
  <si>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</si>
  <si>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</si>
  <si>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</si>
  <si>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1 metro por medio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</si>
  <si>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</si>
  <si>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</si>
  <si>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</si>
  <si>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</si>
  <si>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</si>
  <si>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</si>
  <si>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</si>
  <si>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</si>
  <si>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</si>
  <si>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</si>
  <si>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</si>
  <si>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</si>
  <si>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</si>
  <si>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</si>
  <si>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</si>
  <si>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</si>
  <si>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</si>
  <si>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</si>
  <si>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</si>
  <si>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</si>
  <si>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</si>
  <si>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</si>
  <si>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</si>
  <si>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</si>
  <si>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</si>
  <si>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</si>
  <si>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</si>
  <si>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</si>
  <si>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</si>
  <si>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</si>
  <si>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</si>
  <si>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</si>
  <si>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</si>
  <si>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</si>
  <si>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</si>
  <si>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</si>
  <si>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</si>
  <si>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</si>
  <si>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</si>
  <si>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</si>
  <si>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</si>
  <si>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</si>
  <si>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</si>
  <si>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</si>
  <si>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</si>
  <si>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</si>
  <si>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</si>
  <si>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</si>
  <si>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</si>
  <si>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</si>
  <si>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</si>
  <si>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</si>
  <si>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</si>
  <si>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</si>
  <si>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</si>
  <si>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</si>
  <si>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</si>
  <si>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</si>
  <si>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</si>
  <si>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</si>
  <si>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</si>
  <si>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</si>
  <si>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</si>
  <si>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</si>
  <si>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</si>
  <si>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</si>
  <si>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</si>
  <si>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</si>
  <si>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</si>
  <si>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</si>
  <si>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</si>
  <si>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</si>
  <si>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</si>
  <si>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</si>
  <si>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</si>
  <si>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</si>
  <si>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</si>
  <si>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</si>
  <si>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</si>
  <si>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</si>
  <si>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</si>
  <si>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</si>
  <si>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</si>
  <si>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</si>
  <si>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</si>
  <si>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</si>
  <si>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</si>
  <si>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</si>
  <si>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</si>
  <si>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</si>
  <si>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</si>
  <si>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</si>
  <si>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</si>
  <si>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</si>
  <si>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</si>
  <si>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</si>
  <si>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</si>
  <si>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</si>
  <si>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</si>
  <si>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</si>
  <si>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</si>
  <si>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</si>
  <si>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</si>
  <si>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</si>
  <si>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</si>
  <si>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</si>
  <si>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</si>
  <si>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</si>
  <si>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</si>
  <si>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</si>
  <si>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</si>
  <si>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</si>
  <si>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</si>
  <si>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</si>
  <si>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</si>
  <si>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</si>
  <si>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</si>
  <si>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</si>
  <si>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</si>
  <si>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</si>
  <si>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</si>
  <si>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</si>
  <si>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</si>
  <si>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</si>
  <si>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</si>
  <si>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</si>
  <si>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</si>
  <si>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</si>
  <si>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</si>
  <si>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</si>
  <si>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</si>
  <si>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</si>
  <si>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</si>
  <si>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</si>
  <si>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</si>
  <si>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</si>
  <si>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</si>
  <si>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</si>
  <si>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</si>
  <si>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</si>
  <si>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</si>
  <si>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</si>
  <si>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</si>
  <si>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</si>
  <si>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</si>
  <si>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</si>
  <si>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</si>
  <si>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</si>
  <si>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</si>
  <si>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</si>
  <si>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</si>
  <si>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</si>
  <si>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</si>
  <si>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</si>
  <si>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</si>
  <si>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</si>
  <si>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</si>
  <si>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</si>
  <si>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</si>
  <si>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</si>
  <si>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</si>
  <si>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</si>
  <si>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</si>
  <si>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</si>
  <si>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</si>
  <si>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</si>
  <si>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</si>
  <si>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</si>
  <si>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</si>
  <si>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</si>
  <si>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</si>
  <si>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</si>
  <si>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</si>
  <si>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</si>
  <si>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</si>
  <si>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</si>
  <si>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</si>
  <si>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</si>
  <si>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</si>
  <si>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</si>
  <si>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</si>
  <si>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</si>
  <si>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</si>
  <si>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</si>
  <si>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</si>
  <si>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</si>
  <si>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</si>
  <si>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</si>
  <si>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</si>
  <si>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</si>
  <si>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</si>
  <si>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</si>
  <si>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</si>
  <si>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</si>
  <si>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</si>
  <si>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</si>
  <si>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</si>
  <si>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</si>
  <si>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</si>
  <si>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</si>
  <si>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</si>
  <si>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</si>
  <si>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</si>
  <si>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</si>
  <si>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</si>
  <si>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</si>
  <si>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</si>
  <si>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</si>
  <si>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</si>
  <si>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</si>
  <si>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</si>
  <si>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</si>
  <si>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</si>
  <si>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</si>
  <si>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</si>
  <si>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</si>
  <si>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</si>
  <si>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</si>
  <si>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</si>
  <si>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</si>
  <si>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</si>
  <si>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</si>
  <si>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</si>
  <si>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</si>
  <si>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</si>
  <si>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</si>
  <si>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</si>
  <si>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</si>
  <si>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</si>
  <si>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</si>
  <si>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</si>
  <si>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</si>
  <si>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</si>
  <si>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</si>
  <si>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</si>
  <si>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</si>
  <si>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</si>
  <si>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</si>
  <si>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</si>
  <si>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</si>
  <si>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</si>
  <si>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</si>
  <si>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</si>
  <si>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</si>
  <si>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</si>
  <si>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</si>
  <si>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</si>
  <si>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</si>
  <si>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</si>
  <si>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</si>
  <si>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</si>
  <si>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</si>
  <si>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</si>
  <si>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</si>
  <si>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</si>
  <si>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</si>
  <si>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</si>
  <si>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</si>
  <si>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</si>
  <si>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</si>
  <si>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</si>
  <si>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</si>
  <si>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</si>
  <si>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</si>
  <si>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</si>
  <si>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</si>
  <si>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</si>
  <si>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</si>
  <si>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</si>
  <si>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</si>
  <si>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</si>
  <si>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</si>
  <si>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</si>
  <si>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</si>
  <si>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</si>
  <si>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</si>
  <si>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</si>
  <si>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</si>
  <si>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</si>
  <si>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</si>
  <si>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</si>
  <si>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</si>
  <si>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</si>
  <si>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</si>
  <si>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</si>
  <si>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</si>
  <si>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</si>
  <si>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</si>
  <si>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</si>
  <si>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</si>
  <si>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</si>
  <si>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</si>
  <si>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</si>
  <si>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</si>
  <si>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</si>
  <si>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</si>
  <si>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</si>
  <si>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</si>
  <si>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</si>
  <si>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</si>
  <si>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</si>
  <si>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</si>
  <si>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</si>
  <si>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</si>
  <si>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</si>
  <si>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</si>
  <si>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</si>
  <si>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</si>
  <si>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</si>
  <si>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</si>
  <si>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</si>
  <si>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</si>
  <si>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</si>
  <si>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</si>
  <si>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</si>
  <si>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</si>
  <si>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</si>
  <si>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</si>
  <si>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</si>
  <si>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</si>
  <si>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</si>
  <si>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</si>
  <si>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</si>
  <si>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</si>
  <si>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</si>
  <si>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</si>
  <si>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</si>
  <si>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</si>
  <si>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</si>
  <si>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</si>
  <si>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</si>
  <si>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</si>
  <si>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</si>
  <si>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</si>
  <si>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</si>
  <si>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</si>
  <si>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</si>
  <si>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</si>
  <si>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</si>
  <si>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</si>
  <si>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</si>
  <si>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</si>
  <si>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</si>
  <si>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</si>
  <si>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</si>
  <si>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</si>
  <si>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</si>
  <si>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</si>
  <si>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</si>
  <si>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</si>
  <si>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</si>
  <si>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</si>
  <si>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</si>
  <si>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</si>
  <si>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</si>
  <si>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</si>
  <si>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</si>
  <si>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</si>
  <si>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</si>
  <si>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</si>
  <si>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</si>
  <si>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</si>
  <si>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</si>
  <si>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</si>
  <si>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</si>
  <si>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</si>
  <si>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</si>
  <si>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</si>
  <si>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</si>
  <si>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</si>
  <si>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</si>
  <si>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</si>
  <si>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</si>
  <si>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</si>
  <si>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</si>
  <si>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</si>
  <si>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</si>
  <si>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</si>
  <si>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</si>
  <si>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</si>
  <si>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</si>
  <si>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</si>
  <si>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</si>
  <si>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</si>
  <si>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</si>
  <si>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</si>
  <si>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</si>
  <si>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</si>
  <si>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</si>
  <si>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</si>
  <si>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</si>
  <si>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</si>
  <si>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</si>
  <si>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</si>
  <si>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</si>
  <si>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</si>
  <si>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</si>
  <si>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</si>
  <si>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</si>
  <si>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</si>
  <si>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</si>
  <si>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</si>
  <si>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</si>
  <si>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</si>
  <si>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</si>
  <si>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</si>
  <si>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</si>
  <si>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</si>
  <si>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</si>
  <si>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</si>
  <si>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</si>
  <si>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</si>
  <si>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</si>
  <si>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</si>
  <si>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</si>
  <si>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</si>
  <si>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</si>
  <si>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</si>
  <si>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</si>
  <si>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</si>
  <si>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</si>
  <si>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</si>
  <si>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</si>
  <si>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</si>
  <si>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</si>
  <si>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</si>
  <si>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</si>
  <si>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</si>
  <si>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</si>
  <si>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</si>
  <si>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</si>
  <si>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</si>
  <si>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</si>
  <si>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</si>
  <si>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</si>
  <si>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</si>
  <si>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</si>
  <si>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</si>
  <si>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</si>
  <si>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</si>
  <si>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</si>
  <si>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</si>
  <si>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</si>
  <si>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</si>
  <si>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</si>
  <si>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</si>
  <si>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</si>
  <si>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</si>
  <si>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</si>
  <si>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</si>
  <si>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</si>
  <si>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</si>
  <si>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</si>
  <si>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</si>
  <si>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</si>
  <si>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</si>
  <si>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</si>
  <si>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</si>
  <si>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</si>
  <si>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</si>
  <si>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</si>
  <si>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</si>
  <si>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</si>
  <si>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</si>
  <si>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</si>
  <si>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</si>
  <si>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</si>
  <si>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</si>
  <si>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</si>
  <si>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</si>
  <si>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</si>
  <si>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</si>
  <si>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</si>
  <si>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</si>
  <si>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</si>
  <si>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</si>
  <si>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</si>
  <si>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</si>
  <si>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</si>
  <si>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</si>
  <si>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</si>
  <si>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</si>
  <si>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</si>
  <si>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</si>
  <si>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</si>
  <si>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</si>
  <si>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</si>
  <si>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</si>
  <si>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</si>
  <si>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</si>
  <si>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</si>
  <si>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</si>
  <si>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</si>
  <si>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</si>
  <si>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</si>
  <si>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</si>
  <si>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</si>
  <si>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</si>
  <si>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</si>
  <si>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</si>
  <si>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</si>
  <si>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</si>
  <si>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</si>
  <si>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</si>
  <si>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</si>
  <si>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</si>
  <si>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</si>
  <si>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</si>
  <si>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</si>
  <si>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</si>
  <si>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</si>
  <si>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</si>
  <si>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</si>
  <si>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</si>
  <si>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</si>
  <si>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</si>
  <si>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</si>
  <si>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</si>
  <si>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</si>
  <si>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</si>
  <si>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</si>
  <si>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</si>
  <si>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</si>
  <si>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</si>
  <si>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</si>
  <si>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</si>
  <si>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</si>
  <si>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</si>
  <si>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</si>
  <si>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</si>
  <si>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</si>
  <si>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</si>
  <si>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</si>
  <si>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</si>
  <si>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</si>
  <si>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</si>
  <si>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</si>
  <si>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</si>
  <si>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</si>
  <si>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</si>
  <si>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</si>
  <si>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</si>
  <si>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</si>
  <si>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</si>
  <si>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</si>
  <si>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</si>
  <si>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</si>
  <si>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</si>
  <si>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</si>
  <si>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</si>
  <si>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</si>
  <si>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</si>
  <si>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</si>
  <si>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</si>
  <si>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</si>
  <si>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</si>
  <si>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</si>
  <si>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</si>
  <si>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</si>
  <si>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</si>
  <si>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</si>
  <si>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Al muro de ladrillo en el que se van trabando entre sí hiladas de dos tipos de ladrillo.</t>
  </si>
  <si>
    <t>¿Cuántos artículos tiene la Constitución española de 1978?</t>
  </si>
  <si>
    <t>Según el artículo 9.1 de la Constitución española están sujetos a la Constitución y al resto del ordenamiento jurídico:</t>
  </si>
  <si>
    <t>Los ciudadanos y los poderes públicos</t>
  </si>
  <si>
    <t>Los poderes públicos.</t>
  </si>
  <si>
    <t>Los ciudadanos.</t>
  </si>
  <si>
    <t>Según el artículo 141.1 de la Constitución española cualquier alteración de los límites provinciales habrá de ser aprobada:</t>
  </si>
  <si>
    <t>Por las Cortes Generales.</t>
  </si>
  <si>
    <t>Por las Cortes Generales mediante ley orgánica</t>
  </si>
  <si>
    <t>Por el Gobierno.</t>
  </si>
  <si>
    <t>Ostenta la suprema representación de la Comunidad Autónoma.</t>
  </si>
  <si>
    <t>Ostenta la representación ordinaria del Estado en el territorio de la Comunidad.</t>
  </si>
  <si>
    <t>El artículo 53.3 del Estatuto de Autonomía de Aragón dice que el Gobierno de Aragón responde políticamente:</t>
  </si>
  <si>
    <t>Ante el Tribunal Superior de Justicia de Aragón.</t>
  </si>
  <si>
    <t>Ante el Justicia de Aragón.</t>
  </si>
  <si>
    <t>Ante las Cortes de Aragón.</t>
  </si>
  <si>
    <t>Se iniciarán, en todo caso, de oficio.</t>
  </si>
  <si>
    <t>Podrán iniciarse de oficio o a solicitud del interesado</t>
  </si>
  <si>
    <t>Se iniciarán en todo caso, a solicitud del interesado.</t>
  </si>
  <si>
    <t>La ejecución subsidiaria.</t>
  </si>
  <si>
    <t>La multa coercitiva.</t>
  </si>
  <si>
    <t>Las tasas y las contribuciones especiales.</t>
  </si>
  <si>
    <t>Pintar encima inmediatamente con una pintura tixotrópica para sellar las sales.</t>
  </si>
  <si>
    <t>Limpieza con agua a alta presión y pintar en húmedo con una pintura acrílica.</t>
  </si>
  <si>
    <t>Cepillado mecánico en seco para eliminar las sales y aplicar un fijador.</t>
  </si>
  <si>
    <t>Que el mortero haya curado un tiempo mínimo de 20 días.</t>
  </si>
  <si>
    <t>ISO 9001.</t>
  </si>
  <si>
    <t>R4</t>
  </si>
  <si>
    <t>El personal laboral no es una clase de empleados públicos</t>
  </si>
  <si>
    <t>R5</t>
  </si>
  <si>
    <t>¿Qué título de la Constitución española tiene como epígrafe "De la reforma constitucional"?</t>
  </si>
  <si>
    <t>Del artículo 103 de la Constitución.</t>
  </si>
  <si>
    <t>De su historia e identidad propia.</t>
  </si>
  <si>
    <t>La Comunidad Autónoma</t>
  </si>
  <si>
    <t>Servirá de motivación a la resolución.</t>
  </si>
  <si>
    <t>Ley 3/2007 Igualdad</t>
  </si>
  <si>
    <t>158</t>
  </si>
  <si>
    <t>169</t>
  </si>
  <si>
    <t>175</t>
  </si>
  <si>
    <t>El artÍculo 46.2 del Estatuto de Autonomía de Aragón dice que el Presidente de Aragón:</t>
  </si>
  <si>
    <t>Ante el Tribunal Superior de Justicia de AragÓn.</t>
  </si>
  <si>
    <t>Según el artículo 54 de la Ley 39/2015, de de octubre, del Procedimiento Administrativo Gomún de las Administraciones Públicas, los procedimientos</t>
  </si>
  <si>
    <t>E¡ artículo 100 de la Ley 39/2015, de de octubre, del Procedimiento Administrativo Común de las Administraciones Públicas, enumera los medios de ejecución forzosa. Entre ellos se encuentra;</t>
  </si>
  <si>
    <t>Las tasas, Ias contribuciones especiales y los impuestos.</t>
  </si>
  <si>
    <t>El lmpuesto sobre el Valor Añadido.</t>
  </si>
  <si>
    <t>El lmpuesto sobre Vehículos de Tracción Mecánica.</t>
  </si>
  <si>
    <t>El lmpuesto sobre Transmisiones Patrimoniales y Actos Jurídicos Documentados</t>
  </si>
  <si>
    <t>ElAlcalde.</t>
  </si>
  <si>
    <t>El Gobierno deZaragoza</t>
  </si>
  <si>
    <t>En relación al DB SUA-1 Seguridad frente at riesgo de caídas, y el uso de escaleras manuales (NTP 239) ¿cuál es el ángulo de inclinación recomendado para una escalera de mano simple?</t>
  </si>
  <si>
    <t>45o respecto a la horizonial.</t>
  </si>
  <si>
    <t>75o respecto a la horizontal.</t>
  </si>
  <si>
    <t>90o (completamente vertical)</t>
  </si>
  <si>
    <t>Según el Reglamento (UE) 2016t425, un arnés anticaída se clasifica como un EPI de:</t>
  </si>
  <si>
    <t>Categoría l.</t>
  </si>
  <si>
    <t>Categoría ll.</t>
  </si>
  <si>
    <t>CategorÍa lll</t>
  </si>
  <si>
    <t>En el Código Técnico de la Edificación DB HS.l, se trata el problema del "Salitre". Según la Guía de Patologías ¿cuál es el tratamiento correcto para su reparación?</t>
  </si>
  <si>
    <t>eue el grado de humedad del soporte sea inferior al5-6% (según el tipo de pintura)</t>
  </si>
  <si>
    <t>Que la superficie esté lo más lisa poslble (Grado Sa 3).</t>
  </si>
  <si>
    <t>En el Gódigo Técnico de la Edificación DB Sl (Seguridad en caso de lncendio) se regula el uso de pinturas intumescentes. ¿Qué norma europea se utiliza para certificar la resistencia al fuego de estos sistemas?</t>
  </si>
  <si>
    <t>UNE-EN '13300.</t>
  </si>
  <si>
    <t>EN 13381-8.</t>
  </si>
  <si>
    <t>Según el articulo I del Real Decreto Legislativo 512015, de 30 de octubre, por el que se aprueba eltexto refundido de la Ley del Estatuto Básico del Empleado Público:</t>
  </si>
  <si>
    <t>Los funcionarios pueden ser de caftera o interinos.</t>
  </si>
  <si>
    <t>ElTitulo Vlll.</t>
  </si>
  <si>
    <t>El Titulo lX.</t>
  </si>
  <si>
    <t>EITítulo X.</t>
  </si>
  <si>
    <t>De los artículos 9.2y 14 de la Constitución.</t>
  </si>
  <si>
    <t>El artículo 1.2 del Estatuto de Autonomía de Aragón dice que los poderes de la Comunidad Autónoma de Aragón emanan:</t>
  </si>
  <si>
    <t>De sus instituciones tradicionales, el Derecho foral y su cultura.</t>
  </si>
  <si>
    <t>Del pueblo aragonés y de la Constitución.</t>
  </si>
  <si>
    <t>El Estatuto de Automía de Aragón, en su artículo 37, relativo a la elección de Diputados y Diputadas de las Cortes de Aragón, establece que la circunscripción electoral será:</t>
  </si>
  <si>
    <t>De acuerdo con el artículo 72 del Estatuto de Automía de Aragón, en materia de aguas que discurran íntegramente por su territorio corresponde la la Gomunidad Autónoma la competencia:</t>
  </si>
  <si>
    <t>De acuerdo con el artículo 88.6 de la Ley 39/2015, 1 de octubre, del Procedimiento Administrativo Gomún de las Administraciones Públicas, la aceptación de informes o dictámenes:</t>
  </si>
  <si>
    <t>Servirá de motivación a la resolución en los casos previstos en la Ley.</t>
  </si>
  <si>
    <t>De acuerdo con el artículo 83 de la Ley 39/2015, de 1 de octubre, del Procedimiento Administrativo Gomtin de Ias Administraciones Públicas, si se acuerda un período de información pública se determinará el plazo para formular alegaciones, que en ningún caso podrá ser inferior:</t>
  </si>
  <si>
    <t>A diez dÍas.</t>
  </si>
  <si>
    <t>A quince días</t>
  </si>
  <si>
    <t>A veinte días.</t>
  </si>
  <si>
    <t>A un mes.</t>
  </si>
  <si>
    <t>En cualquier momento cuando se trate de bienes patrimoniales.</t>
  </si>
  <si>
    <t>En el plazo de un año cuando se trate de bienes de dominio público</t>
  </si>
  <si>
    <t>Constituyen formas de gestión directa de los servicios públicos.</t>
  </si>
  <si>
    <t>Constituyen formas de gestión indirecta de los servicos públicos.</t>
  </si>
  <si>
    <t>Pueden constituir formas de gestión directa o de gestión indirecta de los sevicios públicos.</t>
  </si>
  <si>
    <t>Las subvenciones.</t>
  </si>
  <si>
    <t>Las respuestas b) y c) son correctas.</t>
  </si>
  <si>
    <t>EI IVA.</t>
  </si>
  <si>
    <t>El presupuesto de la propia entidad.</t>
  </si>
  <si>
    <t>Los presupuestos de los organismos autónomos dependientes de la entidad,</t>
  </si>
  <si>
    <t>Los presupuestos de las sociedades mercantiles cuyo capital social pertenezca íntegramente a la entidad.</t>
  </si>
  <si>
    <t>Los estados de previsión de gastos e ingresos de las sociedades mercantiles cuyo cepital social pertenezca íntegramente a la entidad.</t>
  </si>
  <si>
    <t>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t>
  </si>
  <si>
    <t>De acuerdo con los artículos 59 y 128 del Real Decreto Legislativo 2/2004, de 5 de ma¡zo, por el que se aprueba el texto refundido de la Ley Reguladora de las Haciendas Locales, ¿Cuál de los siguientes recursos es exclusivo de los municipios?</t>
  </si>
  <si>
    <t>Según el artículo 2 del Real Decreto Legislativo 2/2004, de 5 de matzo, por el que se aprueba el texto refundido de la Ley Reguladora de las Haciendas Locales, ¿Qué recurso de las haciendas locales tiene naturaleza tributaria?</t>
  </si>
  <si>
    <t>De acuerdo con el artículo 82 de la Ley 7/1985, de 2 de abril, Reguladora de las Bases del Régimen Local, las entidades locales tienen la prerrogativa de récuperar por sí mismas la posesión de sus bienes:</t>
  </si>
  <si>
    <t>De acuerdo con el artículo 85 de la Ley 7/1985, de 2 de abril, Reguladora de las Bases del Régimen Local, Ias distintas formas previstas para el contrato de gestión de servicios públicos en la Ley de Contratos del Sector Público:</t>
  </si>
  <si>
    <t>Además del Título Preliminar, ¿Cuántos títulos tiene la Constitución española?</t>
  </si>
  <si>
    <t>Ocho.</t>
  </si>
  <si>
    <t>Nueve.</t>
  </si>
  <si>
    <t>Diez.</t>
  </si>
  <si>
    <t>Once.</t>
  </si>
  <si>
    <t>Según el apartado 5.1 (ámbito personal) del vigente Plan de lgualdad para empleadas y empleados delAyuntamiento de Zaragoza, el Plan alcanza:.</t>
  </si>
  <si>
    <t>A la totalidad del personal funcionario delAyuntamiento de Zaragoza</t>
  </si>
  <si>
    <t>A la totalidad del personal laboral delAyuntamiento de Zaragoza.</t>
  </si>
  <si>
    <t>Las respuestas a) y b; ton correctas.</t>
  </si>
  <si>
    <t>Ninguna de las respuestas anteriores es correcia.</t>
  </si>
  <si>
    <t>De acuerdo con el artículo 46.2 del Estatuto de Autonomía de Aragón, el Presidente</t>
  </si>
  <si>
    <t>Ostenta la suprema representación de Aragón.</t>
  </si>
  <si>
    <t>Ostenta la representación ordinaria del Estado en el territorio de Aragón</t>
  </si>
  <si>
    <t>Según el artículo 59.3 del Estatuto de Autonomía de Aragón, el Justicia rendirá cuentas de su gestión:</t>
  </si>
  <si>
    <t>Ante el Presidente de Aragón.</t>
  </si>
  <si>
    <t>Ante el Gobierno de Aragón o Diputación General de AragÓn</t>
  </si>
  <si>
    <t>De diez dÍas.</t>
  </si>
  <si>
    <t>De quince días.</t>
  </si>
  <si>
    <t>De veinte dias.</t>
  </si>
  <si>
    <t>De un mes.</t>
  </si>
  <si>
    <t>Podrá desistir de su solicitud.</t>
  </si>
  <si>
    <t>Podrá renunciar a sus derechos.</t>
  </si>
  <si>
    <t>Podrá desistir de su solicitud o, cuando ello no esté prohihido por el ordenamiento 1urÍdico, renunciar a sus derechos.</t>
  </si>
  <si>
    <t>El principio de igualdad de trato.</t>
  </si>
  <si>
    <t>El principio de necesidad.</t>
  </si>
  <si>
    <t>El principio de proporcionalidad con el objetivo que se persigue.</t>
  </si>
  <si>
    <t>Las respuestas a), b) y c) son correctas.</t>
  </si>
  <si>
    <t>El lmpuesto sobre el ValorAñadido.</t>
  </si>
  <si>
    <t>Del lmpuesto sobre Bienes lnmuebles.</t>
  </si>
  <si>
    <t>Del impuesto sobre lncremento de Valor de los Terrenos de Naturaleza Urbana</t>
  </si>
  <si>
    <t>Según el artículo 15 de la Ley 7/1985, de 2 de abril, Reguladora de las Bases del Régimen Local</t>
  </si>
  <si>
    <t>Los inscritos en el Padrón municipal son los vecinos del municipio.</t>
  </si>
  <si>
    <t>La condición de vecino se adquiere en el mismo momento de su inscripciÓn en el PadrÓn</t>
  </si>
  <si>
    <t>Por mayoría de dos tercios del número legal de miembros del Pleno.</t>
  </si>
  <si>
    <t>Por mayoría de tres quinios del número legal de miembros del Pleno</t>
  </si>
  <si>
    <t>Por mayoría absoluta del número legal de miembros del Pleno</t>
  </si>
  <si>
    <t>Por mayoría simple de votos.</t>
  </si>
  <si>
    <t>Los Delegados de Personal.</t>
  </si>
  <si>
    <t>Las Junias de Personal.</t>
  </si>
  <si>
    <t>El personal de elección o de designaciÓn polÍtica.</t>
  </si>
  <si>
    <t>Los funcionarios interinos.</t>
  </si>
  <si>
    <t>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t>
  </si>
  <si>
    <t>De acuerdo con el artículo 94 de !a Ley 39/2015, de 1 de octubre, del Procedimiento Administrativo Común de las Administraciones Públicas, todo interesado:</t>
  </si>
  <si>
    <t>Elartículo 84.2de la Ley 7/1985, de 2 de abril, Reguladora de las Bases del Régimen Local, enumera los principios a los que, en todo caso, se ajustará la actividad de intervención de las entidades locales. Entre esos principios está:</t>
  </si>
  <si>
    <t>De acuerdo con el artículo 59.1 del Real Decreto Legislativo 2/2004, de 5 de marzo, por el que se aprueba el texto refundido de la Ley Reguladora de las Haciendas Locales, los ayuntamientos exigirán:</t>
  </si>
  <si>
    <t>De acuerdo con los artículos 65 y 107 del Real Decreto Legislativo 2/2OO4, de 5 de marzo, por el que se aprueba el texto refundido de la Ley Reguladora de las Haciendas Locales, el valor de los bienes inmuebles constituye la base imponible:</t>
  </si>
  <si>
    <t>De acuerdo con el artículo 11.2 de la Ley 10/2017 , de 30 de noviembre, de régimen especíal del municipio de Zaragoza como capital de Aragón, con carácter general, el Pleno adoptará sus acuerdos:</t>
  </si>
  <si>
    <t>Según el artículo 39.1 del Real Decreto Legislativo 5/2015, de 30 de octubre, por el que se aprueba el texto refundido de la Ley del Estatuto Básico del Empleado Público, los órganos específicos de representación de los funcionarios son:</t>
  </si>
  <si>
    <t>Según el artículo 60.2 del Real Decreto Legislativo 5/2015, de 30 de octubre, por el que se aprueba el texto refundido de la Ley del Estatuto Básico del Empleado Público, no podrán formar parte de los órganos de selección:</t>
  </si>
  <si>
    <t>De conformidad con el Artículo 70 del Real Decreto Legislativo 5/2015, de 30 de octubre, por el que se aprueba el Texto refundido de la Ley del Estatuto Básico del Empleado Público, que regula la Oferta de empleo público, cuál de las siguientes afirmaciones es correcta:</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</si>
  <si>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</si>
  <si>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</si>
  <si>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</si>
  <si>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t>
  </si>
  <si>
    <t>Según lo dispuesto en el artículo 74 del Real Decreto Legislativo 5/2015, de 30 de octubre, por el que se aprueba el Texto refundido de la Ley del Estatuto Básico del Empleado Público, las relaciones de puestos de trabajo comprenderán, al menos (señale la respuesta correcta):</t>
  </si>
  <si>
    <t>La denominación de los puestos, los grupos de clasificación profesional, los cuerpos y escalas, los sistemas de provisión y las retribuciones complementarias.</t>
  </si>
  <si>
    <t>Únicamente la denominación de los puestos, los grupos de clasificación profesional y los cuerpos y escalas.</t>
  </si>
  <si>
    <t>La denominación de los puestos, los grupos de clasificación profesional y los cuerpos y escalas, pero no los sistemas de provisión que serán determinados por el órgano competente de cada entidad.</t>
  </si>
  <si>
    <t>La denominación de los puestos, los grupos de clasificación profesional y los cuerpos y escalas, pero no las retribuciones complementarias, que serán fijadas por el órgano competente de cada entidad.</t>
  </si>
  <si>
    <t>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t>
  </si>
  <si>
    <t>Por 15 días, durante los cuales los interesados podrán examinarlos y presentar reclamaciones al Alcalde.</t>
  </si>
  <si>
    <t>Por 30 días, durante los cuales los interesados podrán examinarlos y presentar reclamaciones al Pleno.</t>
  </si>
  <si>
    <t>Por 15 días, durante los cuales los interesados podrán examinarlos y presentar reclamaciones ante el Pleno.</t>
  </si>
  <si>
    <t>Por 1 mes, durante los cuales los interesados podrán examinarlos y presentar reclamaciones ante el Pleno.</t>
  </si>
  <si>
    <t>Según el artículo 61.5 del Real Decreto Legislativo 5/2015, de 30 de octubre, por el que se aprueba el Texto refundido de la Ley del Estatuto Básico del Empleado Público, para asegurar la objetividad y racionalidad de los procesos selectivos:</t>
  </si>
  <si>
    <t>Deberán exigirse reconocimientos médicos.</t>
  </si>
  <si>
    <t>Podrán exigirse reconocimientos médicos.</t>
  </si>
  <si>
    <t>Además de las preceptivas pruebas, deberá exigirse la superación de cursos, de periodos de prácticas y reconocimientos médicos.</t>
  </si>
  <si>
    <t>Deberán exigirse reconocimientos médicos en los sistemas selectivos de oposición y concurso-oposición.</t>
  </si>
  <si>
    <t>Según el artículo 165.4 del Real Decreto Legislativo 2/2004, de 5 de marzo, por el que se aprueba el Texto refundido de la Ley Reguladora de las Haciendas Locales, cada uno de los presupuestos que se integran en el presupuesto general de la entidad local:</t>
  </si>
  <si>
    <t>Deberá aprobarse sin déficit inicial.</t>
  </si>
  <si>
    <t>Puede aprobarse con déficit inicial solo en sus créditos iniciales y con los límites establecidos en la Ley General Presupuestaria.</t>
  </si>
  <si>
    <t>Deberá aprobarse con superávit inicial.</t>
  </si>
  <si>
    <t>Todas las anteriores son incorrectas.</t>
  </si>
  <si>
    <t>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t>
  </si>
  <si>
    <t>No quedará subordinada a las necesidades del servicio debidamente motivadas.</t>
  </si>
  <si>
    <t>Podrá ser declarada cuando al funcionario se le instruya expediente disciplinario, siendo una posible causa de sobreseimiento y archivo del mismo.</t>
  </si>
  <si>
    <t>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t>
  </si>
  <si>
    <t>Todas las anteriores son correctas.</t>
  </si>
  <si>
    <t>Según el artículo 90, apartado segundo, del Real Decreto Legislativo 5/2015, de 30 de octubre, por el que se aprueba el Texto refundido de la Ley del Estatuto Básico del Empleado Público, la suspensión firme de funciones:</t>
  </si>
  <si>
    <t>Se impondrá exclusivamente en virtud de un procedimiento administrativo penal para un funcionario de carrera.</t>
  </si>
  <si>
    <t>Se impondrá exclusivamente en virtud de sentencia dictada en causa criminal.</t>
  </si>
  <si>
    <t>Se impondrá en virtud de sentencia dictada en causa criminal o en virtud de sanción disciplinaria. La suspensión firme por sanción disciplinaria no podrá exceder de seis años.</t>
  </si>
  <si>
    <t>Se impondrá exclusivamente en virtud de un procedimiento administrativo y penal tanto a funcionarios interinos como a personal eventual.</t>
  </si>
  <si>
    <t>La gestión directa de los servicios públicos de competencia local según el artículo 85 de la Ley 7/1985, de 2 de abril, Reguladora de las Bases del Régimen Local, habrá de gestionarse de la forma más sostenible y eficiente de entre las enumeradas a continuación:</t>
  </si>
  <si>
    <t>Por órganos de gestión desconcentrada como un organismo autónomo local, entidad pública empresarial local y sociedad mercantil local, cuyo capital social no sea de titularidad pública.</t>
  </si>
  <si>
    <t>La gestión por la entidad creada a tal efecto.</t>
  </si>
  <si>
    <t>Mediante las distintas formas previstas para el contrato de gestión de servicios en el texto refundido de la Ley de Contratos.</t>
  </si>
  <si>
    <t>Gestión por la propia entidad local, organismo autónomo local, entidad pública empresarial local y sociedad mercantil local, cuyo capital social sea de titularidad pública.</t>
  </si>
  <si>
    <t>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t>
  </si>
  <si>
    <t>Los funcionarios transferidos a las entidades locales se integran plenamente en la organización de la función pública de las mismas, hallándose en la situación de servicio activo en la función pública de la comunidad autónoma en la que se integran.</t>
  </si>
  <si>
    <t>Los funcionarios que estén en situación de prestación por cuidado de hijo menor.</t>
  </si>
  <si>
    <t>Los funcionarios de carrera que estén en situación especial por interés particular cuando hayan prestado servicios efectivos en cualquiera de las Administraciones Públicas durante un periodo mínimo de dos años.</t>
  </si>
  <si>
    <t>De conformidad con el Artículo 75 del Real Decreto Legislativo 5/2015, de 30 de octubre, por el que se aprueba el Texto refundido de la Ley del Estatuto Básico del Empleado Público, en relación con los cuerpos y escalas, cuál de las siguientes afirmaciones no es correcta:</t>
  </si>
  <si>
    <t>Los funcionarios se agrupan en cuerpos, escalas, especialidades u otros sistemas que incorporen competencias, capacidades y conocimientos comunes acreditados a través de un proceso selectivo.</t>
  </si>
  <si>
    <t>Los cuerpos y escalas de funcionarios se crean, modifican y suprimen por decreto de las Cortes Generales o de las asambleas legislativas de las comunidades autónomas.</t>
  </si>
  <si>
    <t>Los cuerpos y escalas de funcionarios se crean, modifican y suprimen por ley de las Cortes Generales o de las asambleas legislativas de las comunidades autónomas.</t>
  </si>
  <si>
    <t>Cuando en esta ley se hace referencia a cuerpos y escalas se entenderá comprendida igualmente cualquier otra agrupación de funcionarios.</t>
  </si>
  <si>
    <t>De conformidad con el artículo 80.1 del Real Decreto Legislativo 5/2015, de 30 de octubre, por el que se aprueba el Texto refundido de la Ley del Estatuto Básico del Empleado Público, la libre designación con convocatoria pública consiste en (señale la respuesta correcta):</t>
  </si>
  <si>
    <t>El nombramiento directo del candidato que reúna los requisitos mínimos exigidos en la correspondiente convocatoria pública.</t>
  </si>
  <si>
    <t>La selección mediante un concurso basado exclusivamente en la valoración de los méritos y capacidades, y en su caso, aptitudes de los candidatos por los órganos colegiados de carácter técnico.</t>
  </si>
  <si>
    <t>La apreciación discrecional por el órgano competente de la idoneidad de los candidatos en relación con los requisitos exigidos para el desempeño del puesto.</t>
  </si>
  <si>
    <t>R2</t>
  </si>
  <si>
    <t>R3</t>
  </si>
  <si>
    <t>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t>
  </si>
  <si>
    <t>Deberán obtener la oportuna autorización judicial.</t>
  </si>
  <si>
    <t>Deberán obtener el consentimiento del mismo.</t>
  </si>
  <si>
    <t>Deberán obtener el consentimiento del mismo o, en su defecto, la oportuna autorización judicial.</t>
  </si>
  <si>
    <t>El artículo 103.2 de la Ley 39/2015, de 1 de octubre, del Procedimiento Administrativo Común de las Administraciones Públicas, establece que:</t>
  </si>
  <si>
    <t>La multa coercitiva es compatible con las sanciones que puedan imponerse con tal carácter.</t>
  </si>
  <si>
    <t>La multa coercitiva es incompatible con las sanciones que puedan imponerse con tal carácter.</t>
  </si>
  <si>
    <t>La multa coercitiva puede ser compatible con las sanciones que puedan imponerse con tal carácter.</t>
  </si>
  <si>
    <t>El artículo 109.1 de la Ley 39/2015, de 1 de octubre, del Procedimiento Administrativo Común de las Administraciones Públicas, establece que las Administraciones Públicas podrán revocar sus actos de gravamen o desfavorables:</t>
  </si>
  <si>
    <t>En cualquier momento.</t>
  </si>
  <si>
    <t>Mientras no haya transcurrido el plazo de prescripción.</t>
  </si>
  <si>
    <t>Antes de transcurridos cuatro años desde que se dictaron.</t>
  </si>
  <si>
    <t>De acuerdo con el artículo 122.1 de la Ley 39/2015, de 1 de octubre, del Procedimiento Administrativo Común de las Administraciones Públicas, el plazo para la interposición del recurso de alzada, si el acto fuera expreso será:</t>
  </si>
  <si>
    <t>De treinta días.</t>
  </si>
  <si>
    <t>De dos meses.</t>
  </si>
  <si>
    <t>De acuerdo con el artículo 125.2 de la Ley 39/2015, de 1 de octubre, del Procedimiento Administrativo Común de las Administraciones Públicas, el recurso extraordinario de revisión se interpondrá dentro del plazo:</t>
  </si>
  <si>
    <t>De cuatro años.</t>
  </si>
  <si>
    <t>De tres meses.</t>
  </si>
  <si>
    <t>De cuatro años o de tres meses según la causa que motiva el recurso.</t>
  </si>
  <si>
    <t>De seis meses.</t>
  </si>
  <si>
    <t>De acuerdo con el artículo 112.3 de la Ley 39/2015, de 1 de octubre, del Procedimiento Administrativo Común de las Administraciones Públicas, contra una disposición administrativa de carácter general:</t>
  </si>
  <si>
    <t>Podrá interponerse recurso potestativo de reposición.</t>
  </si>
  <si>
    <t>Podrá interponerse recurso de alzada o potestativo de reposición según el órgano que la haya dictado.</t>
  </si>
  <si>
    <t>No cabrá recurso en vía administrativa.</t>
  </si>
  <si>
    <t>De acuerdo con el artículo 116 de la Ley 39/2015, de 1 de octubre, del Procedimiento Administrativo Común de las Administraciones Públicas, carecer de legitimación el recurrente en vía administrativa:</t>
  </si>
  <si>
    <t>Es causa de desestimación del recurso.</t>
  </si>
  <si>
    <t>Es causa de inadmisión del recurso.</t>
  </si>
  <si>
    <t>Es causa de caducidad del recurso.</t>
  </si>
  <si>
    <t>Es causa de nulidad del recurso.</t>
  </si>
  <si>
    <t>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t>
  </si>
  <si>
    <t>Al siete por ciento de las vacantes.</t>
  </si>
  <si>
    <t>Al cinco por ciento de las vacantes.</t>
  </si>
  <si>
    <t>Al tres por ciento de las vacantes.</t>
  </si>
  <si>
    <t>Al uno por ciento de las vacantes.</t>
  </si>
  <si>
    <t>Según el artículo 61.6 del Real Decreto Legislativo 5/2015, de 30 de octubre, por el que se aprueba el texto refundido de la Ley del Estatuto Básico del Empleado Público, ¿qué sistema selectivo de los funcionarios de carrera sólo podrá aplicarse en virtud de ley?</t>
  </si>
  <si>
    <t>La oposición.</t>
  </si>
  <si>
    <t>El concurso-oposición.</t>
  </si>
  <si>
    <t>El concurso.</t>
  </si>
  <si>
    <t>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t>
  </si>
  <si>
    <t>De un año.</t>
  </si>
  <si>
    <t>De dos años.</t>
  </si>
  <si>
    <t>De tres años.</t>
  </si>
  <si>
    <t>¿Qué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t>
  </si>
  <si>
    <t>Según los artículos 79 a 83 de la Ley 7/1985, de 2 de abril, Reguladora de las Bases del Régimen Local:</t>
  </si>
  <si>
    <t>Las entidades locales gozan respecto de sus bienes patrimoniales de la prerrogativa de recuperar por sí mismas su posesión en cualquier momento.</t>
  </si>
  <si>
    <t>Los bienes de dominio público son inembargables.</t>
  </si>
  <si>
    <t>Los bienes patrimoniales son inalienables.</t>
  </si>
  <si>
    <t>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t>
  </si>
  <si>
    <t>Por más de veinticinco años.</t>
  </si>
  <si>
    <t>Por más de treinta años.</t>
  </si>
  <si>
    <t>Por más de cuarenta años.</t>
  </si>
  <si>
    <t>Por más de cincuenta años.</t>
  </si>
  <si>
    <t>El artículo 85 de la Ley 7/1985, de 2 de abril, Reguladora de las Bases del Régimen Local, enumera las formas de gestión directa de los servicios públicos locales. Entre ellas no se encuentra:</t>
  </si>
  <si>
    <t>El organismo autónomo local.</t>
  </si>
  <si>
    <t>La concesión de servicios.</t>
  </si>
  <si>
    <t>La entidad pública empresarial local.</t>
  </si>
  <si>
    <t>Al amparo del artículo 42 de la Ley 10/2017, de 30 de noviembre, de régimen especial del municipio de Zaragoza como capital de Aragón, le corresponde al Ayuntamiento de Zaragoza lo siguiente:</t>
  </si>
  <si>
    <t>Ejercer la potestad sancionadora en materia de consumo.</t>
  </si>
  <si>
    <t>Ejercer la potestad sancionadora en materia de consumo y la actividad de mediación.</t>
  </si>
  <si>
    <t>Regular la oficina u oficinas de información al consumidor.</t>
  </si>
  <si>
    <t>Ejercer la potestad sancionadora en materia de consumo y la actividad de mediación y regular la oficina u oficinas de información al consumidor.</t>
  </si>
  <si>
    <t>Conforme al artículo 30.3 de la Ley 39/2015, de 1 de octubre, del Procedimiento Administrativo Común de las Administraciones Públicas, los plazos expresados en días se contarán a partir del:</t>
  </si>
  <si>
    <t>Mismo día en que se llegue a tener conocimiento de la notificación o publicación del acto de que se trate.</t>
  </si>
  <si>
    <t>Mismo día en que tenga lugar la notificación o publicación del acto de que se trate.</t>
  </si>
  <si>
    <t>Día siguiente a aquel en que se llegue a tener conocimiento de la notificación o publicación del acto de que se trate.</t>
  </si>
  <si>
    <t>Día siguiente a aquel en que tenga lugar la notificación o publicación del acto de que se trate.</t>
  </si>
  <si>
    <t>Llave de corte, valvula de retencion, llave de paso con grifo o tapon de vaciado.</t>
  </si>
  <si>
    <t>Valvula de retencion, llave de corte, llave de paso con grifo o tapon de vaciado.</t>
  </si>
  <si>
    <t>Llave de corte, llave de paso con grifo o tapon de retencion, valvula de retencion.</t>
  </si>
  <si>
    <t>Llave de paso con grifo o tapon de vaciado, contador y valvula de retencion.</t>
  </si>
  <si>
    <t>De acuerdo con el CTE, HS4, Suministro de Agua. En una tuberia ascendente o montante se podran instalar los siguientes elementos ordenados según el sentido de circulacion de agua.</t>
  </si>
  <si>
    <t>De acuerdo con el CTE HS 4 Suministro de Agua. En una red con contadores divisionarios:</t>
  </si>
  <si>
    <t>Antes de cada contador se dispondra una llave de corte y una valvula de retencion.</t>
  </si>
  <si>
    <t>Despues de cada contador se dispondra una llave de corte y una valvula de retencion</t>
  </si>
  <si>
    <t>Antes de cada contador se dispondra una llave de corte; despues de cada contador una valvula de retencion.</t>
  </si>
  <si>
    <t>De acuerdo con el CTE HS 4 Suministro de Agua, una instalacion de suministro de agua dispondra de sistemas antirretornos para evitar la inversion del flujo en los siguientes puntos:</t>
  </si>
  <si>
    <t>Antes de los contadores</t>
  </si>
  <si>
    <t>Despues del equipo de tratamiento de agua</t>
  </si>
  <si>
    <t>En la parte superior de los ascendentes</t>
  </si>
  <si>
    <t>Antes de los aparatos de refrigeracion o climatizacion</t>
  </si>
  <si>
    <t>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t>
  </si>
  <si>
    <t>Las personas jurídicas para determinados trámites del procedimiento administrativo.</t>
  </si>
  <si>
    <t>Quienes representen a cualquier interesado en un procedimiento administrativo.</t>
  </si>
  <si>
    <t>El órgano instructor.</t>
  </si>
  <si>
    <t>El órgano que ha iniciado el procedimiento.</t>
  </si>
  <si>
    <t>El trámite de audiencia al interesado.</t>
  </si>
  <si>
    <t>La emisión de informes facultativos.</t>
  </si>
  <si>
    <t>La presentación de solicitudes y recursos.</t>
  </si>
  <si>
    <t>Se practicarán en todo caso por medios electrónicos.</t>
  </si>
  <si>
    <t>La desestimación presunta del procedimiento de conciliación.</t>
  </si>
  <si>
    <t>Los notarios y registradores de la propiedad y mercantiles independientemente de que su actuación se realice o no en el ejercicio de su actividad profesional.</t>
  </si>
  <si>
    <t>Las personas jurídicas y las entidades sin personalidad jurídica para la realización de cualquier trámite de un procedimiento administrativo.</t>
  </si>
  <si>
    <t>Respecto al cómputo del plazo máximo en el que la Administración debe notificar la resolución expresa en los procedimientos, el artículo 21.3 de la Ley 39/2015, de 1 de octubre, del Procedimiento Administrativo Común de las Administraciones Públicas, establece que se contarán:</t>
  </si>
  <si>
    <t>Desde la fecha del acuerdo de iniciación en los procedimientos iniciados de oficio.</t>
  </si>
  <si>
    <t>Desde el día siguiente a la fecha en que la solicitud haya tenido entrada en el registro electrónico de la Administración u Organismo competente para su tramitación en los procedimientos iniciados a solicitud del interesado.</t>
  </si>
  <si>
    <t>Desde el día siguiente a la fecha del acuerdo de iniciación en los procedimientos iniciados de oficio.</t>
  </si>
  <si>
    <t>Desde la fecha en que la solicitud haya tenido entrada en el registro electrónico general de cualquier Administración en los procedimientos iniciados a instancia de parte.</t>
  </si>
  <si>
    <t>De acuerdo con el artículo 83.1 de la Ley 39/2015, de 1 de octubre, del Procedimiento Administrativo Común de las Administraciones Públicas, cuando la naturaleza del procedimiento lo requiera podrá acordar un período de información pública:</t>
  </si>
  <si>
    <t>El superior jerárquico del órgano al que corresponda la tramitación del procedimiento.</t>
  </si>
  <si>
    <t>El órgano al que corresponda la resolución del procedimiento.</t>
  </si>
  <si>
    <t>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t>
  </si>
  <si>
    <t>La práctica de la prueba y el periodo de información pública.</t>
  </si>
  <si>
    <t>Tal y como señala el artículo 41 de la Ley 39/2015, de 1 de octubre, del Procedimiento Administrativo Común de las Administraciones Públicas, respecto a las condiciones generales para la práctica de las notificaciones:</t>
  </si>
  <si>
    <t>Se practicarán en la medida de lo posible por medios electrónicos y, preferentemente, cuando el interesado resulte obligado a recibirlas por esta vía.</t>
  </si>
  <si>
    <t>Se practicarán preferentemente por medios electrónicos y, en todo caso, cuando el interesado resulte obligado a recibirlas por esta vía.</t>
  </si>
  <si>
    <t>Se practicarán preferentemente por medios electrónicos y, en su caso, cuando el interesado resulte obligado a emitirlas por esta vía.</t>
  </si>
  <si>
    <t>Las medidas provisionales, conforme dispone el artículo 56.5 de la Ley 39/2015, de 1 de octubre, del Procedimiento Administrativo Común de las Administraciones Públicas:</t>
  </si>
  <si>
    <t>Deberán ser alzadas o modificadas en cualquier momento del procedimiento en virtud de circunstancias sobrevenidas.</t>
  </si>
  <si>
    <t>Podrán ser alzadas o modificadas durante la tramitación del procedimiento, de oficio o a instancia de parte, en virtud de circunstancias sobrevenidas o que no pudieron ser tenidas en cuenta en el momento de su adopción.</t>
  </si>
  <si>
    <t>Podrán ser adoptadas cuando concurran perjuicios de difícil o imposible reparación a los interesados.</t>
  </si>
  <si>
    <t>Deberán ser alzadas o modificadas conforme a los principios de proporcionalidad, efectividad y menor onerosidad.</t>
  </si>
  <si>
    <t>En materia de recursos, el artículo 123.2 de la Ley 39/2015, de 1 de octubre, del Procedimiento Administrativo Común de las Administraciones Públicas, establece que no se podrá interponer recurso contencioso-administrativo hasta que sea resuelto expresamente o se haya producido:</t>
  </si>
  <si>
    <t>La desestimación tácita del recurso de alzada interpuesto.</t>
  </si>
  <si>
    <t>La desestimación presunta del recurso extraordinario de revisión interpuesto ante el órgano superior jerárquico del que dictó el acto impugnado.</t>
  </si>
  <si>
    <t>La desestimación presunta del recurso de reposición interpuesto.</t>
  </si>
  <si>
    <t>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t>
  </si>
  <si>
    <t>Aquellos actos que al dictarlos se hubiera incurrido en error de hecho, que resulte de los propios documentos incorporados al expediente.</t>
  </si>
  <si>
    <t>Cuando en la resolución hayan podido afectar en alguna medida documentos o testimonios declarados falsos por sentencia judicial recaída en todo caso en fecha posterior a aquella resolución.</t>
  </si>
  <si>
    <t>Cuando aparezcan documentos de valor esencial para la resolución del asunto que, aunque sean posteriores, evidencien el error de la resolución recurrida.</t>
  </si>
  <si>
    <t>Cuando la resolución se hubiese dictado como consecuencia de prevaricación, cohecho, violencia, maquinación fraudulenta u otra conducta punible y se haya declarado así en virtud de sentencia judicial firme.</t>
  </si>
  <si>
    <t>A tenor de lo dispuesto en el artículo 96.3 de la Ley 39/2015, de 1 de octubre, del Procedimiento Administrativo Común de las Administraciones Públicas, los interesados podrán solicitar la tramitación simplificada del procedimiento:</t>
  </si>
  <si>
    <t>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t>
  </si>
  <si>
    <t>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t>
  </si>
  <si>
    <t>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t>
  </si>
  <si>
    <t>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t>
  </si>
  <si>
    <t>Respecto a los sistemas de firma admitidos por las Administraciones Públicas, establece el artículo 10 de la Ley 39/2015, de 1 de octubre, del Procedimiento Administrativo Común de las Administraciones Públicas, que los interesados podrán firmar:</t>
  </si>
  <si>
    <t>A través de cualquier medio que permita acreditar su aceptación.</t>
  </si>
  <si>
    <t>A través de cualquier medio admisible en derecho que garantice la autenticación de la expresión de su voluntad y consentimiento, así como la integridad e inalterabilidad de la firma.</t>
  </si>
  <si>
    <t>A través de cualquier medio que permita acreditar la autenticidad de la expresión de su voluntad y consentimiento, así como la integridad e inalterabilidad del documento.</t>
  </si>
  <si>
    <t>A través de cualquier medio válido en derecho que garantice la autenticación de la expresión de su voluntad y consentimiento, así como la identidad fidedigna en la firma del documento.</t>
  </si>
  <si>
    <t>Tal y como dispone el artículo 107 de la Ley 39/2015, de 1 de octubre, del Procedimiento Administrativo Común de las Administraciones Públicas, las Administraciones Públicas podrán impugnar ante el orden jurisdiccional contencioso-administrativo los actos:</t>
  </si>
  <si>
    <t>Desfavorables para los interesados, que sean anulables conforme a lo previsto en el artículo 47, previa su declaración de lesividad para el interés público.</t>
  </si>
  <si>
    <t>Favorables para los interesados, que sean nulos de pleno derecho conforme a lo previsto en el artículo 48, tras su declaración de lesividad para el interés público.</t>
  </si>
  <si>
    <t>Favorables o desfavorables para los interesados, que sean anulables o irregulares conforme a lo previsto en el artículo 48, previa su declaración de lesividad para el interés general.</t>
  </si>
  <si>
    <t>Favorables para los interesados, que sean anulables conforme a lo dispuesto en el artículo 48, previa su declaración de lesividad para el interés público.</t>
  </si>
  <si>
    <t>De acuerdo con el artículo 106 de la Ley 39/2015, de 1 de octubre, del Procedimiento Administrativo Común de las Administraciones Públicas:</t>
  </si>
  <si>
    <t>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</si>
  <si>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</si>
  <si>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</si>
  <si>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t>
  </si>
  <si>
    <t>Según el artículo 8.1 de la Ley 10/2017, de 30 de noviembre, de régimen especial del municipio de Zaragoza como capital de Aragón, ¿Cuál es el órgano de máxima representación política de los ciudadanos de Zaragoza?</t>
  </si>
  <si>
    <t>R.D.L. 5/2015 T.R.E.B.E.P</t>
  </si>
  <si>
    <t>La Ley Orgánica 3/2O07, de 22 de marzo, para la igualdad efectiva de mujeres y hombres, establece en su artículo I que dicha Ley se dicta en desarrollo:</t>
  </si>
  <si>
    <t>De acuerdo con el artículo 59 del Real Decreto Legislativo 2/2004, de 5 de ma¡zo, por el que se aprueba el texto refundido de la Ley Reguladora de las Haciendas Locales, es un impuesto municipal:</t>
  </si>
  <si>
    <t>De acuerdo con el artículo 2.1.b del Real Decreto Legislativo 2/2004, de 5 de marzo, por el que se aprueba el texto refundido de la Ley Reguladora de las Haciendas Locales, constituyen tributos propios de las entidades locales:</t>
  </si>
  <si>
    <t>Electricidad</t>
  </si>
  <si>
    <t>Según el Código Técnico de la Edificación DB HS-l (Protección frente a la humedad) ¿qué condición es crítica antes de aplicar un recubrimiento sobre un paramento de mortero para evitar patologías futuras?</t>
  </si>
  <si>
    <t>Juntas Vecinales</t>
  </si>
  <si>
    <t>Test Ascensores</t>
  </si>
  <si>
    <t>Test Alarmas</t>
  </si>
  <si>
    <t>Organización del deporte</t>
  </si>
  <si>
    <t>Calidad en el servicio deportivo municipal</t>
  </si>
  <si>
    <t>Limpieza y desinfeccion de superficies</t>
  </si>
  <si>
    <t>Decreto 50/93 Condiciones Higienico-sanitarias</t>
  </si>
  <si>
    <t>Jardineria</t>
  </si>
  <si>
    <t>Información, consulta y participación son:</t>
  </si>
  <si>
    <t>Derechos de las/os trabajadoras/es en materia de Prevención de Riesgos Laborales.</t>
  </si>
  <si>
    <t>Deberes de las/os trabajadoras/es en materia de Prevención de Riesgos Laborales.</t>
  </si>
  <si>
    <t>Son ciertas las dos respuestas anteriores.</t>
  </si>
  <si>
    <t>El volumen y las inflexiones de la voz se consideran:</t>
  </si>
  <si>
    <t>Mensajes verbales en la comunicación.</t>
  </si>
  <si>
    <t>Mensajes no verbales en la comunicación.</t>
  </si>
  <si>
    <t>Volumen, mensaje verbal y las inflexiones, mensaje no verbal.</t>
  </si>
  <si>
    <t>El punto 4.5 del Plan de igualdad para empleadas y empleados del Ayuntamiento de Zaragoza se refiere a la metodología, indicando que:</t>
  </si>
  <si>
    <t>Las medidas acordadas tendrán que aplicarse de manera jerárquica puesto que han de implicar a todas las áreas de gestión de la organización municipal.</t>
  </si>
  <si>
    <t>Las medidas acordadas tendrán que aplicarse de manera transversal, puesto que han de implicar a todas las áreas de gestión de la organización municipal.</t>
  </si>
  <si>
    <t>Las medidas acordadas tendrán que aplicarse de manera transparente y participativa, puesto que han de implicar a todas las áreas de gestión de la organización municipal.</t>
  </si>
  <si>
    <t>En la atención a la ciudadanía es muy conveniente:</t>
  </si>
  <si>
    <t>Evitar las profecías negativas</t>
  </si>
  <si>
    <t>Evitar las profecías positivas</t>
  </si>
  <si>
    <t>Las dos anteriores son verdaderas</t>
  </si>
  <si>
    <t>Dentro de los principios de conducta que recoge el artículo 54 del Real Decreto Legislativo 5/2015, de 30 de octubre, por el que se aprueba el Texto Refundido de la Ley del Estatuto Básico del Empleado Público se encuentra el principio de dedicación:</t>
  </si>
  <si>
    <t>Ejercerán sus atribuciones según el principio de dedicación al servicio público</t>
  </si>
  <si>
    <t>Administrarán los recursos y bienes públicos con austeridad</t>
  </si>
  <si>
    <t>Actuarán de acuerdo con los principios de eficacia, economía y eficiencia</t>
  </si>
  <si>
    <t>Necesitamos hacer un rebaje en la parte inferior de una puerta de madera, de forma que resulte un acabado fino. Debemos usar una herramienta adecuada para este trabajo. De las tres opciones que se dan, la más óptima será:</t>
  </si>
  <si>
    <t>Una lima</t>
  </si>
  <si>
    <t>Una escofina</t>
  </si>
  <si>
    <t>Una sierra de calar</t>
  </si>
  <si>
    <t>Cuál de las siguientes respuestas es la más correcta:</t>
  </si>
  <si>
    <t>Los barnices se aplican en frío, con lo cuál no tiene lugar ningún retraso en el secado</t>
  </si>
  <si>
    <t>El aguarrás o trementina es un líquido volátil e incoloro. Es un diluyente:</t>
  </si>
  <si>
    <t>Acrílico</t>
  </si>
  <si>
    <t>Vegetal</t>
  </si>
  <si>
    <t>Animal</t>
  </si>
  <si>
    <t>Para limpiar la persiana enrollable de una ventana colocada en la fachada exterior del tercer piso de un edificio municipal, con personal funcionario y optimizando los medios, se debería:</t>
  </si>
  <si>
    <t>Primero, levantar la persiana desde el interior, limpiar las lamas inferiores exteriores con un paño húmedo, seguir quitar la tapa del cajón de persiana y desde el interior limpiar una a una cada lama exterior.</t>
  </si>
  <si>
    <t>Contratar con una empresa externa los trabajos para que realice la limpieza tanto exterior como interior, con elementos auxiliares</t>
  </si>
  <si>
    <t>Limpiar las lamas interiores y contratar el trabajo exterior a una empresa de trabajos verticales</t>
  </si>
  <si>
    <t>El canto de un ladrillo:</t>
  </si>
  <si>
    <t>Dimensión correspondiente a la arista menor o altura</t>
  </si>
  <si>
    <t>Que elemento es el que da impulso a la reactancia para que se produzca la descarga del arco y el encendido de la lámpara:</t>
  </si>
  <si>
    <t>Cebador</t>
  </si>
  <si>
    <t>Condensador</t>
  </si>
  <si>
    <t>Balastro</t>
  </si>
  <si>
    <t>¿Que es el método ARON:</t>
  </si>
  <si>
    <t>Método de lectura con voltímetros para redes trifásicas.</t>
  </si>
  <si>
    <t>Medida de la impedancia de un conductor.</t>
  </si>
  <si>
    <t>Conexión de dos vatímetros para medir potencias de redes trifásicas.</t>
  </si>
  <si>
    <t>Como esta graduada la primera cifra del grado de protección IP:</t>
  </si>
  <si>
    <t>De 0 (cero) hasta 6 (seis)</t>
  </si>
  <si>
    <t>De 0 (cero) hasta 5 (cinco)</t>
  </si>
  <si>
    <t>De 0 (cero) hasta 8 (ocho)</t>
  </si>
  <si>
    <t>Que representa la letra griega Φ:</t>
  </si>
  <si>
    <t>El nivel de iluminación</t>
  </si>
  <si>
    <t>El flujo luminoso</t>
  </si>
  <si>
    <t>La eficacia luminosa</t>
  </si>
  <si>
    <t>¿Cuál es la diferencia de funcionamiento entre una lámpara de vapor de mercurio y un tubo fluorescente:</t>
  </si>
  <si>
    <t>Ninguna. En las dos se encuentra la misma presión de gas y el mismo rendimiento</t>
  </si>
  <si>
    <t>En los tubos fluorescentes se aumenta la presión de gas y disminuye su rendimiento</t>
  </si>
  <si>
    <t>En las lámparas de vapor de mercurio se aumenta la presión de gas obteniendo mayor rendimiento.</t>
  </si>
  <si>
    <t>Las medidas de una hoja de papel DIN A4 son:</t>
  </si>
  <si>
    <t>297 x 210 mm.</t>
  </si>
  <si>
    <t>210 x 148 mm.</t>
  </si>
  <si>
    <t>594 x 420 mm.</t>
  </si>
  <si>
    <t>En una fotocopiadora, la bandeja de alimentación directa se utiliza:</t>
  </si>
  <si>
    <t>Cuando es necesario aumentar la capacidad de carga de papel en la máquina.</t>
  </si>
  <si>
    <t>Para realizar fotocopias en cartulina o papel de gramaje especial.</t>
  </si>
  <si>
    <t>Retirar las hojas que han quedado retenidas cuando se produce un atasco de papel.</t>
  </si>
  <si>
    <t>Para la realización de una actividad se nos ha solicitado el video proyector de que dispone el centro de trabajo para conectarlo a un ordenador. Junto con el aparato, entregaremos:</t>
  </si>
  <si>
    <t>El mando a distancia, el cable para la conexión eléctrica y un cable de señal (video compuesto) con terminales RCA.</t>
  </si>
  <si>
    <t>El mando a distancia, el cable para la conexión eléctrica y un cable de señal VGA.</t>
  </si>
  <si>
    <t>El mando a distancia, el cable para la conexión eléctrica y un cable con terminal RCA y el otro euroconector.</t>
  </si>
  <si>
    <t>¿Podemos hacer una fotocopia por dos caras aunque la máquina no disponga de esa función?</t>
  </si>
  <si>
    <t>No, puesto que la máquina no lo admite.</t>
  </si>
  <si>
    <t>Sí, haciendo el sistema de la fotocopiadora.</t>
  </si>
  <si>
    <t>Sí, volviendo a introducir el papel manualmente.</t>
  </si>
  <si>
    <t>¿Cuál es el principal riesgo al que se encuentran expuestos los operarios de fotocopiadoras?</t>
  </si>
  <si>
    <t>La exposición al ozono expulsado por las corrientes de aire que genera la máquina. Sobre todo en largas sesiones de trabajo.</t>
  </si>
  <si>
    <t>La respiración de los gases generados por las temperaturas elevadas de trabajo del rodillo fusor.</t>
  </si>
  <si>
    <t>Exposición a las fibras del papel que contiene dióxido de titanio.</t>
  </si>
  <si>
    <t>R1</t>
  </si>
  <si>
    <t>Dentro de los principios éticos que recoge el artículo 53 del Real Decreto Legislativo 5/2015, de 30 de octubre, por el que se aprueba el Texto Refundido de la Ley del Estatuto Básico del Empleado Público se encuentra el siguiente:</t>
  </si>
  <si>
    <t>Informarán a los ciudadanos sobre aquellas materias o asuntos que tengan derecho a conocer, y facilitarán el ejercicio de sus derechos y el cumplimiento de sus obligaciones.</t>
  </si>
  <si>
    <t>Obedecerán las instrucciones y órdenes profesionales de los superiores, salvo que constituyan una infracción manifiesta del ordenamiento jurídico.</t>
  </si>
  <si>
    <t>Respetarán la Constitución y el resto de normas que integran el ordenamiento jurídico.</t>
  </si>
  <si>
    <t>El punto 4.5 del Plan de Igualdad para empleadas y empleados del Ayuntamiento de Zaragoza que se refiere a metodología, establece que:</t>
  </si>
  <si>
    <t>Es necesaria la utilización de una metodología de carácter horizontal-integral, ya que el Plan de Igualdad del Ayuntamiento de Zaragoza pretende incidir positivamente no solo en la situación de las mujeres sino en toda la plantilla municipal.</t>
  </si>
  <si>
    <t>Es necesaria la utilización de una metodología de carácter colectivo-vertical, ya que el Plan de Igualdad del Ayuntamiento de Zaragoza pretende incidir positivamente no solo en la situación de las mujeres sino en toda la plantilla municipal.</t>
  </si>
  <si>
    <t>Es necesaria la utilización de una metodología de carácter colectivo-integral, ya que el Plan de Igualdad del Ayuntamiento de Zaragoza pretende incidir positivamente no sólo en la situación de las mujeres sino en toda la plantilla municipal.</t>
  </si>
  <si>
    <t>Con que materiales se elabora un mortero bastardo:</t>
  </si>
  <si>
    <t>Cal, cemento y arena</t>
  </si>
  <si>
    <t>Cal y arena</t>
  </si>
  <si>
    <t>Cemento y agua y arena</t>
  </si>
  <si>
    <t>El formato A5 ¿qué dimensiones tiene?</t>
  </si>
  <si>
    <t>105 x 148 mm</t>
  </si>
  <si>
    <t>148 x 210 mm</t>
  </si>
  <si>
    <t>105 x 297 mm</t>
  </si>
  <si>
    <t>El ciudadano valora el servicio recibido en la atención directa con empleados municipales mediante una serie de aspectos, entre los cuales hay aspectos tangibles, que incluyen:</t>
  </si>
  <si>
    <t>La confianza en que van a ser atendidos con exactitud y la tranquilidad de que su demanda va a ser atendida.</t>
  </si>
  <si>
    <t>El número, presencia física, etc. del personal de contacto.</t>
  </si>
  <si>
    <t>La disponibilidad y rapidez en ser atendidos.</t>
  </si>
  <si>
    <t>R6</t>
  </si>
  <si>
    <t>Entre los principales riesgos al utilizar andamios, no está:</t>
  </si>
  <si>
    <t>La proyección de fragmentos o partículas.</t>
  </si>
  <si>
    <t>Los golpes contra objetos fijos.</t>
  </si>
  <si>
    <t>Las caídas a distinto nivel.</t>
  </si>
  <si>
    <t>Productos fitosanitarios</t>
  </si>
  <si>
    <t>Tratamiento del agua</t>
  </si>
  <si>
    <t>1. TestOficialPintor</t>
  </si>
  <si>
    <t>1. TestIngTecIndustrial</t>
  </si>
  <si>
    <t>1. TestEnfermero</t>
  </si>
  <si>
    <t>1. TestTecMedAnalista</t>
  </si>
  <si>
    <t>1. TestTecMedGestion</t>
  </si>
  <si>
    <t>1. TestTecMedInformatico</t>
  </si>
  <si>
    <t>Según el R.E.B.T. ¿Cuál será la tensión nominal, usualmente utilizada en las distribuciones de corriente alterna trifásica de tres conductores, entre fases?</t>
  </si>
  <si>
    <t>220 voltios</t>
  </si>
  <si>
    <t>240 voltios</t>
  </si>
  <si>
    <t>230 voltios</t>
  </si>
  <si>
    <t>Según el R.E.B.T. ¿Qué colores tienen los cables de fase?</t>
  </si>
  <si>
    <t>Azul, gris o negro</t>
  </si>
  <si>
    <t>Negro, marrón o gris</t>
  </si>
  <si>
    <t>Verde, amarillo o azul</t>
  </si>
  <si>
    <t>¿Cuando tenemos que atender a una persona que está sufriendo una descarga, ¿Qué es lo primero que debemos hacer?</t>
  </si>
  <si>
    <t>Desconectar la corriente eléctrica</t>
  </si>
  <si>
    <t>Desarrollar la conciencia</t>
  </si>
  <si>
    <t>Desarrollar aprendizaje</t>
  </si>
  <si>
    <t>¿Cómo se conecta un amperímetro?</t>
  </si>
  <si>
    <t>En paralelo</t>
  </si>
  <si>
    <t>En serie</t>
  </si>
  <si>
    <t>En cruz</t>
  </si>
  <si>
    <t>Para el afilado de una herramienta o desbastado de una pieza se emplean abrasivos de mayor o menor dureza, de los materiales indicados a continuación indicar cual de ellos tiene mayor grado de dureza.</t>
  </si>
  <si>
    <t>Cuarzo</t>
  </si>
  <si>
    <t>Carburo de silicio</t>
  </si>
  <si>
    <t>Corindón</t>
  </si>
  <si>
    <t>¿Qué es una grifa?</t>
  </si>
  <si>
    <t>Una herramienta de fontanería</t>
  </si>
  <si>
    <t>Una herramienta de albañilería</t>
  </si>
  <si>
    <t>Son válidas las dos anteriores</t>
  </si>
  <si>
    <t>¿Cómo se unen las tuberías de P.V.C.?</t>
  </si>
  <si>
    <t>Termofusión</t>
  </si>
  <si>
    <t>Pegado</t>
  </si>
  <si>
    <t>¿Qué válvulas se utilizan para impedir que el agua pueda invertir su dirección?</t>
  </si>
  <si>
    <t>Limitadoras de presión</t>
  </si>
  <si>
    <t>De bola</t>
  </si>
  <si>
    <t>De retención</t>
  </si>
  <si>
    <t>En cerrajería, el “moleteado o grafilado” es un tratamiento que se da a una pieza metálica y cuya finalidad es:</t>
  </si>
  <si>
    <t>Hacer un taladro en un eje metálico mediante una amoladora.</t>
  </si>
  <si>
    <t>Imprimir mediante serigrafía efectuada en vinilo una superficie cilíndrica.</t>
  </si>
  <si>
    <t>Cubrir una superficie cilíndrica con dibujos grabados para que sea rugosa.</t>
  </si>
  <si>
    <t>Las barreras o barandillas de protección, tendrán como mínimo una altura:</t>
  </si>
  <si>
    <t>900 mm., cuando la diferencia de cota que protegen no sea superior a 6 metros.</t>
  </si>
  <si>
    <t>1.000 mm., cuando la diferencia de cota que protegen sea superior a 6 metros.</t>
  </si>
  <si>
    <t>Las dos respuestas anteriores son ciertas.</t>
  </si>
  <si>
    <t>¿Qué es un bote sifónico?</t>
  </si>
  <si>
    <t>Un elemento donde se acumulan varios desagües</t>
  </si>
  <si>
    <t>Una tubería</t>
  </si>
  <si>
    <t>¿Cómo solucionaríamos la pérdida de agua de un grifo por el prensaestopas?</t>
  </si>
  <si>
    <t>Cambiando la junta</t>
  </si>
  <si>
    <t>Con un ligero apriete de la tuerca</t>
  </si>
  <si>
    <t>Cambiando la cruceta</t>
  </si>
  <si>
    <t>¿Qué es una terraja?</t>
  </si>
  <si>
    <t>Una herramienta para cortar tubos</t>
  </si>
  <si>
    <t>Una herramienta para realizar roscas en tubos</t>
  </si>
  <si>
    <t>Una herramienta para curvar tubos</t>
  </si>
  <si>
    <t>¿Qué es una llave stillson?</t>
  </si>
  <si>
    <t>Pico loro</t>
  </si>
  <si>
    <t>Inglesa</t>
  </si>
  <si>
    <t>Grifa</t>
  </si>
  <si>
    <t>De las maderas que se indican a continuación indicar cual tiene la mayor densidad (kg/m3):</t>
  </si>
  <si>
    <t>Pino</t>
  </si>
  <si>
    <t>El formón es una herramienta que se emplea en carpintería para:</t>
  </si>
  <si>
    <t>En una instalación de calefacción de radiadores por agua caliente, ¿se debe vaciar al final de la temporada?</t>
  </si>
  <si>
    <t>Solo si tenemos que realizar una reparación que lo necesite</t>
  </si>
  <si>
    <t>¿Para qué sirve la instalación de detentores en los radiadores?</t>
  </si>
  <si>
    <t>Para poder desmontarlos sin parar la calefacción</t>
  </si>
  <si>
    <t>Para controlar su temperatura</t>
  </si>
  <si>
    <t>Las dos anteriores son falsas</t>
  </si>
  <si>
    <t>¿Para qué sirve el condensador en un equipo de fluorescencia?</t>
  </si>
  <si>
    <t>Para compensar el factor de potencia</t>
  </si>
  <si>
    <t>Para evitar intermitencias</t>
  </si>
  <si>
    <t>Para aumentar la intensidad</t>
  </si>
  <si>
    <t>¿Cómo debe de ser la pantalla de alumbrado en un cuarto de calderas?</t>
  </si>
  <si>
    <t>Antideflagrante</t>
  </si>
  <si>
    <t>Estanca</t>
  </si>
  <si>
    <t>Según el R.E.B.T. ¿Qué color identifica el cable de toma tierra?</t>
  </si>
  <si>
    <t>Verde-amarillo</t>
  </si>
  <si>
    <t>¿Qué es un interruptor crepuscular?</t>
  </si>
  <si>
    <t>Un interruptor para encender o apagar en función de la luminosidad</t>
  </si>
  <si>
    <t>Un interruptor para mantener la luminosidad constante</t>
  </si>
  <si>
    <t>¿Cómo uniremos tuberías de cobre?</t>
  </si>
  <si>
    <t>Con soldadura por capilaridad</t>
  </si>
  <si>
    <t>Con racores de compresión</t>
  </si>
  <si>
    <t>Las dos anteriores son ciertas</t>
  </si>
  <si>
    <t>¿Para qué sirve una pinza amperimétrica?</t>
  </si>
  <si>
    <t>Para diferenciar las fases de una instalación</t>
  </si>
  <si>
    <t>Para medir la intensidad sin intercalar un amperímetro en el circuito</t>
  </si>
  <si>
    <t>Para conocer el voltaje de una instalación</t>
  </si>
  <si>
    <t>El aparato que permite mezclar dos o más señales procedentes de distintas fuentes se llama:</t>
  </si>
  <si>
    <t>Ecualizador</t>
  </si>
  <si>
    <t>Altavoces</t>
  </si>
  <si>
    <t>Mezclador</t>
  </si>
  <si>
    <t>Un mal funcionamiento del ventilador de un proyector de transparencia podría:</t>
  </si>
  <si>
    <t>Servir de calefactor improvisado</t>
  </si>
  <si>
    <t>Fundir la lámpara por exceso de calor</t>
  </si>
  <si>
    <t>No influir en el funcionamiento del proyector</t>
  </si>
  <si>
    <t>El proyector de opacos exige:</t>
  </si>
  <si>
    <t>Una sala bien iluminada</t>
  </si>
  <si>
    <t>Una potencia de la red eléctrica superior</t>
  </si>
  <si>
    <t>Un notable oscurecimiento de la sala</t>
  </si>
  <si>
    <t>En la proyección con los videoproyectores se debe tener en cuenta:</t>
  </si>
  <si>
    <t>La luz ambiente</t>
  </si>
  <si>
    <t>La humedad</t>
  </si>
  <si>
    <t>La potencia de la red eléctrica</t>
  </si>
  <si>
    <t>Las pantallas LCD consisten en:</t>
  </si>
  <si>
    <t>Cátodos de plasma para su proyección</t>
  </si>
  <si>
    <t>Microespejos para su proyección</t>
  </si>
  <si>
    <t>Cristal líquido sobre silicona</t>
  </si>
  <si>
    <t>Las pantallas DLP consisten en:</t>
  </si>
  <si>
    <t>Cristal líquido</t>
  </si>
  <si>
    <t>En una puerta de madera, donde ubicaremos el agujero de instalación del pestillo en una cerradura cilíndrica?</t>
  </si>
  <si>
    <t>En el centro de la puerta, a la altura del tambor.</t>
  </si>
  <si>
    <t>Para aislar el tambor de una persiana de las inclemencias del tiempo exterior, preferentemente, colocaremos el aislamiento:</t>
  </si>
  <si>
    <t>Adherido al frontal de la fábrica de fachada que delimita el cajón por la parte exterior.</t>
  </si>
  <si>
    <t>Entre el cajón de la persiana y la zona exterior.</t>
  </si>
  <si>
    <t>Adherido a todo el perímetro del cajón que delimita el cierre de la persiana.</t>
  </si>
  <si>
    <t>¿Para qué se utiliza el “cristal copla”?</t>
  </si>
  <si>
    <t>Para recoger el original a reproducir en la fotocopiadora.</t>
  </si>
  <si>
    <t>Para depositar el original a reproducir.</t>
  </si>
  <si>
    <t>Para sostener el papel sobre el que se va a reproducir el original.</t>
  </si>
  <si>
    <t>¿Cómo colocaremos el original en una fotocopiadora, si vamos a realizar una fotocopia sin utilizar el alimentador recirculante de documentos?:</t>
  </si>
  <si>
    <t>Con la cara a fotocopiar hacia arriba.</t>
  </si>
  <si>
    <t>Con la cara a fotocopiar hacia abajo.</t>
  </si>
  <si>
    <t>Es indiferente la colocación del papel, puede colocarse de las dos maneras descritas en las respuestas anteriores.</t>
  </si>
  <si>
    <t>Las relaciones entre un DIN A2 y un DIN A4 es:</t>
  </si>
  <si>
    <t>Cuatro DIN A2 son un DIN A4.</t>
  </si>
  <si>
    <t>Cuatro DIN A4 son un DIN A2.</t>
  </si>
  <si>
    <t>¿En qué paquete software está incluido el procesador de textos Writer?:</t>
  </si>
  <si>
    <t>En el Microsoft Office.</t>
  </si>
  <si>
    <t>En el paquete Lotus.</t>
  </si>
  <si>
    <t>En el paquete Open Office.</t>
  </si>
  <si>
    <t>En el procesador de textos Writer, ¿qué hace la separación silábica?:</t>
  </si>
  <si>
    <t>Divide todas las palabras en sílabas.</t>
  </si>
  <si>
    <t>Permite separar palabras en sílabas cuando son demasiado largas para ajustarse al final de una línea.</t>
  </si>
  <si>
    <t>Ninguna de las anteriores.</t>
  </si>
  <si>
    <t>¿Hace falta estar conectado a Internet para la navegación off-line?:</t>
  </si>
  <si>
    <t>Depende de la conexión.</t>
  </si>
  <si>
    <t>¿Qué es ocurre a algunos de los elementos aislantes de los edificios si les alcanza la humedad?:</t>
  </si>
  <si>
    <t>Pierden sus propiedades aislantes al aumentar la densidad.</t>
  </si>
  <si>
    <t>Ganan propiedades aislantes.</t>
  </si>
  <si>
    <t>Nada.</t>
  </si>
  <si>
    <t>La presentación de solicitudes, escritas y comunicaciones podrá realizarse en los registros telemáticos:</t>
  </si>
  <si>
    <t>Durante la jornada laboral.</t>
  </si>
  <si>
    <t>Durante las 24 horas, todos los días del año.</t>
  </si>
  <si>
    <t>Solamente domingos y festivos.</t>
  </si>
  <si>
    <t>El libro de quejas y sugerencias estará ubicado:</t>
  </si>
  <si>
    <t>En la recepción de cada edificio.</t>
  </si>
  <si>
    <t>Lo tendrá guardado el subalterno y lo entregará cuando se lo soliciten.</t>
  </si>
  <si>
    <t>En los registros generales.</t>
  </si>
  <si>
    <t>Una vez que se ha escuchado al cliente, el segundo paso es:</t>
  </si>
  <si>
    <t>Persuadir.</t>
  </si>
  <si>
    <t>Convencer.</t>
  </si>
  <si>
    <t>Responder.</t>
  </si>
  <si>
    <t>La atención al cliente la realiza:</t>
  </si>
  <si>
    <t>El subalterno.</t>
  </si>
  <si>
    <t>El subalterno y el personal administrativo.</t>
  </si>
  <si>
    <t>Todo el personal de la Administración.</t>
  </si>
  <si>
    <t>Al ciudadano cliente:</t>
  </si>
  <si>
    <t>Hay que atender con rapidez y reflexión sus reclamaciones.</t>
  </si>
  <si>
    <t>Hay que motivar o proporcionar datos prácticos.</t>
  </si>
  <si>
    <t>Consideramos formas de comunicación no verbal:</t>
  </si>
  <si>
    <t>El tono de voz.</t>
  </si>
  <si>
    <t>La mirada y la expresión facial.</t>
  </si>
  <si>
    <t>La gubia es una herramienta de uso habitual en carpintería que se emplea para hacer medias cañas y para la inserción de herrajes redondos, por ello la herramienta sufre desgaste en su corte y de vez en cuando es preciso afilarlo. ¿Por qué cara exterior del corte:</t>
  </si>
  <si>
    <t>Por la cara exterior del corte.</t>
  </si>
  <si>
    <t>Por la cara interior del corte.</t>
  </si>
  <si>
    <t>¿Cuál de las siguientes no es un Área de Gobierno del Ayuntamiento de Zaragoza:</t>
  </si>
  <si>
    <t>Participación Ciudadana y Régimen Interior.</t>
  </si>
  <si>
    <t>Presidencia, Economía y Hacienda.</t>
  </si>
  <si>
    <t>Servicios Públicos y Acción Social.</t>
  </si>
  <si>
    <t>La Concejalía Delegada de la Policía Local está integrada en el Área de:</t>
  </si>
  <si>
    <t>Alcaldía.</t>
  </si>
  <si>
    <t>Servicios Públicos y Medio Ambiente.</t>
  </si>
  <si>
    <t>La Casa de las Culturas, se encuentra ubicada en:</t>
  </si>
  <si>
    <t>Plaza San de las Culturas.</t>
  </si>
  <si>
    <t>Calle Palafox.</t>
  </si>
  <si>
    <t>Las Armas.</t>
  </si>
  <si>
    <t>La tenaza triscadora, es una herramienta que en carpintería se emplea para:</t>
  </si>
  <si>
    <t>Para hacer cortes en zig-zag en los cantos de los paneles de madera.</t>
  </si>
  <si>
    <t>Cortar paneles finos de madera.</t>
  </si>
  <si>
    <t>¿Cuál de las siguientes es la versión en vigor de la norma ISO 9001 por la que se certifica una parte de los sistemas de la gestión de la calidad en el Ayuntamiento de Zaragoza:</t>
  </si>
  <si>
    <t>2008</t>
  </si>
  <si>
    <t>2010</t>
  </si>
  <si>
    <t>2015</t>
  </si>
  <si>
    <t>El marco estratégico de la calidad del Ayuntamiento de Zaragoza establece que la “visión” del Ayuntamiento es:</t>
  </si>
  <si>
    <t>Potenciar la accesibilidad, transparencia y la igualdad.</t>
  </si>
  <si>
    <t>Mejorar continuamente el servicio a los ciudadanos.</t>
  </si>
  <si>
    <t>Implantación de un sistema de indicadores que permita el seguimiento y mejora de la gestión municipal.</t>
  </si>
  <si>
    <t>El Real Decreto por el que se establece el Marco General para la mejora de la Calidad en la Administración General del Estado es:</t>
  </si>
  <si>
    <t>R.D. 951/2005 de 29 de julio.</t>
  </si>
  <si>
    <t>R.D. 256/1996 de 9 de febrero.</t>
  </si>
  <si>
    <t>R.D. 421/2003 de 25 de julio.</t>
  </si>
  <si>
    <t>Según la Ley 5/2013 de 20 de junio, de Calidad de los Servicios Públicos de la Administración de la Comunidad Autónoma de Aragón, las quejas:</t>
  </si>
  <si>
    <t>No tienen naturaleza de recurso administrativo.</t>
  </si>
  <si>
    <t>En qué fecha fue aprobado el Marco Estratégico de Calidad del Ayuntamiento de Zaragoza:</t>
  </si>
  <si>
    <t>19 de diciembre de 2005.</t>
  </si>
  <si>
    <t>19 de noviembre de 2004.</t>
  </si>
  <si>
    <t>19 de diciembre de 2004.</t>
  </si>
  <si>
    <t>¿Qué agente extintor se considera muy adecuado para la clase de fuego B (UNE 23.010):</t>
  </si>
  <si>
    <t>Polvo BC (convencional).</t>
  </si>
  <si>
    <t>Polvo ABC (polivalente).</t>
  </si>
  <si>
    <t>Anhídrido carbónico.</t>
  </si>
  <si>
    <t>Cuando la distancia de observación esté comprendida entre 20 y 30 metros, según lo estipulado en la norma UNE-23033-1 de señalización de medidas de protección contra incendios de tamaño utilización manual, el tamaño de las señales definidas en la misma será:</t>
  </si>
  <si>
    <t>420 x 420 mm.</t>
  </si>
  <si>
    <t>594 x 594 mm.</t>
  </si>
  <si>
    <t>605 x 605 mm.</t>
  </si>
  <si>
    <t>La presión de prueba de estanqueidad y resistencia a la que se someterá el sistema de BIE antes de su puesta en servicio será:</t>
  </si>
  <si>
    <t>Igual a la de servicio y como máximo a 950 kPa durante 2 horas.</t>
  </si>
  <si>
    <t>Como mínimo a 980 kPa durante 1 hora.</t>
  </si>
  <si>
    <t>Igual a la máxima de servicio y como mínimo a 980 kPa durante 2 horas.</t>
  </si>
  <si>
    <t>¿Qué operaciones deben realizarse anualmente a los extintores por parte de la empresa mantenedora autorizada:</t>
  </si>
  <si>
    <t>Retimbrado.</t>
  </si>
  <si>
    <t>Verificación del estado de carga y comprobación de la presión de impulsión del agente extintor, estado boquilla, válvulas y partes mecánicas.</t>
  </si>
  <si>
    <t>Ninguna de las respuestas anteriores son correctas.</t>
  </si>
  <si>
    <t>En el sistema de columna seca, la toma de fachada y las salidas en plantas, tendrán el centro de sus bocas a una altura sobre el nivel del suelo de:</t>
  </si>
  <si>
    <t>0,90 metros.</t>
  </si>
  <si>
    <t>1,00 metros.</t>
  </si>
  <si>
    <t>0,80 metros.</t>
  </si>
  <si>
    <t>¿Cuál será la separación máxima entre cada BIE y su más cercana:</t>
  </si>
  <si>
    <t>50 metros.</t>
  </si>
  <si>
    <t>25 metros.</t>
  </si>
  <si>
    <t>Longitud de la manguera más 5 metros.</t>
  </si>
  <si>
    <t>El sistema de comunicación de alarma se trata de una señal audible, debiendo ser perceptible en el nivel de ruido donde deba ser percibida supere los:</t>
  </si>
  <si>
    <t>50 dB.</t>
  </si>
  <si>
    <t>60 dB.</t>
  </si>
  <si>
    <t>70 dB.</t>
  </si>
  <si>
    <t>La presión dinámica mínima en funcionamiento simultáneo de dos BIE durante 1 hora, debe ser:</t>
  </si>
  <si>
    <t>2,5 bar.</t>
  </si>
  <si>
    <t>3,5 bar.</t>
  </si>
  <si>
    <t>2 bar.</t>
  </si>
  <si>
    <t>Se consideran como “daño derivado del trabajo”:</t>
  </si>
  <si>
    <t>Las enfermedades, patologías o lesiones sufridas con motivo u ocasión del trabajo</t>
  </si>
  <si>
    <t>Las enfermedades, patologías o lesiones anteriores agravadas con motivo u ocasión del trabajo.</t>
  </si>
  <si>
    <t>En la ficha de seguridad del puesto de trabajo de Oficial de Mantenimiento de Centros Cívicos, se consideran riesgos:</t>
  </si>
  <si>
    <t>Factores físicos, psicosociales y químicos.</t>
  </si>
  <si>
    <t>Accidentes de trabajo.</t>
  </si>
  <si>
    <t>Según el R.D. 486/1997, los lugares de trabajo dispondrán de local de primeros auxilios cuando tengan:</t>
  </si>
  <si>
    <t>50 trabajadores.</t>
  </si>
  <si>
    <t>Más de 50 trabajadores.</t>
  </si>
  <si>
    <t>Más de 100 trabajadores.</t>
  </si>
  <si>
    <t>Según el R.D. 485/97 sobre disposiciones mínimas en materia de señalización de seguridad y salud en el trabajo:</t>
  </si>
  <si>
    <t>Rojo, verde, blanco y negro, los colores de seguridad son:</t>
  </si>
  <si>
    <t>Rojo, verde, azul y amarillo.</t>
  </si>
  <si>
    <t>Rojo, verde, blanco y negro.</t>
  </si>
  <si>
    <t>Señales luminosas y acústicas. Si un dispositivo puede emitir una señal luminosa tanto continua como intermitente, la señal intermitente se utilizará para indicar:</t>
  </si>
  <si>
    <t>Un mayor grado de peligro o menor urgencia.</t>
  </si>
  <si>
    <t>Un menor grado de peligro o menor urgencia.</t>
  </si>
  <si>
    <t>Un mayor grado de peligro o mayor urgencia.</t>
  </si>
  <si>
    <t>Para cortar un tablero de madera chapada, emplearemos un serrucho específico (serrucho para madera chapada). De las siguientes operaciones que se indican a continuación, ¿cuál de ellas debemos realizar para tener un corte lo más fino posible?:</t>
  </si>
  <si>
    <t>Fijarlo con unas limas para que no se mueva.</t>
  </si>
  <si>
    <t>Atornillarlo bien.</t>
  </si>
  <si>
    <t>Rectificar los dientes en mal estado.</t>
  </si>
  <si>
    <t>En una pared de fábrica de ladrillo de 15 cm de espesor, la profundidad máxima de una rozas vertical será de:</t>
  </si>
  <si>
    <t>1/3 del espesor de la pared. (50 mm.)</t>
  </si>
  <si>
    <t>1/5 del espesor de la pared. (30 mm.)</t>
  </si>
  <si>
    <t>1/10 del espesor de la pared. (15 mm.)</t>
  </si>
  <si>
    <t>La altura libre de paso en el umbral de una puerta será como mínimo:</t>
  </si>
  <si>
    <t>1,90 metros</t>
  </si>
  <si>
    <t>2,00 metros</t>
  </si>
  <si>
    <t>2,10 metros</t>
  </si>
  <si>
    <t>Para salvar un desnivel entre dos planos que disten como máximo 50 mm., la pendiente no podrá exceder del:</t>
  </si>
  <si>
    <t>25%</t>
  </si>
  <si>
    <t>10%</t>
  </si>
  <si>
    <t>6%</t>
  </si>
  <si>
    <t>Cuál de los teléfonos siguientes no pertenece al Servicio de atención telefónica municipal del Ayuntamiento de Zaragoza:</t>
  </si>
  <si>
    <t>976203004</t>
  </si>
  <si>
    <t>010</t>
  </si>
  <si>
    <t>976721234</t>
  </si>
  <si>
    <t>El subalterno que recibe una reclamación de un cliente:</t>
  </si>
  <si>
    <t>Ha de negarse a recibirla.</t>
  </si>
  <si>
    <t>Debe convencer al usuario que no la presente.</t>
  </si>
  <si>
    <t>Debe recibir cualquier tipo de reclamación que el usuario quiera presentar.</t>
  </si>
  <si>
    <t>De los áridos que se indican a continuación, indicar cual es el de menor tamaño:</t>
  </si>
  <si>
    <t>Gravilla</t>
  </si>
  <si>
    <t>Garbanzo</t>
  </si>
  <si>
    <t>Cantos rodados</t>
  </si>
  <si>
    <t>De las siguientes aguas que se indican a continuación, ¿Cuál será la menos adecuada para la elaboración de un hormigón?</t>
  </si>
  <si>
    <t>El agua de mar.</t>
  </si>
  <si>
    <t>Las aguas depuradas con cloro.</t>
  </si>
  <si>
    <t>Las aguas de alta montaña.</t>
  </si>
  <si>
    <t>Cuanto más bajo sea el ratio de contraste:</t>
  </si>
  <si>
    <t>Mejor será la imagen que el proyector es capaz de producir.</t>
  </si>
  <si>
    <t>Peor será la imagen que el proyector es capaz de producir.</t>
  </si>
  <si>
    <t>Más caro es el aparato.</t>
  </si>
  <si>
    <t>La tecla marcada como FF en un magnetoscopio es la de:</t>
  </si>
  <si>
    <t>Pausa.</t>
  </si>
  <si>
    <t>Avance rápido.</t>
  </si>
  <si>
    <t>Rebobinado.</t>
  </si>
  <si>
    <t>¿Qué característica del sonido es responsable de nuestra percepción del volumen sonoro?:</t>
  </si>
  <si>
    <t>Intensidad.</t>
  </si>
  <si>
    <t>Los sonidos de alta frecuencia se llaman también:</t>
  </si>
  <si>
    <t>Agudos.</t>
  </si>
  <si>
    <t>Graves.</t>
  </si>
  <si>
    <t>Fuertes.</t>
  </si>
  <si>
    <t>Entre los números municipales está el 010 que es el teléfono de:</t>
  </si>
  <si>
    <t>La centralita municipal.</t>
  </si>
  <si>
    <t>La centralita de policía.</t>
  </si>
  <si>
    <t>Servicio municipal de atención telefónica.</t>
  </si>
  <si>
    <t>El ciudadano, de cara a la Administración es, ante todo:</t>
  </si>
  <si>
    <t>Una persona.</t>
  </si>
  <si>
    <t>Un pagador de impuestos.</t>
  </si>
  <si>
    <t>Un votante.</t>
  </si>
  <si>
    <t>De acuerdo con el Manual de Atención al Ciudadano del Ayuntamiento de Zaragoza, una de las técnicas de comunicación es la escucha activa cuyo objetivo es:</t>
  </si>
  <si>
    <t>Evitar la rutina en la atención a los ciudadanos.</t>
  </si>
  <si>
    <t>Demostrar que hemos entendido a la persona que estamos atendiendo.</t>
  </si>
  <si>
    <t>Que la atención a los ciudadanos se realice en el menor tiempo posible.</t>
  </si>
  <si>
    <t>Según el Manual de Atención al ciudadano del Ayuntamiento de Zaragoza uno de los componentes psicológicos en la atención al público son:</t>
  </si>
  <si>
    <t>El sistema nervioso.</t>
  </si>
  <si>
    <t>Los sentimientos.</t>
  </si>
  <si>
    <t>El contexto social.</t>
  </si>
  <si>
    <t>Las conductas de los mensajes no verbales son:</t>
  </si>
  <si>
    <t>Miradas, manos, gestos de la cara.</t>
  </si>
  <si>
    <t>Tono, volumen e intensidad de la voz.</t>
  </si>
  <si>
    <t>Todos los anteriores.</t>
  </si>
  <si>
    <t>¿Cuáles de las siguientes son fases de una reacción hostil?:</t>
  </si>
  <si>
    <t>Acometimiento, disputa, enfrentamiento.</t>
  </si>
  <si>
    <t>Enlentecimiento, confrontación, racional.</t>
  </si>
  <si>
    <t>Irracional, enfrentamiento, disparo, solución del problema.</t>
  </si>
  <si>
    <t>¿Cuándo un ciudadano entra en contacto con un servicio municipal se le llama?:</t>
  </si>
  <si>
    <t>Momento decisivo.</t>
  </si>
  <si>
    <t>Afrontamiento.</t>
  </si>
  <si>
    <t>Momento de la verdad.</t>
  </si>
  <si>
    <t>En un tubo fluorescente, el balastro sirve para:</t>
  </si>
  <si>
    <t>Corregir el factor de potencia.</t>
  </si>
  <si>
    <t>Limitar y regular la corriente.</t>
  </si>
  <si>
    <t>Los elementos terminales de líneas de corriente son:</t>
  </si>
  <si>
    <t>Interruptores.</t>
  </si>
  <si>
    <t>Bases de enchufe.</t>
  </si>
  <si>
    <t>Clavijas.</t>
  </si>
  <si>
    <t>Un interruptor diferencial General está destinado a:</t>
  </si>
  <si>
    <t>Protección contra contactos directos de los circuitos que protege.</t>
  </si>
  <si>
    <t>Protección contra contactos indirectos de los circuitos que protege.</t>
  </si>
  <si>
    <t>De acuerdo con el CTE, los morteros de junta delgada y los morteros ligeros no serán inferiores a:</t>
  </si>
  <si>
    <t>El valor de la toma de tierra se mide con:</t>
  </si>
  <si>
    <t>Voltímetro.</t>
  </si>
  <si>
    <t>Ohmetro.</t>
  </si>
  <si>
    <t>La unidad de la tensión eléctrica es el voltio, ¿a qué equivale un Kilovoltio?:</t>
  </si>
  <si>
    <t>Equivale a 100 voltios.</t>
  </si>
  <si>
    <t>Equivale a 1000 voltios.</t>
  </si>
  <si>
    <t>Equivale a 10.000 voltios.</t>
  </si>
  <si>
    <t>Cuando usamos un destornillador “tipo philips”:</t>
  </si>
  <si>
    <t>Su punta es de tipo cruciforme.</t>
  </si>
  <si>
    <t>Su punta es de tipo plano.</t>
  </si>
  <si>
    <t>Su punta es de tipo hexagonal.</t>
  </si>
  <si>
    <t>Cuando un fluorescente hace ruido:</t>
  </si>
  <si>
    <t>Existe una conexión defectuosa de la reactancia.</t>
  </si>
  <si>
    <t>Existe una conexión defectuosa del tubo.</t>
  </si>
  <si>
    <t>El contacto del tubo con los bornes no es el adecuado.</t>
  </si>
  <si>
    <t>En un suministro monofásico de 230V la tensión del neutro será:</t>
  </si>
  <si>
    <t>Cero voltios.</t>
  </si>
  <si>
    <t>La mitad de 230V.</t>
  </si>
  <si>
    <t>230 voltios.</t>
  </si>
  <si>
    <t>Si instalamos un interruptor en una instalación monofásica de 230 voltios para maniobrar un receptor, lo haremos en:</t>
  </si>
  <si>
    <t>El neutro.</t>
  </si>
  <si>
    <t>En la fase.</t>
  </si>
  <si>
    <t>En la toma tierra.</t>
  </si>
  <si>
    <t>Habitualmente un casquillo del tipo “Edison” en una lámpara, estará relacionado con:</t>
  </si>
  <si>
    <t>Una lámpara compacta de bajo consumo.</t>
  </si>
  <si>
    <t>Una bombilla incandescente.</t>
  </si>
  <si>
    <t>Según el R.D. 842/02 que aprueba el reglamento electrotécnico de baja tensión, la frecuencia empleada en la red será de:</t>
  </si>
  <si>
    <t>50 Hz.</t>
  </si>
  <si>
    <t>60 Hz.</t>
  </si>
  <si>
    <t>50 Vatios.</t>
  </si>
  <si>
    <t>Habitualmente en una instalación eléctrica interior de tensión 230v entre fase y neutro, en las tomas de corriente de uso general los conductores serán de una sección mínima de:</t>
  </si>
  <si>
    <t>2,5 milímetros cuadrados.</t>
  </si>
  <si>
    <t>1,5 milímetros cuadrados.</t>
  </si>
  <si>
    <t>6 milímetros cuadrados.</t>
  </si>
  <si>
    <t>Tenemos una bombilla de 60 vatios funcionando a 230 voltios, esto significa:</t>
  </si>
  <si>
    <t>La potencia que consume es de 60W al conectarla a 230 Voltios de potencial eléctrico.</t>
  </si>
  <si>
    <t>La potencia que consume es de 230/60=3,83 vatios.</t>
  </si>
  <si>
    <t>La potencia que consume es de 60/230=0,26 vatios.</t>
  </si>
  <si>
    <t>¿Cuál de estas lámparas es más delicada y requiere una manipulación especial?:</t>
  </si>
  <si>
    <t>Halógena.</t>
  </si>
  <si>
    <t>Vapor de mercurio baja presión.</t>
  </si>
  <si>
    <t>Tubo fluorescente.</t>
  </si>
  <si>
    <t>Un fluorescente es una lámpara:</t>
  </si>
  <si>
    <t>Vapor mercurio baja presión.</t>
  </si>
  <si>
    <t>Vapor mercurio alta presión.</t>
  </si>
  <si>
    <t>Vapor sodio alta presión.</t>
  </si>
  <si>
    <t>Una válvula de retención es:</t>
  </si>
  <si>
    <t>Un dispositivo que impide automáticamente el paso de un fluido en sentido contrario al normal funcionamiento de la misma.</t>
  </si>
  <si>
    <t>Dispositivo que se abre automáticamente cuando la presión del circuito sube por encima del valor de tarado, descargando el exceso de presión a la atmósfera.</t>
  </si>
  <si>
    <t>Llave que elimina o evacua el aire de las tuberías en la instalación.</t>
  </si>
  <si>
    <t>¿Qué es una válvula de aireación?:</t>
  </si>
  <si>
    <t>Es una válvula que permite la entrada de aire en el sistema pero no su salida.</t>
  </si>
  <si>
    <t>Es un accesorio destinado a compensar las diferencias de dimensión de material en las uniones entre tuberías.</t>
  </si>
  <si>
    <t>Ambas son ciertas.</t>
  </si>
  <si>
    <t>El código técnico de edificación documento básico HS 4 de suministro de agua, no se considera adecuado para las instalaciones de agua de consumo humano:</t>
  </si>
  <si>
    <t>Tubos de cobre.</t>
  </si>
  <si>
    <t>Tubos de polietileno reticulado.</t>
  </si>
  <si>
    <t>Tubos de aluminio.</t>
  </si>
  <si>
    <t>¿Cuál de estas llaves de paso producirán con mayor probabilidad el llamado “golpe de ariete”?:</t>
  </si>
  <si>
    <t>Llave de asiento.</t>
  </si>
  <si>
    <t>Llave de bola.</t>
  </si>
  <si>
    <t>Llave de compuerta.</t>
  </si>
  <si>
    <t>La soldadura que se realiza para unir piezas con masilla sintética, que aseguran la estanqueidad de la canalización se denomina:</t>
  </si>
  <si>
    <t>Blanda.</t>
  </si>
  <si>
    <t>En frío.</t>
  </si>
  <si>
    <t>Fuerte.</t>
  </si>
  <si>
    <t>¿Cuál de los siguientes elementos transfieren el calor generado en la caldera a las habitaciones?:</t>
  </si>
  <si>
    <t>Acumuladores.</t>
  </si>
  <si>
    <t>Radiadores.</t>
  </si>
  <si>
    <t>Según el documento básico HS 5 de evacuación de aguas, los cierres hidráulicos individuales en los que pueden ser:</t>
  </si>
  <si>
    <t>Sifones individuales.</t>
  </si>
  <si>
    <t>Botes sifónicos.</t>
  </si>
  <si>
    <t>Las dos anteriores son correctas.</t>
  </si>
  <si>
    <t>¿Qué es el “cardenillo”?:</t>
  </si>
  <si>
    <t>Una pátina verdosa que produce el cobre con la humedad y que lo protege de posteriores alteraciones.</t>
  </si>
  <si>
    <t>Una grasa que se usa para las tuberías de acero inoxidable.</t>
  </si>
  <si>
    <t>Ambas son incorrectas.</t>
  </si>
  <si>
    <t>El suministro de gasóleo de calefacción en colegios públicos se gestiona a través de:</t>
  </si>
  <si>
    <t>La Sección de Conservación de Arquitectura destinada a Equipamientos Escolares.</t>
  </si>
  <si>
    <t>La Sección de Parques y Jardines.</t>
  </si>
  <si>
    <t>La Unidad de Energía e Instalaciones.</t>
  </si>
  <si>
    <t>¿Qué Área preside el tercer Teniente de Alcalde según el organigrama político del Ayuntamiento de Zaragoza?:</t>
  </si>
  <si>
    <t>Servicios Públicos y Movilidad.</t>
  </si>
  <si>
    <t>Acción Social y Deportes.</t>
  </si>
  <si>
    <t>¿Qué Servicio Municipal remite anualmente a los Colegios Públicos las instrucciones para pequeñas reparaciones en edificios escolares?:</t>
  </si>
  <si>
    <t>Servicio de Distritos.</t>
  </si>
  <si>
    <t>Servicio de Educación.</t>
  </si>
  <si>
    <t>Servicio de Conservación de Arquitectura.</t>
  </si>
  <si>
    <t>¿Cuál de las siguientes es una de las normas por la que se certifica la gestión de la calidad en el Ayuntamiento de Zaragoza?:</t>
  </si>
  <si>
    <t>UNE-EN-ISO 9000.</t>
  </si>
  <si>
    <t>UNE-EN-ISO 14000.</t>
  </si>
  <si>
    <t>UNE-EN-ISO 9001.</t>
  </si>
  <si>
    <t>Una Carta de Servicios del Ayuntamiento de Zaragoza es:</t>
  </si>
  <si>
    <t>Documento que acredita que un servicio se ha prestado satisfactoriamente.</t>
  </si>
  <si>
    <t>Documento que informa sobre los servicios que se prestan y su forma de pago.</t>
  </si>
  <si>
    <t>Documento que informa sobre los servicios que se prestan y la forma de prestarlos.</t>
  </si>
  <si>
    <t>Los escritos de los ciudadanos que tengan por objeto poner de manifiesto las demoras, desatenciones u otras anomalías en el funcionamiento de los servicios prestados por la Administración de la Comunidad Autónoma de Aragón, tendrán la consideración de:</t>
  </si>
  <si>
    <t>Sugerencia.</t>
  </si>
  <si>
    <t>Queja.</t>
  </si>
  <si>
    <t>Reclamación.</t>
  </si>
  <si>
    <t>¿Cuál es el Real Decreto por el que se regulan los servicios de información administrativa y atención al ciudadano en la Administración General del Estado:</t>
  </si>
  <si>
    <t>R.D. 208/1996 de 9 de febrero.</t>
  </si>
  <si>
    <t>R.D. 429/1993 de 26 de marzo.</t>
  </si>
  <si>
    <t>R.D. 1429/1993 de 28 de enero.</t>
  </si>
  <si>
    <t>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t>
  </si>
  <si>
    <t>Información general.</t>
  </si>
  <si>
    <t>Información particular.</t>
  </si>
  <si>
    <t>¿Cuál es una Línea de Actuación dentro del Marco Estratégico de Calidad en el Ayuntamiento de Zaragoza:</t>
  </si>
  <si>
    <t>Código deontológico del empleado municipal.</t>
  </si>
  <si>
    <t>Orientación al ciudadano.</t>
  </si>
  <si>
    <t>Responsabilidad y contención de costes.</t>
  </si>
  <si>
    <t>¿En qué fecha fue aprobada la Ley de Calidad de los Servicios Públicos de la Administración de la Comunidad Autónoma de Aragón:</t>
  </si>
  <si>
    <t>20 de junio de 2013.</t>
  </si>
  <si>
    <t>20 de julio de 2013.</t>
  </si>
  <si>
    <t>20 de junio de 2012.</t>
  </si>
  <si>
    <t>¿Qué no debe hacerse en el levantamiento manual de cargas:</t>
  </si>
  <si>
    <t>Apoyar siempre los pies firmemente en el suelo lo más juntos posible.</t>
  </si>
  <si>
    <t>No inclinar el cuerpo manteniendo la espalda recta en todo momento.</t>
  </si>
  <si>
    <t>Mantener la carga tan cerca del cuerpo como sea posible.</t>
  </si>
  <si>
    <t>Según el R.D. 488/1997 sobre disposiciones mínimas de seguridad y salud relativas al trabajo con equipos que incluyen pantallas de visualización, ¿cuál de las siguientes es una medida preventiva:</t>
  </si>
  <si>
    <t>La pantalla deberá ser orientable e inclinable a voluntad, con facilidad para adaptarse a las necesidades del usuario.</t>
  </si>
  <si>
    <t>La pantalla se deberá situar a una distancia superior a 90 cms. respecto a los ojos del usuario.</t>
  </si>
  <si>
    <t>La altura comprendida entre la línea de visión horizontal y la línea media de la pantalla de 60º.</t>
  </si>
  <si>
    <t>En la utilización de la escalera de mano:</t>
  </si>
  <si>
    <t>Únicamente ascenso se realizará de frente.</t>
  </si>
  <si>
    <t>El descenso se podrá realizar de espaldas cuando la carga lo imposibilite de frente.</t>
  </si>
  <si>
    <t>El ascenso y el descenso se realizarán siempre de frente a esta.</t>
  </si>
  <si>
    <t>La Concejalía Delegada de Contratación está integrada en el Área de:</t>
  </si>
  <si>
    <t>Urbanismo, Infraestructuras, Equipamientos y Vivienda.</t>
  </si>
  <si>
    <t>Según el R.D. 486/1997, la humedad relativa en los locales de trabajo:</t>
  </si>
  <si>
    <t>Debe estar comprendida entre el 30% y el 60%.</t>
  </si>
  <si>
    <t>Debe ser superior al 40%.</t>
  </si>
  <si>
    <t>Debe estar comprendida entre el 30% y el 70% excepto en lugares con electricidad estática que debe ser del 50%.</t>
  </si>
  <si>
    <t>De acuerdo con el Real Decreto 486/1997, de 14 de abril, las escaleras de mano simples deben apoyarse con la inclinación aproximada:</t>
  </si>
  <si>
    <t>De 55º con la horizontal.</t>
  </si>
  <si>
    <t>De 75º con la horizontal.</t>
  </si>
  <si>
    <t>De 65º con la horizontal.</t>
  </si>
  <si>
    <t>Si nos encontramos con una señal en forma de panel, triangular, con el fondo amarillo y pictograma en negro, se trata de una señal de:</t>
  </si>
  <si>
    <t>Prohibición.</t>
  </si>
  <si>
    <t>Advertencia.</t>
  </si>
  <si>
    <t>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t>
  </si>
  <si>
    <t>1 kp/cm².</t>
  </si>
  <si>
    <t>1 kp/m².</t>
  </si>
  <si>
    <t>1 N/mm².</t>
  </si>
  <si>
    <t>En construcción un gavión es:</t>
  </si>
  <si>
    <t>Una serie de capas de tierra colocadas irregularmente sobre un terraplén en forma de caja para contención de tierras por gravedad, formado apilando piezas entrelazadas.</t>
  </si>
  <si>
    <t>Un paralelepípedo de tela metálica relleno con cantos rodados, para hacer un contrafuerte.</t>
  </si>
  <si>
    <t>Una presa de contención de tierras por gravedad, formado apilando piezas entrelazadas.</t>
  </si>
  <si>
    <t>Para cortar una chapa de madera emplearemos una herramienta específica (cortador de madera chapada). De las siguientes operaciones que se indican a continuación, ¿cuál de ellas no debemos realizar para tener un corte lo más fino posible?:</t>
  </si>
  <si>
    <t>Afilar con lima en ángulo pequeño.</t>
  </si>
  <si>
    <t>Si nos dicen que los elementos fundamentales de una persiana lo componen: Un rodillo, una polea, un cable y un mosquetón deduciremos que se trata de:</t>
  </si>
  <si>
    <t>Una persiana enrollable</t>
  </si>
  <si>
    <t>Una persiana de colgajo plegable</t>
  </si>
  <si>
    <t>Una persiana con sistema de accionamiento mecánico</t>
  </si>
  <si>
    <t>Entre las tres posibles respuestas de la pregunta, en cerrajería el cincelado o burilado tiene por objeto:</t>
  </si>
  <si>
    <t>Sacar las virutas de una chapa de acero, lo más finas posibles.</t>
  </si>
  <si>
    <t>Trocear o cortar trozos de chapa o perfiles sin desprendimiento de virutas.</t>
  </si>
  <si>
    <t>Ninguna de las respuestas anteriores son ciertas</t>
  </si>
  <si>
    <t>Protección contra contactos directos o indirectos de los circuitos que protege.</t>
  </si>
  <si>
    <t>M2.</t>
  </si>
  <si>
    <t>M4.</t>
  </si>
  <si>
    <t>M6.</t>
  </si>
  <si>
    <t>Temas SIN DEFINIR</t>
  </si>
  <si>
    <t>La capa de barniz es insoluble en agua pero se hincha</t>
  </si>
  <si>
    <t>Preguntas totales</t>
  </si>
  <si>
    <t>Penalizacion</t>
  </si>
  <si>
    <t>Aciertos</t>
  </si>
  <si>
    <t>Fallos</t>
  </si>
  <si>
    <t>NOTA</t>
  </si>
  <si>
    <t>5 fallos</t>
  </si>
  <si>
    <t>10 fallos</t>
  </si>
  <si>
    <t>15 fallos</t>
  </si>
  <si>
    <t>Estrategia, si me suena alguna respuesta, valorar. Si descarto 1 respuesta, jugarmela</t>
  </si>
  <si>
    <t>0. Test 2018 PI Of. Mantenimiento</t>
  </si>
  <si>
    <t>0. Test 2023 DGA Of. Mantenimiento</t>
  </si>
  <si>
    <t>0. Test 2024 CO Of. Mantenimiento</t>
  </si>
  <si>
    <t>0. Test 2024 TL Of. Mantenimiento</t>
  </si>
  <si>
    <t>0. Test 2014 TL Of. Mantenimiento SIN Juridico</t>
  </si>
  <si>
    <t>0. Test 2014 CO Of. Mantenimiento 2014 SIN Juridico</t>
  </si>
  <si>
    <t>El Real Decreto Legislativo 5/2015, de 30 de octubre, por el que se aprueba el texto refundido de la Ley del Estatuto Básico del Empleado Público, establece en su artículo 54. 3 que los empleados públicos obedecerán las instrucciones y órdenes profesionales de los superiores:</t>
  </si>
  <si>
    <t>Salvo que constituyan una infracción manifiesta del ordenamiento jurídico</t>
  </si>
  <si>
    <t>Salvo que constituyan delito.</t>
  </si>
  <si>
    <t>El Real Decreto Legislativo 5/2015, de 30 de octubre, por el que se aprueba el texto refundido de la Ley del Estatuto Básico del Empleado Público, establece en su artículo 53.12 que los empleados públicos guardarán secreto:</t>
  </si>
  <si>
    <t>De las materias clasificadas.</t>
  </si>
  <si>
    <t>Sobre aquellos asuntos que conozcan por razón de su cargo</t>
  </si>
  <si>
    <t>El Real Decreto Legislativo 5/2015, de 30 de octubre, por el que se aprueba el texto refundido de la Ley del Estatuto Básico del Empleado Público, establece en su artículo 53.9 que los empleados públicos:</t>
  </si>
  <si>
    <t>Influirán en la agilización o resolución de trámites y procedimientos administrativos.</t>
  </si>
  <si>
    <t>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t>
  </si>
  <si>
    <t>Acoso por orientación sexual</t>
  </si>
  <si>
    <t>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t>
  </si>
  <si>
    <t>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t>
  </si>
  <si>
    <t>Según el Manual de Atención a la Ciudadanía del Ayuntamiento de Zaragoza nos comunicamos con:</t>
  </si>
  <si>
    <t>Mensajes verbales y no verbales.</t>
  </si>
  <si>
    <t>Palabras y conductas.</t>
  </si>
  <si>
    <t>Según el Manual de Atención a la Ciudadanía del Ayuntamiento de Zaragoza la baja calidad de un servicio de atención directa es consecuencia de factores relativos a quien presta su atención, fundamentalmente:</t>
  </si>
  <si>
    <t>La falta de interés.</t>
  </si>
  <si>
    <t>La falta de interés y la escasez de habilidades sociales.</t>
  </si>
  <si>
    <t>La escasez de habilidades sociales.</t>
  </si>
  <si>
    <t>Según el Manual de Atención a la Ciudadanía del Ayuntamiento de Zaragoza escuchar es algo activo. No basta con oir. Hay que poner.</t>
  </si>
  <si>
    <t>Observación.</t>
  </si>
  <si>
    <t>Observación y empatía</t>
  </si>
  <si>
    <t>Empatía.</t>
  </si>
  <si>
    <t>Según el Manual Básico de Prevención de Riesgos Laborales del Ayuntamiento de Zaragoza los trabajadores deben informar de las situaciones de riesgo para la seguridad y salud de los trabajadores. ¿A quién deben informar?</t>
  </si>
  <si>
    <t>A los superiores y a los trabajadores designados o, en su caso, al servicio de prevención</t>
  </si>
  <si>
    <t>A los superiores.</t>
  </si>
  <si>
    <t>A los trabajadores designados o, en su caso, al servicio de prevención.</t>
  </si>
  <si>
    <t>Existen diferencias entre el mazo y el martillo, herramientas usadas en albañilería. De las siguientes afirmaciones, indicar la respuesta INCORRECTA.</t>
  </si>
  <si>
    <t>El martillo tendrá siempre la superficie de impacto de metal. El mazo no.</t>
  </si>
  <si>
    <t>Un martillo es más pequeño qué un mazo.</t>
  </si>
  <si>
    <t>Tanto el martillo como el mazo antirrebotan absorbiendo el impacto sobre una superficie.</t>
  </si>
  <si>
    <t>Tipos I, III y V. En este tipo de cementos, en su elaboración, se reduce en gran parte el óxido ferroso por aluminio. Indicar la respuesta que se ajusta a la definición:</t>
  </si>
  <si>
    <t>Cemento rápido.</t>
  </si>
  <si>
    <t>Cementos de aluminato de calcio.</t>
  </si>
  <si>
    <t>EN 197-1- CEM I 42,5 R. La denominación corresponde a un cemento pórtland pero, qué significa 42,5 R:</t>
  </si>
  <si>
    <t>Clase resistente 42,5 y alta resistencia inicial.</t>
  </si>
  <si>
    <t>Clase resistente 42,5 y resistencia inicial normal</t>
  </si>
  <si>
    <t>Clase resistente 42,5 y baja resistencia inicial.</t>
  </si>
  <si>
    <t>Es el material que resulta de la desintegración natural de la roca o trituración de la misma y cuyo tamaño es inferior a 5 mm. Nos referimos a:</t>
  </si>
  <si>
    <t>Arena.</t>
  </si>
  <si>
    <t>Grava.</t>
  </si>
  <si>
    <t>Bolos.</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</si>
  <si>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</si>
  <si>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</si>
  <si>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grueso de construcción YG.</t>
  </si>
  <si>
    <t>Yeso de Proyección Mecánica YPM</t>
  </si>
  <si>
    <t>Revestimiento con yeso, utilización. Se aplica para revestir superficies previamente guarnecidas o enfoscadas fratasadas, en paredes y en techos, cuando su terminación deba realizarse con pinturas lisas o acabados de análogo poder cubriente. Nos referimos a:</t>
  </si>
  <si>
    <t>El estuco.</t>
  </si>
  <si>
    <t>El enlucido</t>
  </si>
  <si>
    <t>El revoco.</t>
  </si>
  <si>
    <t>La escayola es yeso fino calcinado. En construcción se puede usar para fabricar placas, estando constituidas principalmente por yeso y otro material. Indique a qué otro material nos referimos:</t>
  </si>
  <si>
    <t>Lana de roca.</t>
  </si>
  <si>
    <t>Poliestireno extruido.</t>
  </si>
  <si>
    <t>Fibra de vidrio.</t>
  </si>
  <si>
    <t>Alicatado. Las piezas se pueden colocar en capa gruesa (10-20 mm) o en capa fina (3-6 mm). La fijación mediante capa gruesa sólo se puede realizar con baldosas de tamaño:</t>
  </si>
  <si>
    <t>Mayor a 900 cm².</t>
  </si>
  <si>
    <t>Menor o igual a 900 cm2 o de 30x30 cm.</t>
  </si>
  <si>
    <t>No se puede realizar la fijación de piezas mediante capa gruesa</t>
  </si>
  <si>
    <t>Según el DB HS, ¿Dónde se localiza el filtro de la instalación general de agua potable?</t>
  </si>
  <si>
    <t>Antes de la llave de corte general.</t>
  </si>
  <si>
    <t>A continuación de la llave de corte general.</t>
  </si>
  <si>
    <t>Posterior al armario o arqueta del contador general</t>
  </si>
  <si>
    <t>Tal y como se indica en el HS4 Suministro de Agua, ¿Qué elementos de la instalación particular de agua deberán disponer de una llave de corte?</t>
  </si>
  <si>
    <t>Una llave de corte individual, en todos los aparatos de descarga.</t>
  </si>
  <si>
    <t>Las derivaciones particulares.</t>
  </si>
  <si>
    <t>Según el RITE, modificado por el RD 17812021, de 23 de Marzo, para el dimensionamiento de los sistemas de calefacción ¿qué temperatura de cálculo de las condiciones interiores se empleará?</t>
  </si>
  <si>
    <t>25º C</t>
  </si>
  <si>
    <t>21º C</t>
  </si>
  <si>
    <t>19º C</t>
  </si>
  <si>
    <t>El asiento de un inodoro se cierra de golpe y ya no cierra suavemente, ¿qué herramienta de las indicadas a continuación usaría para su reparación?</t>
  </si>
  <si>
    <t>Llave Allen.</t>
  </si>
  <si>
    <t>Llave Inglesa.</t>
  </si>
  <si>
    <t>Llave de Lavabo.</t>
  </si>
  <si>
    <t>Cuando se purgan todos los radiadores disponibles ¿qué consecuencias tendrá esta acción sobre la presión del circuito de calefacción?</t>
  </si>
  <si>
    <t>El purgado de los radiadores produce una bajada de la presión del circuito.</t>
  </si>
  <si>
    <t>El purgado de los radiadores no afecta a la presión del circuito.</t>
  </si>
  <si>
    <t>El purgado de los radiadores produce una subida de la presión del circuito.</t>
  </si>
  <si>
    <t>¿A qué corresponden las letras CMYK en una fotocopiadora? Señale la respuesta correcta o más correcta.</t>
  </si>
  <si>
    <t>Al modelo de color usado para el mundo digital no impreso, también denominado RGB.</t>
  </si>
  <si>
    <t>Al modelo habitual de impresión usado para las fotocopiadoras en blanco y negro.</t>
  </si>
  <si>
    <t>Al modelo de color usado para las fotocopiadoras habitualmente.</t>
  </si>
  <si>
    <t>Necesita realizar un escaneo de un documento directamente sin usar un ordenador ¿Cuál de estos equipos le ofrece la posibilidad de realizarlo?</t>
  </si>
  <si>
    <t>Fotocopiadora Offset.</t>
  </si>
  <si>
    <t>Equipo Multifunción.</t>
  </si>
  <si>
    <t>Ninguna de las dos porque es necesario un equipo externo para configurar previamente el documento.</t>
  </si>
  <si>
    <t>0. Test 2025 PI Of. Mantenimiento</t>
  </si>
  <si>
    <t>¿Para qué se usa la bandeja de recepción en una máquina fotocopiadora?</t>
  </si>
  <si>
    <t>Situada en la parte exterior de la fotocopiadora, su función consiste en depositar el documento fotocopiado.</t>
  </si>
  <si>
    <t>En esta bandeja se encuentra depositado el papel que se va a utilizar para reproducir el documento original.</t>
  </si>
  <si>
    <t>Situada habitualmente en la parte superior de la fotocopiadora, su función es la de cargar automáticamente los documentos a fotocopiar.</t>
  </si>
  <si>
    <t>Cuáles son las 5 reglas de oro, para la protección frente a riesgo eléctrico.</t>
  </si>
  <si>
    <t>Las anteriores del apartado a) menos la puesta a tierra y en cortocircuito.</t>
  </si>
  <si>
    <t>Las anteriores del apartado a) menos la delimitación y señalización de zona de trabajo</t>
  </si>
  <si>
    <t>La energía activa que consume un equipo se mide en</t>
  </si>
  <si>
    <t>Watios.</t>
  </si>
  <si>
    <t>KWh.</t>
  </si>
  <si>
    <t>Voltios.</t>
  </si>
  <si>
    <t>Cuando se realizan reparaciones eléctricas, es importante:</t>
  </si>
  <si>
    <t>Llevar herramientas y guantes aislantes.</t>
  </si>
  <si>
    <t>Realizar los trabajos muy rápido.</t>
  </si>
  <si>
    <t>Utilizar herramientas con mangos y asideros metálicos</t>
  </si>
  <si>
    <t>La iluminancia o iluminación:</t>
  </si>
  <si>
    <t>En las lámparas o tubos fluorescentes</t>
  </si>
  <si>
    <t>La emisión de luz es la consecuencia de la descarga eléctrica a través de vapor de mercurio a baja presión.</t>
  </si>
  <si>
    <t>Un reloj programador horario nos permite:</t>
  </si>
  <si>
    <t>El encendido y apagado de la calefacción y de la iluminación.</t>
  </si>
  <si>
    <t>La modificación de la consigna de temperatura en calefacción</t>
  </si>
  <si>
    <t>Aumentar y disminuir la intensidad luminosa.</t>
  </si>
  <si>
    <t>El cable HDMI del equipo permite la alimentación eléctrica del equipo.</t>
  </si>
  <si>
    <t>Sí, siempre.</t>
  </si>
  <si>
    <t>Sí, pero solo en los ordenadores de sobremesa.</t>
  </si>
  <si>
    <t>¿Qué es un cepillo redondo de carpintero?</t>
  </si>
  <si>
    <t>Es un cepillo combinado con una serie de cuchillas adicionales, que sirve para hacer molduras de cuarto bocel, de pecho paloma, de media caña y de baquetón.</t>
  </si>
  <si>
    <t>Es un cepillo con una caja o prisma perfectamente curvo y se utiliza para el labrado de los espaldones curvos.</t>
  </si>
  <si>
    <t>Es semejante al cepillo de debastar, en lo que se refiere a cuchilla, el contrahierro y la cuña; pero la base está hecha de una plancha de acero flexible que se ajusta mediante una tuerca pudiendo formar una superficie cóncava o convexa.</t>
  </si>
  <si>
    <t>¿Qué es una gubia?</t>
  </si>
  <si>
    <t>Es un formón, que visto transversalmente, presenta una hoja curva (en forma de U o de V). La hoja presenta un biselado hacia fuera (de corte exterior) o hacia dentro (de corte interior).</t>
  </si>
  <si>
    <t>Es un formón con una hoja curva, que permite retirar los sobrantes de una escopladura profunda.</t>
  </si>
  <si>
    <t>Es un escoplo acodado, que se utiliza para hacer escopleaduras en los lugares de difícil acceso.</t>
  </si>
  <si>
    <t>¿Cuál es la finalidad del triscado en una sierra?</t>
  </si>
  <si>
    <t>Lubricar el paso de la hoja para que el corte sea fino.</t>
  </si>
  <si>
    <t>Evitar que se clave o se agarrote la sierra.</t>
  </si>
  <si>
    <t>Fijar de forma segura la hoja de la sierra con el mango</t>
  </si>
  <si>
    <t>Con el cortador a inglete o cizalla de ingletes que sirve para cortar los listones a inglete.</t>
  </si>
  <si>
    <t>Las superficies de corte que se consiguen requieren un trabajo posterior de ajuste y lijado .</t>
  </si>
  <si>
    <t>Las superficies de corte que se consiguen requieren un trabajo posterior de reembalso para asegurarnos el ajuste.</t>
  </si>
  <si>
    <t>Las superficies de corte que se consiguen son tan limpias y precisas que no se necesita un trabajo posterior.</t>
  </si>
  <si>
    <t>En las uniones desmontables de muebles de cocina ¿dónde va alojado, normalmente, la excéntrica y dónde el bulón de unión?</t>
  </si>
  <si>
    <t>La excéntrica en la balda y el bulón de unión en los costados laterales</t>
  </si>
  <si>
    <t>El bulón de unión en la balda y la excéntrica los costados laterales.</t>
  </si>
  <si>
    <t>El bulón de unión en el zócalo y la excéntrica en la balda de arriba.</t>
  </si>
  <si>
    <t>¿De estos dos ensambles cuál tiene más superficie de encolado?</t>
  </si>
  <si>
    <t>Ensamble media madera a inglete.</t>
  </si>
  <si>
    <t>Ensamble media madera a escuadra.</t>
  </si>
  <si>
    <t>Los dos tipos de ensambles tienen la misma superficie de encolado.</t>
  </si>
  <si>
    <t>¿Qué elementos son los que componen el interior del cilindro de un bombillo?</t>
  </si>
  <si>
    <t>Fayeba, gozne y pestillo.</t>
  </si>
  <si>
    <t>Cales que se componen principalmente de óxido e hidróxido de calcio y magnesio, y no presentan propiedades hidráulicas, es decir, no endurecen con el agua. Nos referimos a:</t>
  </si>
  <si>
    <t>Cales aéreas.</t>
  </si>
  <si>
    <t>Cales hidráulicas.</t>
  </si>
  <si>
    <t>Cal muerta o cal apagada.</t>
  </si>
  <si>
    <t>¿Qué es un vídeo proyector?</t>
  </si>
  <si>
    <t>Es similar a una cámara fotográfica.</t>
  </si>
  <si>
    <t>Es un aparato óptico que recibe una señal de video y proyecta la imagen en una pantalla de proyección usando un sistema de lentes. Permite mostrar imágenes fijas o en movimiento.</t>
  </si>
  <si>
    <t>Si estamos trabajando en la ejecución de un muro impermeable, que dosificación de mortero deberemos usar. De las señaladas, señalar la más óptima.</t>
  </si>
  <si>
    <t>1 de cemento, 1 de cal y 6 de arena.</t>
  </si>
  <si>
    <t>1 parte de cemento, 2 de cal y 6 de arena.</t>
  </si>
  <si>
    <t>1 de cemento, 1 de cal y 10 de arena.</t>
  </si>
  <si>
    <t>Según el Manual Básico de Prevención de Riesgos Laborales del Ayuntamiento de Zaragoza, los trabajadores tienen derecho:</t>
  </si>
  <si>
    <t>A recibir gratuitamente los equipos de protección individual necesarios para el desempeño de sus funciones.</t>
  </si>
  <si>
    <t>A recibir los equipos de protección individual necesarios para el desempeño de sus funciones.</t>
  </si>
  <si>
    <t>Según el Manual Básico de Prevención de Riesgos Laborales del Ayuntamiento de Zaragoza, los trabajadores tienen derecho a ser informados acerca:</t>
  </si>
  <si>
    <t>De las situaciones y medidas de emergencia.</t>
  </si>
  <si>
    <t>De primeros auxilios y evacuación.</t>
  </si>
  <si>
    <t>Organigrama y Manual de Atencion</t>
  </si>
  <si>
    <t>Las piezas de ladrillo no suficientemente humedecidas provocarán la deshidratación de la pasta por succión excesiva de aquellas, que sustraerán el agua del mortero imprescindible para la reacción del cemento. Esto provoca una lesión denominada:</t>
  </si>
  <si>
    <t>Eflorescencia.</t>
  </si>
  <si>
    <t>Afogaramiento</t>
  </si>
  <si>
    <t>Calcinosis.</t>
  </si>
  <si>
    <t>Aluminosis.</t>
  </si>
  <si>
    <t>Las baldosas que debemos sustituir deben reunir unas características determinadas definidas en la normativa de azulejos. Según la normativa, qué tipo tiene la menor resistencia al deslizamiento:</t>
  </si>
  <si>
    <t>C0.</t>
  </si>
  <si>
    <t>C3.</t>
  </si>
  <si>
    <t>C1.</t>
  </si>
  <si>
    <t>C2.</t>
  </si>
  <si>
    <t>Qué tipo de azulejo se debería elegir para la zona de bar y cocina</t>
  </si>
  <si>
    <t>Qué tipo de azulejo se debería elegir para la zona de salón de juegos:</t>
  </si>
  <si>
    <t>C3</t>
  </si>
  <si>
    <t>C1</t>
  </si>
  <si>
    <t>C2</t>
  </si>
  <si>
    <t>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t>
  </si>
  <si>
    <t>No se deben mantener,</t>
  </si>
  <si>
    <t>Cada 10 años.</t>
  </si>
  <si>
    <t>Otra de las tareas propias del mantenimiento es la limpieza de los elementos de desagüe (sumideros, canalones y rebosaderos) y comprobación de su correcto funcionamiento. ¿Con qué periodicidad se revisarán, según normativa?</t>
  </si>
  <si>
    <t>Una vez al año, además cada vez que haya habido tormentas importantes</t>
  </si>
  <si>
    <t>Cada 2 años.</t>
  </si>
  <si>
    <t>Cada 3 años.</t>
  </si>
  <si>
    <t>Cada 4 años.</t>
  </si>
  <si>
    <t>Y por último, otra de las tareas que debe realizar un Oficial de Mantenimiento es la comprobación del estado de limpieza de las llagas o de las aberturas de ventilación de la cámara. ¿Con qué periodicidad se revisarán, según normativa?</t>
  </si>
  <si>
    <t>Cada 5 años.</t>
  </si>
  <si>
    <t>Una vez al año, además cada vez que haya vientos fuertes</t>
  </si>
  <si>
    <t>En el interior de los edificios municipales, donde se permite el tránsito de personas el voltaje puede ser:</t>
  </si>
  <si>
    <t>5000 Voltios.</t>
  </si>
  <si>
    <t>1250 Voltios.</t>
  </si>
  <si>
    <t>230 Voltios.</t>
  </si>
  <si>
    <t>1000 Voltios.</t>
  </si>
  <si>
    <t>Es una puerta doble que tiene pasadores de gatillo embutidos arriba y abajo en la puerta secundaria. El de abajo no sube del todo y no queda enrasado con el canto; por lo cual, la puerta que lleva el bombillo pega en el gatillo y no se puede cerrar. ¿Cuál será su problema?</t>
  </si>
  <si>
    <t>El cambrón de la puerta secundaria no está a la altura correcta para que se introduzca el cerrojo.</t>
  </si>
  <si>
    <t>El alojamiento del pasador en el suelo de terrazo está obstruído y lleno de suciedad.</t>
  </si>
  <si>
    <t>El resbalón de la cerradura está demasiado engrasado.</t>
  </si>
  <si>
    <t>Las tres respuestas anteriores son correctas.</t>
  </si>
  <si>
    <t>Cuando hemos resuelto el problema anterior observamos que la puerta se cierra solo con el resbalón y no se puede girar la llave. Hace un cuarto de giro y no se puede dejar cerrada. ¿Cuál será el motivo?</t>
  </si>
  <si>
    <t>No hemos introducido la llave correcta.</t>
  </si>
  <si>
    <t>Cuando hemos resuelto el problema anterior nos damos cuenta de que la segunda vuelta de la llave en el bombillo no se realiza por completo. Por lo tanto no podemos sacar la llave en esta posición. ¿Cómo solucionaremos este problema?</t>
  </si>
  <si>
    <t>Recreciendo la caja donde se aloja el cerrojo de la cerradura</t>
  </si>
  <si>
    <t>Cambiando la bisagra del medio.</t>
  </si>
  <si>
    <t>Introduciendo la llave correcta.</t>
  </si>
  <si>
    <t>Una vez reparados los problemas anteriores vemos que la puerta secundaria no tiene tapeta. ¿Cuál es la función de la tapeta en este tipo de puertas?</t>
  </si>
  <si>
    <t>Ocultar el espacio o junta de encuentro, dejando un acabado uniforme</t>
  </si>
  <si>
    <t>Ayudar a reducir corrientes de aire, luz o ruido entre hojas.</t>
  </si>
  <si>
    <t>Dar un aspecto uniforme y elegante a la puerta doble.</t>
  </si>
  <si>
    <t>Si las dos hojas de la puerta abren hacia el interior del Aula, una a derechas y la otra a izquierda, ¿dónde tendremos que poner la tapeta?</t>
  </si>
  <si>
    <t>En la puerta secundaria, en la cara que da al pasillo.</t>
  </si>
  <si>
    <t>En la puerta primaria, en la cara que da al pasillo.</t>
  </si>
  <si>
    <t>En la puerta secundaria, en la cara que da al Aula.</t>
  </si>
  <si>
    <t>La directora del centro nos ha dado orden de cambiar el bombillo por otro nuevo que está amaestrado con el resto de llaves del centro. ¿Qué operaciones y en qué orden serán realizadas para cambiar el bombillo?</t>
  </si>
  <si>
    <t>Quitaremos el bombillo con un extractor, sin necesidad de abrir la puerta, y lo cambiaremos por el nuevo.</t>
  </si>
  <si>
    <t>Con la llave del bombillo que tenemos que cambiar abriremos la puerta, una vez abierta desmontaremos las tapetas del lado exterior de la puerta, para poder acceder a la placa del pestillo y desde allí podremos cambiar el bombillo viejo por el nuevo.</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</si>
  <si>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</si>
  <si>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</si>
  <si>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t>
  </si>
  <si>
    <t>Que a la última persona que ha manipulado la persiana se le ha partido la cinta cuando estaba a media altura.</t>
  </si>
  <si>
    <t>Que la cinta estaba muy desgastada por el uso y al intentar subirla se ha partido la cinta.</t>
  </si>
  <si>
    <t>Que las lamas no estaban bien alineadas y al subir se ha atascado la persiana y como hemos seguido tirando al final se ha partido la cinta.</t>
  </si>
  <si>
    <t>Las tres respuestas anteriores podrían ser correctas.</t>
  </si>
  <si>
    <t>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t>
  </si>
  <si>
    <t>C, B, D, A, E.</t>
  </si>
  <si>
    <t>D, A, E, B, C.</t>
  </si>
  <si>
    <t>B, C, A, E, D.</t>
  </si>
  <si>
    <t>A, D, C, B, E.</t>
  </si>
  <si>
    <t>¿Cuál será la medida mínima de largo de la cinta en una persiana?</t>
  </si>
  <si>
    <t>La misma altura que la persiana más un metro.</t>
  </si>
  <si>
    <t>El doble de la altura de la persiana más un metro.</t>
  </si>
  <si>
    <t>El doble de la altura de la persiana menos un metro.</t>
  </si>
  <si>
    <t>La misma altura que la persiana menos un metro.</t>
  </si>
  <si>
    <t>Para la realización de todos los trabajos que hemos tenido que hacer, según los enunciados anteriores, qué tipo de Normativa hemos tenido que aplicar en cuanto a Seguridad, para nosotros como trabajadores y para el resto de usuarios del Centro?</t>
  </si>
  <si>
    <t>Tendríamos que aplicar la Norma UNE-EN 1125 (seguridad en puertas de paso).</t>
  </si>
  <si>
    <t>No hay normativa específica, para este caso, más allá de la Prevención de Riesgos Laborales, que sería equipos de protección individual y señalización de la zona de trabajo.</t>
  </si>
  <si>
    <t>Tendríamos que aplicar la Norma UNE-EN 16005 (seguridad en puertas de paso).</t>
  </si>
  <si>
    <t>0. Pract. 2025 PI Of. Mantenimiento</t>
  </si>
  <si>
    <t>Supuestos Practicos</t>
  </si>
  <si>
    <t>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t>
  </si>
  <si>
    <t>Deberes de los empleados públicos. Código de Conducta.</t>
  </si>
  <si>
    <t>Principios éticos.</t>
  </si>
  <si>
    <t>Principios de conducta.</t>
  </si>
  <si>
    <t>El Real Decreto Legislativo 5/2015, de 30 de octubre, por el que se aprueba el texto refundido de la Ley del Estatuto Básico del Empleado Público, dice en el artículo 54,4 que los empleados públicos facilitarán a los ciudadanos:</t>
  </si>
  <si>
    <t>El ejercicio de sus derechos y el cumplimiento de sus obligaciones</t>
  </si>
  <si>
    <t>El cumplimiento de sus obligaciones.</t>
  </si>
  <si>
    <t>El ejercicio de sus derechos.</t>
  </si>
  <si>
    <t>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t>
  </si>
  <si>
    <t>Del régimen económico de los empleados públicos.</t>
  </si>
  <si>
    <t>Del régimen disciplinario de los empleados públicos.</t>
  </si>
  <si>
    <t>Del régimen presupuestario de los empleados públicos</t>
  </si>
  <si>
    <t>De acuerdo con el Manual Básico de Prevención de Riesgos Laborales del Ayuntamiento de Zaragoza todos los trabajadores tienen derecho:</t>
  </si>
  <si>
    <t>A la contribución de la salud</t>
  </si>
  <si>
    <t>A la vigilancia de la salud.</t>
  </si>
  <si>
    <t>A la pervivencia de la salud.</t>
  </si>
  <si>
    <t>De acuerdo con el Manual Básico de Prevención de Riesgos Laborales del Ayuntamiento de Zaragoza, contribuir al cumplimiento de las obligaciones establecidas por la autoridad competente:</t>
  </si>
  <si>
    <t>Es un derecho de los trabajadores.</t>
  </si>
  <si>
    <t>Es un deber de los trabajadores.</t>
  </si>
  <si>
    <t>Es un derecho y un deber de los trabajadores</t>
  </si>
  <si>
    <t>¿En qué año se aprobó el Manual Básico de Prevención de Riesgos Laborales del Ayuntamiento de Zaragoza?</t>
  </si>
  <si>
    <t>En 2005.</t>
  </si>
  <si>
    <t>En 2015.</t>
  </si>
  <si>
    <t>El vigente Plan de Igualdad para empleadas y empleados del Ayuntamiento de Zaragoza fue aprobado el 22 de diciembre 2023:</t>
  </si>
  <si>
    <t>Por el Alcalde.</t>
  </si>
  <si>
    <t>Por el Gobierno de Zaragoza</t>
  </si>
  <si>
    <t>El vigente Plan de Igualdad para empleadas y empleados del Ayuntamiento de Zaragoza afirma en su apartado 2 (marco normativo) que la igualdad entre hombres y mujeres está reconocida en normativa:</t>
  </si>
  <si>
    <t>De ámbito internacional y de ámbito nacional.</t>
  </si>
  <si>
    <t>De ámbito autonómico y de ámbito municipal</t>
  </si>
  <si>
    <t>Según el vigente Plan de Igualdad para empleadas y empleados del Ayuntamiento de Zaragoza la Constitución española de 1978:</t>
  </si>
  <si>
    <t>No reconoce la igualdad y la no discriminación por razón de sexo.</t>
  </si>
  <si>
    <t>Reconoce en su artículo 14 la igualdad y la no discriminación por razón de sexo.</t>
  </si>
  <si>
    <t>Reconoce la igualdad y la no discriminación por razón de sexo.</t>
  </si>
  <si>
    <t>Según el Manual de Atención a la Ciudadanía del Ayuntamiento de Zaragoza, como norma general ¿quién debe tomar la iniciativa, iniciar el saludo y centrar el diálogo?</t>
  </si>
  <si>
    <t>El ciudadano.</t>
  </si>
  <si>
    <t>El empleado público.</t>
  </si>
  <si>
    <t>Indistintamente el ciudadano o el empleado público.</t>
  </si>
  <si>
    <t>Recipiente para amasar pequeñas cantidades de mortero, nos referimos a:</t>
  </si>
  <si>
    <t>Cedazo metálico.</t>
  </si>
  <si>
    <t>Regola de aluminio.</t>
  </si>
  <si>
    <t>Artesa de plástico.</t>
  </si>
  <si>
    <t>CEM II/C-M. Las siglas hacen referencia a un cemento:</t>
  </si>
  <si>
    <t>Cemento compuesto.</t>
  </si>
  <si>
    <t>Cemento pórtland compuesto.</t>
  </si>
  <si>
    <t>EN 197-1- CEM I 42,5 N. La denominación corresponde a un cemento pórtland pero, ¿qué significa 42,5 N?</t>
  </si>
  <si>
    <t>Clase resistente 42,5 y alta resistencia nominal.</t>
  </si>
  <si>
    <t>Clase resistente 42,5 y baja resistencia nominal.</t>
  </si>
  <si>
    <t>Son partículas con diámetro equivalente mayor de 2 mm. llegando hasta 20 cm., formadas al desintegrarse la roca, y el transporte es generalmente arrastrado por el agua. Nos referimos a:</t>
  </si>
  <si>
    <t>Arenas.</t>
  </si>
  <si>
    <t>Gravas.</t>
  </si>
  <si>
    <t>Son agregados de partículas microscópicas (diámetro equivalente por debajo de 0,002 mm.) que proceden por la erosión física y química de las rocas, dando lugar a materiales cuya constitución es distinta de la roca primitiva. Señale la respuesta correcta:</t>
  </si>
  <si>
    <t>Limo orgánico</t>
  </si>
  <si>
    <t>Arcilla.</t>
  </si>
  <si>
    <t>Revestimiento con yeso, utilización. Se aplica para revestir superficies cerámicas o de hormigón, en paredes y en techos, cuando su terminación deba realizarse con pinturas rugosas, papel de poco cuerpo o acabado de análogo poder cubriente. Nos referimos a:</t>
  </si>
  <si>
    <t>El guarnecido</t>
  </si>
  <si>
    <t>El tendido.</t>
  </si>
  <si>
    <t>En construcción, según la normativa actual, la denominación A (yesos de construcción y conglomerantes), hace referencia entre otros a:</t>
  </si>
  <si>
    <t>Yeso fino de construcción YF.</t>
  </si>
  <si>
    <t>Escayola E 35 Lenta E.</t>
  </si>
  <si>
    <t>Alicatado. Según la Norma Española para la Instalación de Baldosas Cerámicas, uno de los requisitos mínimos para los adhesivos será tener la:</t>
  </si>
  <si>
    <t>Certificación Euroclase A para zonas húmedas.</t>
  </si>
  <si>
    <t>Certificación Euroclase E para zonas húmedas.</t>
  </si>
  <si>
    <t>Certificación Euroclase F para zonas húmedas.</t>
  </si>
  <si>
    <t>¿Cuál es la mejor práctica para mantener en buen estado una llave de paso?</t>
  </si>
  <si>
    <t>Mantenerla siempre medio abierta.</t>
  </si>
  <si>
    <t>Abrirla y cerrarla periódicamente.</t>
  </si>
  <si>
    <t>Envolverla con materiales fáciles de sustituir que la protejan de cambios de temperatura y suciedad.</t>
  </si>
  <si>
    <t>¿Cuál es la causa más probable de una fuga en una tubería de cobre en un local antiguo?</t>
  </si>
  <si>
    <t>Exceso de presión en la red.</t>
  </si>
  <si>
    <t>Dilatación y contracción excesiva por cambios bruscos de temperatura.</t>
  </si>
  <si>
    <t>Corrosión galvánica debido a la interacción con otros materiales.</t>
  </si>
  <si>
    <t>¿Qué herramienta es esencial para desenroscar un grifo atascado sin dañar la tubería?</t>
  </si>
  <si>
    <t>Llave inglesa ajustable.</t>
  </si>
  <si>
    <t>Llave Stilson.</t>
  </si>
  <si>
    <t>Llave grifa.</t>
  </si>
  <si>
    <t>¿Cuál es la función de un sifón en un desagüe?</t>
  </si>
  <si>
    <t>Aumentar la velocidad del flujo del agua.</t>
  </si>
  <si>
    <t>Evitar el retorno de malos olores provenientes de la red de alcantarillado.</t>
  </si>
  <si>
    <t>Filtrar impurezas del agua residual.</t>
  </si>
  <si>
    <t>¿Qué debe de hacer antes de intentar reparar una fuga en una tubería?</t>
  </si>
  <si>
    <t>Aplicar cinta aislante para detener en la medida de lo posible la fuga y marcar el punto de rotura</t>
  </si>
  <si>
    <t>Aumentar la presión del agua para localizar la fuga con mayor claridad.</t>
  </si>
  <si>
    <t>Cerrar la llave de paso general.</t>
  </si>
  <si>
    <t>¿Qué indica un radiador que está frío en la parte superior y caliente en la parte inferior?</t>
  </si>
  <si>
    <t>Exceso de presión en el circuito.</t>
  </si>
  <si>
    <t>Aire atrapado en el radiador.</t>
  </si>
  <si>
    <t>Lodo u óxido dentro del radiador</t>
  </si>
  <si>
    <t>¿Cuál es la función del vaso de expansión en un sistema de calefacción?</t>
  </si>
  <si>
    <t>Almacenar agua caliente para su uso posterior.</t>
  </si>
  <si>
    <t>Compensar las variaciones de volumen de agua debido a los cambios de temperatura.</t>
  </si>
  <si>
    <t>Filtrar las impurezas del circuito.</t>
  </si>
  <si>
    <t>¿Qué componente de un sistema de calefacción por radiadores controla el flujo de agua caliente a cada radiador individualmente?</t>
  </si>
  <si>
    <t>Válvula termostática.</t>
  </si>
  <si>
    <t>Bomba de circulación</t>
  </si>
  <si>
    <t>¿Qué es un gramil?</t>
  </si>
  <si>
    <t>Es un cepillo rascador, que tiene una cuchilla recta. Se emplea para trabajar bordes contorneados.</t>
  </si>
  <si>
    <t>Es un instrumento para trazar, cuyo tope con dos puntas de trazado en los dos brazos regulables permite marcar rayas paralelas a bordes rectos.</t>
  </si>
  <si>
    <t>Es del tamaño de una lima para sierras. Puede ser de sección redonda, oval o triangular.</t>
  </si>
  <si>
    <t>El martillo de carpintero o de construcción consta de dos partes:</t>
  </si>
  <si>
    <t>Una parte estrecha, llamada lumbrera y otra parte ancha llamada arma</t>
  </si>
  <si>
    <t>¿Cómo se llama la cerradura que cierra las puertas por sus cantos superior e inferior en los cuales sus varillas entran en los cerraderos o goznes de cierre que se encuentran respectivamente en el techo y en el suelo?</t>
  </si>
  <si>
    <t>Cerraduras de cremona</t>
  </si>
  <si>
    <t>Cerraduras de fayeba.</t>
  </si>
  <si>
    <t>Cerraduras entalladas</t>
  </si>
  <si>
    <t>¿Qué elementos son los que componen parte del interior del cilindro de un bombillo?</t>
  </si>
  <si>
    <t>La palanca retractora, la palanca impulsora y el diente</t>
  </si>
  <si>
    <t>Los goznes y el pestillo.</t>
  </si>
  <si>
    <t>Los resortes, los pernos y los contrapernos.</t>
  </si>
  <si>
    <t>0. Test 2025 PI DS Of. Mantenimiento</t>
  </si>
  <si>
    <t>En el afilado de sierras ¿cuál debe de ser la altura del triscado?</t>
  </si>
  <si>
    <t>No debe de ser superior al doble del grueso de la anchura de la hoja</t>
  </si>
  <si>
    <t>Debe de ser aproximadamente sólo la mitad de la altura del diente.</t>
  </si>
  <si>
    <t>Debe de ser aproximadamente el doble de la altura del diente.</t>
  </si>
  <si>
    <t>Es un formón con una hoja curva, que permite retirar los sobrantes de una escopladura.</t>
  </si>
  <si>
    <t>¿Cómo se llama la placa metálica que se coloca como embellecedor alrededor de un ojo de cerradura abierto en la madera, o de un bombillo? La mayoría se fijan sobre la superficie, pero también los hay para embutir en la madera</t>
  </si>
  <si>
    <t>Resbalón.</t>
  </si>
  <si>
    <t>Escudo o bocallave.</t>
  </si>
  <si>
    <t>El retorno invertido en un sistema de calefacción:</t>
  </si>
  <si>
    <t>Consiste en que el radiador que es alimentado en primer lugar tiene el retorno más corto.</t>
  </si>
  <si>
    <t>Consiste en que el radiador que es alimentado en primer lugar tiene el retorno más largo.</t>
  </si>
  <si>
    <t>Este sistema no se utiliza en sistemas de calefacción.</t>
  </si>
  <si>
    <t>Para seleccionar la bomba en una instalación de calefacción nos basta con conocer:</t>
  </si>
  <si>
    <t>Pérdidas totales de la instalación y caudal total de agua.</t>
  </si>
  <si>
    <t>El volumen del depósito de expansión y las pérdidas totales de la instalación</t>
  </si>
  <si>
    <t>El combustible que utiliza la bomba de calor.</t>
  </si>
  <si>
    <t>Un vaso de expansión</t>
  </si>
  <si>
    <t>Absorbe el agua expandida debido a su calentamiento.</t>
  </si>
  <si>
    <t>Suministra energía a la instalación de calefacción.</t>
  </si>
  <si>
    <t>Sirve como depósito de agua en condiciones de ausencia de la misma</t>
  </si>
  <si>
    <t>Instalación de radiadores bitubular es</t>
  </si>
  <si>
    <t>Cuando los radiadores se conectan en serie. La temperatura de entrada de los emisores disminuye según se alejan de la caldera. Un único tubo enlaza los radiadores.</t>
  </si>
  <si>
    <t>Cuando existen dos tuberías principales una de ida y otra de retorno, donde se van conectando los emisores. La temperatura de entrada a los radiadores es prácticamente la misma en todos.</t>
  </si>
  <si>
    <t>En sistemas de calefacción sólo se pueden hacer instalaciones monotubulares.</t>
  </si>
  <si>
    <t>Para determinar la sección de las líneas eléctricas se han de tener en cuenta al menos los siguientes criterios:</t>
  </si>
  <si>
    <t>La estética buscada arquitectónicamente.</t>
  </si>
  <si>
    <t>Criterio sobre el uso del edificio.</t>
  </si>
  <si>
    <t>Criterio de intensidad admisible y criterio de caída de tensión.</t>
  </si>
  <si>
    <t>En los sistemas monofásicos de corriente alterna:</t>
  </si>
  <si>
    <t>Se utilizan tres o cuatro conductores eléctricos para su distribución y consumo,</t>
  </si>
  <si>
    <t>No existen sistemas monofásicos de corriente alterna.</t>
  </si>
  <si>
    <t>Se utilizan dos conductores eléctricos para su distribución y consumo.</t>
  </si>
  <si>
    <t>Un interruptor general es</t>
  </si>
  <si>
    <t>Es un elemento destinado a la protección de las personas. Desconecta la instalación cuando se produce una derivación en algún aparato o punto de la instalación.</t>
  </si>
  <si>
    <t>Es un elemento encargado de proteger de sobrecargas o cortocircuitos la instalación completa de la vivienda.</t>
  </si>
  <si>
    <t>Es un elemento de corte y protección de cada uno de los circuitos interiores.</t>
  </si>
  <si>
    <t>Endurecen en contacto con el agua. Nos referimos a las:</t>
  </si>
  <si>
    <t>¿Cuál es la densidad de las placas de fibra de madera de densidad media (MDF)?</t>
  </si>
  <si>
    <t>Entre 300 kg/m³ y 550 kg/m³.</t>
  </si>
  <si>
    <t>Entre 900 kg/m³ y 950 kg/m³.</t>
  </si>
  <si>
    <t>Entre 600 kg/m³ y 850 kg/m³.</t>
  </si>
  <si>
    <t>La intensidad luminosa (I)</t>
  </si>
  <si>
    <t>Es la cantidad de energía luminosa en el espectro visible que produce una fuente, nos indica la cantidad de luz por unidad.</t>
  </si>
  <si>
    <t>Es el flujo luminoso en una determinada dirección, se mide la cantidad de flujo (lm) en la unidad de ángulo sólido (estereorradián).</t>
  </si>
  <si>
    <t>Es el flujo luminoso que llega a una superficie determinada.</t>
  </si>
  <si>
    <t>El Manual de Atención a la Ciudadanía del Ayuntamiento de Zaragoza dice que hay que escuchar activamente y que la escucha activa requiere:</t>
  </si>
  <si>
    <t>Concentración y disciplina</t>
  </si>
  <si>
    <t>Disciplina.</t>
  </si>
  <si>
    <t>Concentración.</t>
  </si>
  <si>
    <t>Según el Manual de Atención a la Ciudadanía del Ayuntamiento de Zaragoza una última forma de agradecer la colaboración ciudadana es:</t>
  </si>
  <si>
    <t>Dar una despedida cordial.</t>
  </si>
  <si>
    <t>Ofrecerse para futuras ocasiones.</t>
  </si>
  <si>
    <t>Los morteros para albañilería diseñados se pueden designar por su clase resistente, es decir por la letra M seguida de su:</t>
  </si>
  <si>
    <t>Resistencia a flexión a 28 días, en N/mm2.</t>
  </si>
  <si>
    <t>Resistencia a compresión a 28 días, en N/mm2</t>
  </si>
  <si>
    <t>Resistencia a tracción a 28 días, en N/mm2.</t>
  </si>
  <si>
    <t>En los trabajos en suelos, deberemos colocar una: “Capa de grava de diámetro grande que sirve de base a una solera apoyada en el terreno con el fin de dificultar la ascensión del agua del terreno por capilaridad a ésta”. Esta se denomina:</t>
  </si>
  <si>
    <t>Empeine.</t>
  </si>
  <si>
    <t>Necesitamos realizar reparaciones en el “Trasdós” de un paramento vertical. Nos referimos a la:</t>
  </si>
  <si>
    <t>Superficie interior de un muro.</t>
  </si>
  <si>
    <t>Superficie exterior de un muro</t>
  </si>
  <si>
    <t>Parte superior de un muro.</t>
  </si>
  <si>
    <t>Parte inferior de un muro.</t>
  </si>
  <si>
    <t>Si decidimos utilizar un mortero que tiene una dosificación, expresada en Kg. de cemento por m3 de arena, menor o igual que 1/8, nos referimos a un:</t>
  </si>
  <si>
    <t>Mortero consistente</t>
  </si>
  <si>
    <t>Mortero aéreo.</t>
  </si>
  <si>
    <t>Mortero hidrófugo.</t>
  </si>
  <si>
    <t>Mortero pobre.</t>
  </si>
  <si>
    <t>Cada uno de los dentellones que se forman en la interrupción lateral de un muro para su trabazón al proseguirlo, se denomina en construcción:</t>
  </si>
  <si>
    <t>Enganche.</t>
  </si>
  <si>
    <t>Las brocas para azulejos pueden utilizarse fácilmente con un taladro manual normal, pero es importante usar correctamente el taladro para evitar que se sobrecaliente o dañe el azulejo. Por tanto deberemos usar el taladro:</t>
  </si>
  <si>
    <t>A baja velocidad.</t>
  </si>
  <si>
    <t>A velocidad media.</t>
  </si>
  <si>
    <t>A una velocidad alta.</t>
  </si>
  <si>
    <t>No deben usarse brocas para azulejos</t>
  </si>
  <si>
    <t>Dentro de las tareas propias del mantenimiento del Centro se deberá comprobar del estado de limpieza de las llagas o de las aberturas de ventilación de la cámara. ¿Con qué periodicidad se revisarán, según normativa?</t>
  </si>
  <si>
    <t>No se deben mantener</t>
  </si>
  <si>
    <t>Cada 20 años.</t>
  </si>
  <si>
    <t>Son las que aparecen por la suciedad, por humedad o por la erosión. Nos referimos a un tipo de lesión constructiva según su origen. Señalar la respuesta correcta.</t>
  </si>
  <si>
    <t>Físicas.</t>
  </si>
  <si>
    <t>Químicas.</t>
  </si>
  <si>
    <t>Mecánicas.</t>
  </si>
  <si>
    <t>Siguiendo con las lesiones constructivas según su origen, las fisuras se enmarcarían dentro de las lesiones:</t>
  </si>
  <si>
    <t>0. Pract. 2025 PI DS Of. Mantenimiento</t>
  </si>
  <si>
    <t>0. Pract 2024 TL Of. Mantenimiento</t>
  </si>
  <si>
    <t>La puerta que da acceso al aula I de la primera planta no va muy bien, al abrirla más de 90º roza un poco en el suelo y no se puede abrir del todo. ¿Cuál será el problema más corriente y que Rosa puede solucionar de forma rápida y sencilla?</t>
  </si>
  <si>
    <t>Habrá que cambiar la manilla por otra nueva.</t>
  </si>
  <si>
    <t>Sin desmontar la puerta, habrá que pretar los tornillos que sujetan las bisagras, para que la puerta vuelva a estar completamente vertical y ya no rozará.</t>
  </si>
  <si>
    <t>Si quitamos el bombillo de la cerradura de la puerta será suficiente para corregir el problema de rozar con el suelo.</t>
  </si>
  <si>
    <t>Cambiando la chapa del marco de la puerta, que aloja el resbalón y la cerradura será suficiente para que la puerta no roce con el suelo.</t>
  </si>
  <si>
    <t>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t>
  </si>
  <si>
    <t>Cuando esto pasa es porque la pestaña del recogedor no sujeta la cinta. Para resolverlo, cambiaremos el recogedor por uno nuevo.</t>
  </si>
  <si>
    <t>Desmontaremos la tapa del cajón de la persiana y cambiaremos la polea donde se aloja la cinta.</t>
  </si>
  <si>
    <t>Limpiaremos las guías por donde pasa la persiana para que deslice más suave.</t>
  </si>
  <si>
    <t>Cambiaremos los topes de la lama-zócalo de la persiana.</t>
  </si>
  <si>
    <t>En la puerta del almacén de productos de limpieza de la planta baja, tenemos orden de cambiar el bombillo por otro nuevo, que nos ha dado la directora ¿Qué operaciones y en qué orden serán realizadas para cambiar el bombillo, si la puerta está siempre cerrada con llave?</t>
  </si>
  <si>
    <t>Con la llave del bombillo que hay que retirar abriremos la puerta, una vez abierta desmontaremos las tapetas del lado exterior de la puerta, para poder acceder a la placa del pestillo y desde allí podremos cambiar el bombillo por la puerta</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</si>
  <si>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</si>
  <si>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</si>
  <si>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que ya sabemos qué son y para qué sirven las dos piezas anteriores, ¿cómo tiene que estar la persiana para que Rosa pueda cambiarlas?</t>
  </si>
  <si>
    <t>La persiana tiene que estar completamente arriba para facilitar el cambio de estas piezas.</t>
  </si>
  <si>
    <t>La persiana tiene que estar a media altura, concretamente en el centro, para facilitar el cambio de estas piezas</t>
  </si>
  <si>
    <t>La persiana tiene que estar completamente abajo para facilitar el cambio de estas piezas.</t>
  </si>
  <si>
    <t>La persiana tiene que estar subida a una altura de 48 centímetros, para que quede una vuelta completa en el tambor, y sea más fácil el cambio de estas piezas.</t>
  </si>
  <si>
    <t>Con qué periodicidad es necesario limpiar los sumideros de las cubiertas transitables y los botes sifónicos:</t>
  </si>
  <si>
    <t>Cada 12 meses.</t>
  </si>
  <si>
    <t>Cada 24 meses.</t>
  </si>
  <si>
    <t>Con qué periodicidad es necesario limpiar los sumideros y calderetas de cubiertas no transitables</t>
  </si>
  <si>
    <t>Al menos una vez al mes.</t>
  </si>
  <si>
    <t>Al menos una vez cada 6 meses.</t>
  </si>
  <si>
    <t>Al menos una vez al año.</t>
  </si>
  <si>
    <t>Al menos una vez cada 24 meses</t>
  </si>
  <si>
    <t>Comprobación de la posible existencia de filtraciones por fisuras y grietas en suelos Cada cuanto tiempo indica la normativa que debe realizarse:</t>
  </si>
  <si>
    <t>1 vez al mes.</t>
  </si>
  <si>
    <t>1 vez al año.</t>
  </si>
  <si>
    <t>2 veces al año</t>
  </si>
  <si>
    <t>Además de las revisiones en las instalaciones mencionadas deberá también comprobarse el estado de conservación del revestimiento: posible aparición de fisuras, desprendimientos, humedades y manchas. Cada cuanto tiempo debe realizarse:</t>
  </si>
  <si>
    <t>Cada 10 años</t>
  </si>
  <si>
    <t>Comprobación de la posible existencia de grietas y fisuras, así como desplomes u otras deformaciones, en la hoja principal. Cada cuanto tiempo debe realizarse:</t>
  </si>
  <si>
    <t>Cada 15 años.</t>
  </si>
  <si>
    <t>En ese espacio vamos a poner un suelo de parquet flotante de "roble" que en el almacén de maderas nos venden como....:</t>
  </si>
  <si>
    <t>Metros.</t>
  </si>
  <si>
    <t>Metros cuadrados</t>
  </si>
  <si>
    <t>Metros lineales.</t>
  </si>
  <si>
    <t>Metros cúbicos.</t>
  </si>
  <si>
    <t>0. Pract 2024 CO Of. Mantenimiento</t>
  </si>
  <si>
    <t>Para la cerraja de estas puertas qué medida de bombillo o cilindro de cierre necesitaremos:</t>
  </si>
  <si>
    <t>60 mm.</t>
  </si>
  <si>
    <t>70 mm.</t>
  </si>
  <si>
    <t>En función de la largura de la cerraja.</t>
  </si>
  <si>
    <t>En función del grueso de la puerta.</t>
  </si>
  <si>
    <t>Para mayor comodidad y no tener tantas llaves, se quiere que sea la misma llave que el resto de puertas del Centro. ¿Puede ser posible?</t>
  </si>
  <si>
    <t>Siempre.</t>
  </si>
  <si>
    <t>Tiene que ser del mismo tipo o compatible con esas cerrajas y bombillos</t>
  </si>
  <si>
    <t>Sólo si es bombillo de seguridad.</t>
  </si>
  <si>
    <t>Sólo si es bombillo de serreta</t>
  </si>
  <si>
    <t>Para poder acceder a los mecanismos, de esas puertas, para futuras reparaciones, el revestimiento tiene que ser...:</t>
  </si>
  <si>
    <t>Una o varias piezas de aluminio rígidas y fuertes</t>
  </si>
  <si>
    <t>Una o varias piezas de madera rígidas y fuertes.</t>
  </si>
  <si>
    <t>Una o varias piezas rígidas y desmontables.</t>
  </si>
  <si>
    <t>Estos mecanismos no requieren reparaciones.</t>
  </si>
  <si>
    <t>Para la apertura de estas puertas, ¿qué tipo de herraje es el más adecuado?</t>
  </si>
  <si>
    <t>Manillas con boca-llave para bombillo.</t>
  </si>
  <si>
    <t>Pomos con llave.</t>
  </si>
  <si>
    <t>Asa o tirador embutido.</t>
  </si>
  <si>
    <t>Todas las respuestas anteriores son adecuadas</t>
  </si>
  <si>
    <t>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t>
  </si>
  <si>
    <t>Paleta, paletín y llana.</t>
  </si>
  <si>
    <t>Regla, espátula y puntero.</t>
  </si>
  <si>
    <t>Maceta, cincel y alcotana.</t>
  </si>
  <si>
    <t>Plomada, paleta y escuadra.</t>
  </si>
  <si>
    <t>Según DB-SUA, ¿que clase de gres colocaremos?:</t>
  </si>
  <si>
    <t>Clase 1</t>
  </si>
  <si>
    <t>Clase 4.</t>
  </si>
  <si>
    <t>El forjado de la rampa lo realizaremos de hormigón sobre el que pegaremos el gres con cemento cola. Para repartir el cemento cola emplearemos:</t>
  </si>
  <si>
    <t>Nivel, rejuntador, pala.</t>
  </si>
  <si>
    <t>Espátula, maceta, alcotana</t>
  </si>
  <si>
    <t>Paleta, llana dentada.</t>
  </si>
  <si>
    <t>Maceta, cincel, plomada.</t>
  </si>
  <si>
    <t>Para el rejuntado emplearemos:</t>
  </si>
  <si>
    <t>Maza de goma.</t>
  </si>
  <si>
    <t>Cordel fino.</t>
  </si>
  <si>
    <t>Espátula de goma.</t>
  </si>
  <si>
    <t>Flexómetro.</t>
  </si>
  <si>
    <t>El amasado del cemento cola se realiza con:</t>
  </si>
  <si>
    <t>Hormigonera.</t>
  </si>
  <si>
    <t>Espátula de acero.</t>
  </si>
  <si>
    <t>Mezcladora mecánica.</t>
  </si>
  <si>
    <t>En el cuadro general, un PIA de 2x25A ¿A qué uso estará destinado?:</t>
  </si>
  <si>
    <t>A lavadora, lavavajillas y termo eléctrico</t>
  </si>
  <si>
    <t>A cocina y horno.</t>
  </si>
  <si>
    <t>Como general de la instalación.</t>
  </si>
  <si>
    <t>Bases de enchufe de potencia.</t>
  </si>
  <si>
    <t>¿A qué nos referimos con que tiene que existir selectividad?:</t>
  </si>
  <si>
    <t>Se ha de elegir el material que de más garantías de funcionamiento.</t>
  </si>
  <si>
    <t>Cuando se produce un cortocircuito se dispara siempre el general para garantizar la seguridad.</t>
  </si>
  <si>
    <t>Si se produce un defecto a tierra, no se desconectará nada ya que, existe el cable de tierra para eso.</t>
  </si>
  <si>
    <t>Cuando se produce un defecto, solo se aísla la parte de la instalación afectada por dicho defecto.</t>
  </si>
  <si>
    <t>¿Qué dispositivo o dispositivos protegen la instalación contra sobreintensidades?:</t>
  </si>
  <si>
    <t>El diferencial.</t>
  </si>
  <si>
    <t>Solo el Interruptor general o IGA.</t>
  </si>
  <si>
    <t>El ICP general.</t>
  </si>
  <si>
    <t>Tanto el IGA como el ICP y los PIAs tienen esa capacidad</t>
  </si>
  <si>
    <t>Una posible razón para la división de la instalación en circuitos es:</t>
  </si>
  <si>
    <t>Evitar las interrupciones por disparo del diferencial.</t>
  </si>
  <si>
    <t>Facilitar las verificaciones, ensayos y mantenimientos.</t>
  </si>
  <si>
    <t>Facilitar el apagado o encendido de receptores.</t>
  </si>
  <si>
    <t>Para que se reparta mejor el consumo sobre el cableado.</t>
  </si>
  <si>
    <t>¿Qué potencia máxima puede soportar una base de enchufe tipo schuko (la habitual en vivienda), atendiendo únicamente a las características técnicas que tiene marcadas y siendo la tensión normalizada de suministro de 230V?:</t>
  </si>
  <si>
    <t>3680W</t>
  </si>
  <si>
    <t>3800W</t>
  </si>
  <si>
    <t>2,7Kw.</t>
  </si>
  <si>
    <t>1500W</t>
  </si>
  <si>
    <t>Al abrir una caja de conexiones nos encontramos con varios cables uno de ellos es de color marrón. ¿A que puede corresponder?:</t>
  </si>
  <si>
    <t>A un retorno ya que, la fase ha de ser de color negro,</t>
  </si>
  <si>
    <t>A un circuito especial, por no ser de color negro.</t>
  </si>
  <si>
    <t>A un cable de tierra. Se agotó el cable bicolor y este es el más parecido.</t>
  </si>
  <si>
    <t>A un cable de fase.</t>
  </si>
  <si>
    <t>Los tres cables que alimentan una base de enchufe son de sección de 2,5 mm². ¿Qué tamaño de tubo corrugado se habrá usado para su instalación?:</t>
  </si>
  <si>
    <t>16mm</t>
  </si>
  <si>
    <t>30mm.</t>
  </si>
  <si>
    <t>20mm.</t>
  </si>
  <si>
    <t>40mm.</t>
  </si>
  <si>
    <t>Se observan canalizaciones eléctricas. Se podría decir que:</t>
  </si>
  <si>
    <t>Es la ubicación espacial por donde discurrirá el cableado.</t>
  </si>
  <si>
    <t>Serán las canaladuras existentes por haber reformas o estar en obras la vivienda.</t>
  </si>
  <si>
    <t>Es el conjunto de uno o varios conductores eléctricos y los elementos que aseguran su fijación</t>
  </si>
  <si>
    <t>Son los tubos instalados en la vivienda.</t>
  </si>
  <si>
    <t>Los conductores activos que observemos serán</t>
  </si>
  <si>
    <t>De cobre, aislados y con una tensión asignada de 450/750V como mínimo.</t>
  </si>
  <si>
    <t>De cobre, aislados y con una tensión asignada de 0,6/1Kv como mínimo.</t>
  </si>
  <si>
    <t>De cobre o aluminio, aislados y con una tensión asignada de 230/500V como mínimo</t>
  </si>
  <si>
    <t>De cobre o aluminio, aislados y con una tensión asignada de 230V como mínimo.</t>
  </si>
  <si>
    <t>De acuerdo con el artículo 105 c) de la Constitución, la Ley regulará el procedimiento a través del cual deben producirse los actos administrativos garantizando,:</t>
  </si>
  <si>
    <t>De acuerdo con el artículo 71. 4ª del Estatuto de Autonomía de Aragón, en materia de lenguas y modalidades lingüísticas propias de Aragón corresponde a la Comunidad Autónoma la competencia:</t>
  </si>
  <si>
    <t>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t>
  </si>
  <si>
    <t>De tres tubos horizontales.</t>
  </si>
  <si>
    <t>De cuatro tubos horizontales.</t>
  </si>
  <si>
    <t>De cinco tubos horizontales.</t>
  </si>
  <si>
    <t>¿De qué diámetro será el tubo de la batería de contadores de agua?</t>
  </si>
  <si>
    <t>Inferior al tubo de alimentación.</t>
  </si>
  <si>
    <t>Da igual el diámetro.</t>
  </si>
  <si>
    <t>Como mínimo igual al del tubo de alimentación.</t>
  </si>
  <si>
    <t>En una instalación de ACS, con instalación de retorno, ¿deberá ir aislada esta tubería de retorno?</t>
  </si>
  <si>
    <t>En un equipo de presión de una instalación de agua potable, ¿qué es un by-pass?</t>
  </si>
  <si>
    <t>Fundamentalmente, el by-pass consiste en una tubería que conecta directamente la entrada de agua al grupo de presión con la salida del mismo.</t>
  </si>
  <si>
    <t>Fundamentalmente, el by-pass consiste en una tubería que conecta directamente la entrada de agua al grupo de presión con la salida del depósito.</t>
  </si>
  <si>
    <t>Fundamentalmente, el by-pass consiste en una tubería que conecta directamente la entrada de agua del depósito con la salida del mismo.</t>
  </si>
  <si>
    <t>¿Qué es el tubo de alimentación en una instalación interior general de fontanería?</t>
  </si>
  <si>
    <t>Es la tubería de entrada de los grifos de los lavabos.</t>
  </si>
  <si>
    <t>Es la tubería que reparte el agua dentro de las viviendas.</t>
  </si>
  <si>
    <t>Es la tubería que enlaza la llave de paso del inmueble con la batería de contadores.</t>
  </si>
  <si>
    <t>¿Qué caudal instantáneo mínimo debe proporcionarnos el grifo de un lavabo?</t>
  </si>
  <si>
    <t>0'12 l/s.</t>
  </si>
  <si>
    <t>0'15 l/s.</t>
  </si>
  <si>
    <t>0'10 l/s.</t>
  </si>
  <si>
    <t>Completa la frase: "La resistencia al pandeo es un caso especial de la resistencia a la compresión. El pandeo es máximo en ............ de la longitud del eje y depende de la delgadez de la pieza, de la clase de madera, de su humedad y forma de su sección y de la sujeción de sus extremos"</t>
  </si>
  <si>
    <t>el tercio superior.</t>
  </si>
  <si>
    <t>el tercio central.</t>
  </si>
  <si>
    <t>el tercio inferior.</t>
  </si>
  <si>
    <t>¿De qué material están hechas las tuberías de PVC de presión?</t>
  </si>
  <si>
    <t>Polipropileno de vinilo puro.</t>
  </si>
  <si>
    <t>Polietileno de vinilo puro.</t>
  </si>
  <si>
    <t>Policloruro de vinilo puro.</t>
  </si>
  <si>
    <t>¿Cuál es la unidad de medida en el SI de la presión?</t>
  </si>
  <si>
    <t>Pascal.</t>
  </si>
  <si>
    <t>Mca.</t>
  </si>
  <si>
    <t>Newton.</t>
  </si>
  <si>
    <t>¿Con qué aparato se mide la tensión eléctrica?</t>
  </si>
  <si>
    <t>Contador.</t>
  </si>
  <si>
    <t>Amperímetro.</t>
  </si>
  <si>
    <t>¿Cuál es la unidad de intensidad eléctrica?</t>
  </si>
  <si>
    <t>Watio.</t>
  </si>
  <si>
    <t>Amperio.</t>
  </si>
  <si>
    <t>¿Cuál de estas fórmulas es la ley de OHM?</t>
  </si>
  <si>
    <t>V= R/I.</t>
  </si>
  <si>
    <t>I= R/V.</t>
  </si>
  <si>
    <t>R = V/I.</t>
  </si>
  <si>
    <t>En una instalación de 3 lámparas iguales en serie, cuando se conectan a una fuente de tensión:</t>
  </si>
  <si>
    <t>Circula una intensidad diferente en cada lámpara.</t>
  </si>
  <si>
    <t>Circula la misma intensidad por las 3 lámparas.</t>
  </si>
  <si>
    <t>La resistencia total del circuito baja ¾.</t>
  </si>
  <si>
    <t>¿Cuáles de estos son aparatos de maniobra?</t>
  </si>
  <si>
    <t>Bases de enchufe, portalámparas, portatubos.</t>
  </si>
  <si>
    <t>Clavijas, lámparas, cortacircuitos fusibles.</t>
  </si>
  <si>
    <t>Interruptor, cruzamiento, pulsador.</t>
  </si>
  <si>
    <t>¿Cuáles son los componentes propios de un equipo fluorescente?</t>
  </si>
  <si>
    <t>Interruptor, conmutador, clavija.</t>
  </si>
  <si>
    <t>Portatubos, interruptor, fusible.</t>
  </si>
  <si>
    <t>Reactancia, cebador.</t>
  </si>
  <si>
    <t>En electricidad, la herramienta guía se utiliza para:</t>
  </si>
  <si>
    <t>Unir instalaciones.</t>
  </si>
  <si>
    <t>Comprobar circuitos.</t>
  </si>
  <si>
    <t>Pasar cables de instalación por un tubo.</t>
  </si>
  <si>
    <t>La resistencia eléctrica es:</t>
  </si>
  <si>
    <t>La dificultad que opone un material al paso de la corriente eléctrica.</t>
  </si>
  <si>
    <t>La oposición mecánica que presenta el cobre a ser doblado.</t>
  </si>
  <si>
    <t>Es la vida útil de una batería.</t>
  </si>
  <si>
    <t>Cuando en una instalación, se dispara el interruptor diferencial, se ha producido:</t>
  </si>
  <si>
    <t>Una fuga de intensidad fuera del circuito.</t>
  </si>
  <si>
    <t>Un cortocircuito entre fase y neutro.</t>
  </si>
  <si>
    <t>Una bajada súbita de tensión.</t>
  </si>
  <si>
    <t>Se llaman conglomerantes hidráulicos:</t>
  </si>
  <si>
    <t>Aquellos conglomerantes que se obtienen por medios hidráulicos.</t>
  </si>
  <si>
    <t>Aquellos conglomerantes que endurecen tanto ambientes secos como húmedos, incluso bajo el agua.</t>
  </si>
  <si>
    <t>Los cementos, se clasifican por su composición en:</t>
  </si>
  <si>
    <t>Hidráulicos y aéreos.</t>
  </si>
  <si>
    <t>Rápidos y de falso fraguado.</t>
  </si>
  <si>
    <t>Naturales y artificiales.</t>
  </si>
  <si>
    <t>El yeso recupera su aspecto de material pétreo:</t>
  </si>
  <si>
    <t>Si se le reincorpora el agua que pierde en su cocción.</t>
  </si>
  <si>
    <t>Si cuando lo amasamos le añadimos 50% de arena.</t>
  </si>
  <si>
    <t>Si cuando está fraguando le añadimos un 50% más de agua.</t>
  </si>
  <si>
    <t>En un ladrillo llamamos tabla:</t>
  </si>
  <si>
    <t>A cada una de las aristas largas del ladrillo (arista mayor).</t>
  </si>
  <si>
    <t>A cada una de las aristas cortas del ladrillo (arista menor).</t>
  </si>
  <si>
    <t>A cada una de las caras grandes del ladrillo (cara mayor).</t>
  </si>
  <si>
    <t>El mortero seco:</t>
  </si>
  <si>
    <t>Es un mortero cuyo conglomerante es un cemento poco graso.</t>
  </si>
  <si>
    <t>Es un mortero que ha fraguado entre el 35% y el 65% por lo que generalmente es conveniente añadirle agua para poder seguir usándolo, sin que pierda sus propiedades.</t>
  </si>
  <si>
    <t>Es un mortero preparado en planta, donde se mezclan el conglomerante y la arena, y se le añade el agua en el momento del amasado.</t>
  </si>
  <si>
    <t>El yeso es un conglomerante:</t>
  </si>
  <si>
    <t>Hidráulico.</t>
  </si>
  <si>
    <t>Aéreo.</t>
  </si>
  <si>
    <t>¿Qué tipo de corte tendremos que hacer en un tronco, para ver los anillos anuales y saber la edad del árbol?</t>
  </si>
  <si>
    <t>Un corte sagital.</t>
  </si>
  <si>
    <t>Un corte costero o al hilo.</t>
  </si>
  <si>
    <t>Un corte transversal o un corte de testa.</t>
  </si>
  <si>
    <t>En un muro, si el ladrillo está apoyado sobre su cara menor y su cara mayor es paralela al plano del muro, diremos que el ladrillo está colocado a:</t>
  </si>
  <si>
    <t>Rosca.</t>
  </si>
  <si>
    <t>Panderete.</t>
  </si>
  <si>
    <t>Sardinel.</t>
  </si>
  <si>
    <t>La madera contrachapada (FU) está formada:</t>
  </si>
  <si>
    <t>Por chapas de madera desenrollada encoladas unas sobre otras en el mismo sentido, con cualquier cantidad de capas interiores.</t>
  </si>
  <si>
    <t>Por capas de madera presionadas, que por sus sobresalientes propiedades de resistencia se emplea principalmente para fines técnicos.</t>
  </si>
  <si>
    <t>Por chapas de madera desenrollada encoladas unas sobre otras cruzadas, casi siempre por un número impar de capas.</t>
  </si>
  <si>
    <t>Completa la frase: "El husillo de bordes ............":</t>
  </si>
  <si>
    <t>Sólo puede utilizarse conjuntamente con una prensa o un gato.</t>
  </si>
  <si>
    <t>Se puede utilizar individualmente, no es necesario utilizarlo conjuntamente con una prensa o un gato.</t>
  </si>
  <si>
    <t>Es un aparato adicional que se sujeta en el banco o a una mesa.</t>
  </si>
  <si>
    <t>¿Cómo se atiranta la hoja en una sierra de bastidor?</t>
  </si>
  <si>
    <t>Mediante una cuerda tensora con una tablilla o mediante un cable tensor con perno roscado y palomilla.</t>
  </si>
  <si>
    <t>Por el arco o herradura de acero que ejerce una tracción permanente constante.</t>
  </si>
  <si>
    <t>Tensando el contrahierro mediante el contrapoyo de la cuña.</t>
  </si>
  <si>
    <t>III Plan.</t>
  </si>
  <si>
    <t>0. Test 2024 CO Operario Esp.</t>
  </si>
  <si>
    <t>En la revisión de una base de enchufe de circuito de fuerza, tomamos lectura de tensión con:</t>
  </si>
  <si>
    <t>Buscapolos.</t>
  </si>
  <si>
    <t>Polímetro en posición V alterna.</t>
  </si>
  <si>
    <t>Polímetro en posición I 30A.</t>
  </si>
  <si>
    <t>Conectando el taladro.</t>
  </si>
  <si>
    <t>En la revisión de la base de enchufe de la pregunta anterior queremos quitar corriente de ese circuito y dejar funcionando el resto de la instalación:</t>
  </si>
  <si>
    <t>Desconectaremos el circuito marcado como alumbrado.</t>
  </si>
  <si>
    <t>Desconectaremos el circuito marcado como fuerza.</t>
  </si>
  <si>
    <t>Desconectaremos el interruptor general que haya en el cuadro.</t>
  </si>
  <si>
    <t>Ninguna de las respuestas anteriores.</t>
  </si>
  <si>
    <t>Una vez desconectado el circuito correspondiente si queremos abrir la base de enchufe hay que:</t>
  </si>
  <si>
    <t>Ya podemos abrir la base para revisarla internamente.</t>
  </si>
  <si>
    <t>Volvemos a tomar lectura de tensión para asegurar que no hay tensión en la base.</t>
  </si>
  <si>
    <t>Limpiar la base.</t>
  </si>
  <si>
    <t>Limpiar la estancia.</t>
  </si>
  <si>
    <t>Una vez tomadas las precauciones de seguridad abrimos la base y nos encontraremos con los siguientes cables y colores:</t>
  </si>
  <si>
    <t>Tres cables negros de 6 mm. cuadrados.</t>
  </si>
  <si>
    <t>Tres cables azules de 1 mm. cuadrado.</t>
  </si>
  <si>
    <t>Un cable negro, un cable azul, un cable amarillo-verde de 2,5 mm. cuadrados.</t>
  </si>
  <si>
    <t>1 cable marrón.</t>
  </si>
  <si>
    <t>En la instalación el cable negro se corresponde con:</t>
  </si>
  <si>
    <t>Fase.</t>
  </si>
  <si>
    <t>Neutro.</t>
  </si>
  <si>
    <t>Tierra.</t>
  </si>
  <si>
    <t>V entre A y B.</t>
  </si>
  <si>
    <t>0. Pract. 2024 CO Operario Esp.</t>
  </si>
  <si>
    <t>En la instalación el cable azul se corresponde con:</t>
  </si>
  <si>
    <t>En la instalación el cable amarillo-verde se corresponde con:</t>
  </si>
  <si>
    <t>En la instalación, hay un circuito marcado como circuito de emergencia, bajamos ese limitador y sucede lo siguiente:</t>
  </si>
  <si>
    <t>Se iluminan las emergencias.</t>
  </si>
  <si>
    <t>Se apagan las luces de recepción.</t>
  </si>
  <si>
    <t>Se apagan las luces de los servicios.</t>
  </si>
  <si>
    <t>Se encienden las luces del botiquín.</t>
  </si>
  <si>
    <t>En la instalación encontramos una base shucko que echa humo, conectada a un receptor. ¿Cómo debemos actuar?:</t>
  </si>
  <si>
    <t>Desconectamos el receptor de esa base y desconectamos el circuito correspondiente a esa base.</t>
  </si>
  <si>
    <t>Si no hay llama, lo dejamos conectado.</t>
  </si>
  <si>
    <t>Si el receptor funciona, lo dejamos conectado.</t>
  </si>
  <si>
    <t>¿Cuáles son los principales riesgos asociados a la utilización de herramientas manuales?</t>
  </si>
  <si>
    <t>Lesiones oculares por partículas provenientes de los objetos que se trabajan.</t>
  </si>
  <si>
    <t>Golpes en diferentes partes del cuerpo por despido de la propia herramienta y esguinces por sobreesfuerzos o gestos violentos.</t>
  </si>
  <si>
    <t>La definición: "Toda lesión corporal que el trabajador sufra con ocasión o a consecuencia del trabajo que ejecuta por cuenta ajena" se refiere a:</t>
  </si>
  <si>
    <t>Enfermedad provisional.</t>
  </si>
  <si>
    <t>Accidente de trabajo.</t>
  </si>
  <si>
    <t>Accidente in itinere.</t>
  </si>
  <si>
    <t>El cajón lo vamos a realizar en madera contrachapada para interiores. El motivo por el cual utilizamos este tipo de materiales:</t>
  </si>
  <si>
    <t>Por su poca contracción para partes, en su mayoría no autoportantes, de muebles y construcciones interiores.</t>
  </si>
  <si>
    <t>Por ser muy resistente y estar fabricado con virutas de madera y colas de resinas sintéticas y aplicación de calor y presión.</t>
  </si>
  <si>
    <t>Por ser muy sencillo y ligero, fabricado con virutas de madera y colas de resinas sintéticas y aplicación de calor y presión.</t>
  </si>
  <si>
    <t>Por ser muy homogéneo en la constitución de su fibra y los cantos se pueden moldurar sin mucha dificultad.</t>
  </si>
  <si>
    <t>No salen todas las piezas, faltaría uno de los frentes del cajón.</t>
  </si>
  <si>
    <t>Salen todas menos la pieza que hace de suelo del cajón.</t>
  </si>
  <si>
    <t>Sí, salen todas (sin tener en cuenta el dibujo de las vetas de la madera).</t>
  </si>
  <si>
    <t>Dependiendo como sea la ranura que haga de tirador, podrán salir todas las piezas o no.</t>
  </si>
  <si>
    <t>Si a la vista se ve bien no es necesario ninguna corrección.</t>
  </si>
  <si>
    <t>La sierra de bastidor.</t>
  </si>
  <si>
    <t>El serrucho de costilla.</t>
  </si>
  <si>
    <t>El serrucho de afinar reversible con arma acodada.</t>
  </si>
  <si>
    <t>Después del triscado y del afilado.</t>
  </si>
  <si>
    <t>Antes del triscado y del afilado.</t>
  </si>
  <si>
    <t>A la vez que el triscado y el afilado.</t>
  </si>
  <si>
    <t>El cepillo de afinar.</t>
  </si>
  <si>
    <t>La gubia.</t>
  </si>
  <si>
    <t>El escariador.</t>
  </si>
  <si>
    <t>Martillo eléctrico demoledor.</t>
  </si>
  <si>
    <t>Alcotana y piqueta.</t>
  </si>
  <si>
    <t>Maceta y cortafríos fino.</t>
  </si>
  <si>
    <t>Martillo y tenazas de alicatar.</t>
  </si>
  <si>
    <t>Para amasar el yeso:</t>
  </si>
  <si>
    <t>10 cm.</t>
  </si>
  <si>
    <t>13 cm.</t>
  </si>
  <si>
    <t>17 cm.</t>
  </si>
  <si>
    <t>20 cm.</t>
  </si>
  <si>
    <t>El mortero cola es:</t>
  </si>
  <si>
    <t>La escayola es:</t>
  </si>
  <si>
    <t>C4.</t>
  </si>
  <si>
    <t>Golpes, cortes y punzamientos en manos ocasionados por las propias herramientas</t>
  </si>
  <si>
    <t>¿Con el tablero de contrachapado que disponemos se pueden sacar todas las piezas necesarias para nuestra cajón?</t>
  </si>
  <si>
    <t>Para trazar las piezas que componen nuestra cajón necesitaremos una ESCUADRA de carpintero. ¿Cómo podemos comprobar que nuestra escuadra está correctamente?</t>
  </si>
  <si>
    <t>Comprobaremos la medida de sus dos brazos y sacaremos por el teorema de RUFINI la medida de la HIPOTENUSA para ver si coincide con la de nuestra escuadra.</t>
  </si>
  <si>
    <t>La colocaremos en el canto recto de una tabla o plancha y a lo largo de su brazo se traza una raya. Al invertir la posición del ángulo del brazo tiene que seguir coincidiendo con la raya trazada.</t>
  </si>
  <si>
    <t>No es necesario comprobar nuestra escuadra porque siempre están correctamente y no varía su ángulo con el uso y los trabajos realizados.</t>
  </si>
  <si>
    <t>Una vez trazadas las piezas que componen nuestra cajón nos disponemos a cortarlas. ¿Qué tipo de sierra manual sería la más conveniente?</t>
  </si>
  <si>
    <t>El serrucho de carpintero</t>
  </si>
  <si>
    <t>La herramienta que disponemos para cortar presenta un estado lamentable. Para reparar los dientes de esta sierra hay que RECTIFICARLOS. ¿Cuando tenemos que realizar ese trabajo de rectificado?</t>
  </si>
  <si>
    <t>Da igual el orden en que se haga.</t>
  </si>
  <si>
    <t>Después de cortar los tableros vemos que su resultado no ha quedado como si los hubiéramos realizado con una escuadradora. ¿Qué herramienta debemos de utilizar para repasar los cortes y queden más finos?</t>
  </si>
  <si>
    <t>El cortador de chapas de madera.</t>
  </si>
  <si>
    <t>En el supuesto de que los cajones se hubiesen hecho de madera maciza y su grueso no fuera de 10 mm., sino de 16 mm. ¿Qué tipo de ensamble hubiese sido el más idóneo para las esquinas del cajón, para evitar que las piezas unidas se contraigan o hinchen, pero que no se alabeen?</t>
  </si>
  <si>
    <t>Esquina clavada de unión a media madera.</t>
  </si>
  <si>
    <t>Esquina de mueble con lengüeta de láminas.</t>
  </si>
  <si>
    <t>Ensambladura a cola de milano.</t>
  </si>
  <si>
    <t>Esquina con tacos o espigas.</t>
  </si>
  <si>
    <t>¿Una vez realizado el taladro con qué tipo de sierra sería la más adecuada para realizar el corte para el hueco ovalado, para introducir los dedos y que sirva como asa de medidas exteriores de 10 cm de ancho por 4 cm de alto?</t>
  </si>
  <si>
    <t>El serrucho de calar.</t>
  </si>
  <si>
    <t>Para picar el azulejo y lo necesario para alojar la caja de mecanismos, las herramientas más adecuadas serán:</t>
  </si>
  <si>
    <t>¿Que es un azulejo?</t>
  </si>
  <si>
    <t>Es una pieza cerámica formada por un bizcocho poroso con las dos caras esmaltadas.</t>
  </si>
  <si>
    <t>Es una pieza cerámica formada por un bizcocho poroso con una cara esmaltada.</t>
  </si>
  <si>
    <t>Es una pieza cerámica formada por un bizcocho poroso con las caras esmaltadas, generalmente azul.</t>
  </si>
  <si>
    <t>Es una pieza cerámica formada por un bizcocho poroso con los cantos esmaltados.</t>
  </si>
  <si>
    <t>Encarcelaremos la caja con yeso, ¿que es el yeso?</t>
  </si>
  <si>
    <t>Es un conglomerante hidráulico.</t>
  </si>
  <si>
    <t>Es un polvo blanco, resultante de la calcinación de la roca caliza.</t>
  </si>
  <si>
    <t>Es el producto resultante de la deshidratación de aljez, finamente triturado.</t>
  </si>
  <si>
    <t>Se añade agua, en el cubo donde esta el yeso.</t>
  </si>
  <si>
    <t>Se añade yeso en el cubo donde esta el agua.</t>
  </si>
  <si>
    <t>Hay que tener cuidado de añadir al mismo tiempo el agua y el yeso.</t>
  </si>
  <si>
    <t>Es indiferente el orden de los elementos.</t>
  </si>
  <si>
    <t>El tabique, hecho de ladrillo tabicar de doble agujero, jarreado y alicatado por los dos lados, con mortero cola peinado, tendrá un grueso total de:</t>
  </si>
  <si>
    <t>Es un mortero elaborado a partir de cemento portland, mezclado con arenas generalmente de origen volcánico.</t>
  </si>
  <si>
    <t>Es un mortero elaborado con compuestos aluminosos y arenas aligeradas.</t>
  </si>
  <si>
    <t>Es un mortero elaborado a partir de cemento portland y resinas artificiales, mezclado con arenas muy finas.</t>
  </si>
  <si>
    <t>Es un mortero de cal, mezclado con compuestos aluminosos que le hacen conseguir una gran plasticidad y adherencia.</t>
  </si>
  <si>
    <t>Es el material conglomerante resultante de la calcinación de una roca caliza. La descomposición por cocción de este tipo de rocas se hace a temperaturas alrededor de 900º C.</t>
  </si>
  <si>
    <t>Cuando sale del horno se obtiene un hidróxido aluminio muy blanco, que mezclado con yeso obtenemos la escayola.</t>
  </si>
  <si>
    <t>Un yeso muy puro y de grano muy fino.</t>
  </si>
  <si>
    <t>Todas las respuestas son correctas.</t>
  </si>
  <si>
    <t>¿Donde se utiliza mas proporción de escayola, en el amasado para encarcelar o en el amasado para enlucir?.</t>
  </si>
  <si>
    <t>En de enlucir.</t>
  </si>
  <si>
    <t>El mismo.</t>
  </si>
  <si>
    <t>Según el oficial.</t>
  </si>
  <si>
    <t>En el de encarcelar.</t>
  </si>
  <si>
    <t>¿De que clase tendrá que ser la baldosa del suelo, para cumplir con la seguridad frente al riesgo de caídas?</t>
  </si>
  <si>
    <t>En relación a la imagen de la pregunta nº 31; de las dos llaves que hay en el armario del contador ¿que válvula cortaremos primero?</t>
  </si>
  <si>
    <t>La primera.</t>
  </si>
  <si>
    <t>La segunda.</t>
  </si>
  <si>
    <t>Da igual cual cortemos primero.</t>
  </si>
  <si>
    <t>La avería es en una tubería de cobre, ¿Qué herramienta se utiliza para cortar una tubería de cobre durante la reparación de una fuga?</t>
  </si>
  <si>
    <t>Alicates de corte.</t>
  </si>
  <si>
    <t>Sierra para metales.</t>
  </si>
  <si>
    <t>Cincel y martillo.</t>
  </si>
  <si>
    <t>Llave inglesa.</t>
  </si>
  <si>
    <t>¿Cuál de los siguientes pasos es esencial en el proceso de soldadura de tuberías de cobre?</t>
  </si>
  <si>
    <t>Aplicar cinta de teflón alrededor de las uniones antes de soldar.</t>
  </si>
  <si>
    <t>Limpiar las superficies de las tuberías y accesorios con lana de acero o papel de lija.</t>
  </si>
  <si>
    <t>Soplar aire caliente sobre las juntas para secar el exceso de agua antes de soldar.</t>
  </si>
  <si>
    <t>Aplicar un revestimiento de sellador de silicona en las conexiones para evitar fugas.</t>
  </si>
  <si>
    <t>¿Se puede hacer la reparación de la tubería de cobre con piezas de compresión de cobre?</t>
  </si>
  <si>
    <t>Esas piezas son para tubería de hierro.</t>
  </si>
  <si>
    <t>Esas piezas son para tubería de plástico.</t>
  </si>
  <si>
    <t>Se puede hacer la reparación perfectamente con estas piezas.</t>
  </si>
  <si>
    <t>Son piezas que hay que soldar igualmente.</t>
  </si>
  <si>
    <t>También notamos que el lavabo le cuesta mucho tragar agua. ¿Cuál es una técnica comúnmente utilizada para desatascar un lavabo?</t>
  </si>
  <si>
    <t>Empujar la obstrucción hacia abajo o hacia arriba.</t>
  </si>
  <si>
    <t>Aumentar la presión del agua en el desagüe.</t>
  </si>
  <si>
    <t>Utilizar un destornillador para desmontar el grifo.</t>
  </si>
  <si>
    <t>Aplicar presión con un émbolo de goma sobre el desagüe.</t>
  </si>
  <si>
    <t>¿Cuál es la función principal de un sifón en un lavabo?</t>
  </si>
  <si>
    <t>Evitar el retorno de olores desagradables.</t>
  </si>
  <si>
    <t>Regular el caudal de agua en un grifo.</t>
  </si>
  <si>
    <t>Proteger las tuberías de la corrosión.</t>
  </si>
  <si>
    <t>Almacenar agua para su uso posterior.</t>
  </si>
  <si>
    <t>Sin darnos cuenta hemos movido el sifón del lavabo y ahora gotea por la parte que se une con el tubo de desagüe que sale de la pared, ¿como lo arreglaremos?</t>
  </si>
  <si>
    <t>Con un pegamento bi-componente.</t>
  </si>
  <si>
    <t>Con silicona blanca.</t>
  </si>
  <si>
    <t>Cambiaremos la junta cónica del sifón.</t>
  </si>
  <si>
    <t>Con vendas de escayola.</t>
  </si>
  <si>
    <t>Es verdad</t>
  </si>
  <si>
    <t>No es verdad</t>
  </si>
  <si>
    <t>1 metro por 1 metro</t>
  </si>
  <si>
    <t>No influirán en la agilización o resolución de trámite o procedimiento administrativo sin causa justa.</t>
  </si>
  <si>
    <t>No influirán en la agilización o resolución de trámite o procedimiento administrativo.</t>
  </si>
  <si>
    <t>15:30</t>
  </si>
  <si>
    <t>16:30</t>
  </si>
  <si>
    <t>17:00</t>
  </si>
  <si>
    <t>17:30</t>
  </si>
  <si>
    <t>11:00</t>
  </si>
  <si>
    <t>11:30</t>
  </si>
  <si>
    <t>12:00</t>
  </si>
  <si>
    <t>12:30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</si>
</sst>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theme="1"/>
      <name val="Calibri"/>
      <family val="2"/>
    </font>
    <font>
      <b/>
      <sz val="11"/>
      <color theme="1"/>
      <name val="Calibri"/>
      <family val="2"/>
      <scheme val="minor"/>
    </font>
    <font>
      <sz val="11"/>
      <color rgb="FFFF0000"/>
      <name val="Calibri"/>
      <scheme val="minor"/>
    </font>
    <font>
      <sz val="11"/>
      <color rgb="FF7030A0"/>
      <name val="Calibri"/>
      <family val="2"/>
    </font>
    <font>
      <sz val="11"/>
      <color rgb="FFFF0000"/>
      <name val="Calibri"/>
      <family val="2"/>
    </font>
    <font>
      <sz val="11"/>
      <color theme="4"/>
      <name val="Calibri"/>
      <family val="2"/>
    </font>
    <font>
      <sz val="11"/>
      <color rgb="FFFF0000"/>
      <name val="Calibri"/>
      <family val="2"/>
      <scheme val="minor"/>
    </font>
    <font>
      <sz val="11"/>
      <color theme="7"/>
      <name val="Calibri"/>
      <family val="2"/>
      <scheme val="minor"/>
    </font>
    <font>
      <sz val="11"/>
      <color rgb="FF7030A0"/>
      <name val="Calibri"/>
      <family val="2"/>
      <scheme val="minor"/>
    </font>
    <font>
      <sz val="11"/>
      <color theme="7"/>
      <name val="Calibri"/>
      <family val="2"/>
    </font>
  </fonts>
  <fills count="2">
    <fill>
      <patternFill patternType="none"/>
    </fill>
    <fill>
      <patternFill patternType="gray125"/>
    </fill>
  </fills>
  <borders count="1">
    <border>
      <left/>
      <right/>
      <top/>
      <bottom/>
      <diagonal/>
    </border>
  </borders>
  <cellStyleXfs count="5">
    <xf numFmtId="0" fontId="0" fillId="0" borderId="0"/>
    <xf numFmtId="0" fontId="7" fillId="0" borderId="0"/>
    <xf numFmtId="0" fontId="6" fillId="0" borderId="0"/>
    <xf numFmtId="0" fontId="5" fillId="0" borderId="0"/>
    <xf numFmtId="0" fontId="2" fillId="0" borderId="0"/>
  </cellStyleXfs>
  <cellXfs count="37">
    <xf numFmtId="0" fontId="0" fillId="0" borderId="0" xfId="0"/>
    <xf numFmtId="0" fontId="8" fillId="0" borderId="0" xfId="0" applyFont="1"/>
    <xf numFmtId="0" fontId="9" fillId="0" borderId="0" xfId="0" applyFont="1"/>
    <xf numFmtId="49" fontId="9" fillId="0" borderId="0" xfId="0" applyNumberFormat="1" applyFont="1"/>
    <xf numFmtId="0" fontId="9" fillId="0" borderId="0" xfId="0" quotePrefix="1" applyFont="1"/>
    <xf numFmtId="0" fontId="10"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12" fillId="0" borderId="0" xfId="0" applyFont="1"/>
    <xf numFmtId="0" fontId="7" fillId="0" borderId="0" xfId="1"/>
    <xf numFmtId="0" fontId="6" fillId="0" borderId="0" xfId="2"/>
    <xf numFmtId="0" fontId="13" fillId="0" borderId="0" xfId="0" applyFont="1" applyAlignment="1">
      <alignment horizontal="left" indent="1"/>
    </xf>
    <xf numFmtId="0" fontId="14" fillId="0" borderId="0" xfId="0" applyFont="1"/>
    <xf numFmtId="0" fontId="15" fillId="0" borderId="0" xfId="0" applyFont="1"/>
    <xf numFmtId="0" fontId="16" fillId="0" borderId="0" xfId="0" applyFont="1"/>
    <xf numFmtId="0" fontId="5" fillId="0" borderId="0" xfId="3"/>
    <xf numFmtId="0" fontId="5" fillId="0" borderId="0" xfId="0" applyFont="1"/>
    <xf numFmtId="0" fontId="4" fillId="0" borderId="0" xfId="3" applyFont="1"/>
    <xf numFmtId="0" fontId="3" fillId="0" borderId="0" xfId="3" applyFont="1"/>
    <xf numFmtId="1" fontId="8" fillId="0" borderId="0" xfId="0" applyNumberFormat="1" applyFont="1"/>
    <xf numFmtId="1" fontId="11" fillId="0" borderId="0" xfId="0" applyNumberFormat="1" applyFont="1"/>
    <xf numFmtId="1" fontId="9" fillId="0" borderId="0" xfId="0" applyNumberFormat="1" applyFont="1"/>
    <xf numFmtId="1" fontId="10" fillId="0" borderId="0" xfId="0" applyNumberFormat="1" applyFont="1"/>
    <xf numFmtId="1" fontId="0" fillId="0" borderId="0" xfId="0" applyNumberFormat="1"/>
    <xf numFmtId="1" fontId="6" fillId="0" borderId="0" xfId="2" applyNumberFormat="1"/>
    <xf numFmtId="1" fontId="5" fillId="0" borderId="0" xfId="3" applyNumberFormat="1"/>
    <xf numFmtId="0" fontId="2" fillId="0" borderId="0" xfId="4"/>
    <xf numFmtId="0" fontId="17" fillId="0" borderId="0" xfId="0" applyFont="1" applyAlignment="1">
      <alignment horizontal="left" indent="1"/>
    </xf>
    <xf numFmtId="0" fontId="18" fillId="0" borderId="0" xfId="0" applyFont="1" applyAlignment="1">
      <alignment horizontal="left" indent="1"/>
    </xf>
    <xf numFmtId="0" fontId="19" fillId="0" borderId="0" xfId="0" applyFont="1" applyAlignment="1">
      <alignment horizontal="left" indent="1"/>
    </xf>
    <xf numFmtId="0" fontId="20" fillId="0" borderId="0" xfId="0" applyFont="1"/>
    <xf numFmtId="0" fontId="2" fillId="0" borderId="0" xfId="0" applyFont="1"/>
    <xf numFmtId="0" fontId="1" fillId="0" borderId="0" xfId="4" applyFont="1"/>
    <xf numFmtId="0" fontId="10" fillId="0" borderId="0" xfId="0" quotePrefix="1" applyFont="1"/>
    <xf numFmtId="20" fontId="10" fillId="0" borderId="0" xfId="0" quotePrefix="1" applyNumberFormat="1" applyFont="1"/>
  </cellXfs>
  <cellStyles count="5">
    <cellStyle name="Normal" xfId="0" builtinId="0"/>
    <cellStyle name="Normal 2" xfId="1" xr:uid="{967CDD80-E4EC-4633-89FC-98AFA8C8F754}"/>
    <cellStyle name="Normal 3" xfId="2" xr:uid="{F3CF50B6-CC93-496D-8E32-E5B2DF68C518}"/>
    <cellStyle name="Normal 4" xfId="3" xr:uid="{8D5C0CED-874F-4141-B473-3D15929414C0}"/>
    <cellStyle name="Normal 5" xfId="4" xr:uid="{63D12A0F-EA05-4B16-972E-1B2714EABF35}"/>
  </cellStyles>
  <dxfs count="14">
    <dxf>
      <font>
        <color rgb="FF7030A0"/>
      </font>
    </dxf>
    <dxf>
      <font>
        <color rgb="FF7030A0"/>
      </font>
    </dxf>
    <dxf>
      <font>
        <color theme="7"/>
      </font>
    </dxf>
    <dxf>
      <font>
        <color theme="7"/>
      </font>
    </dxf>
    <dxf>
      <font>
        <color theme="7"/>
      </font>
    </dxf>
    <dxf>
      <font>
        <color rgb="FFFF0000"/>
      </font>
    </dxf>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113.716233796295" createdVersion="8" refreshedVersion="8" minRefreshableVersion="3" recordCount="2356"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35"/>
    </cacheField>
    <cacheField name="Descripcion_Tema" numFmtId="0">
      <sharedItems containsBlank="1" count="38">
        <s v="Constitución"/>
        <s v="Ley Org. 5/2007 Estatuto de Autonomia"/>
        <s v="Ley 39/2015 Procedimiento Adm. Común."/>
        <s v="R.D.L. 2/2004 Ley Haciendas Locales"/>
        <s v="Ley 7/1985 Reguladora de las Bases del Regimen Local"/>
        <s v="R.D.L. 5/2015 T.R.E.B.E.P"/>
        <s v="Ley 10/2017 Regimen especial Municipio Zaragoza"/>
        <s v="Tipos de documentos"/>
        <s v="Ley 3/2007 Igualdad"/>
        <s v="Albañileria"/>
        <s v="Fontaneria"/>
        <s v="Carpinteria"/>
        <s v="Cerrajeria"/>
        <s v="Persianas"/>
        <s v="Servicios Sociales Comunitarios"/>
        <s v="Ascensores"/>
        <s v="Alarmas"/>
        <s v="Aparatos de audio, video e imagen"/>
        <s v="Ofimatica"/>
        <s v="Centros Cívicos"/>
        <s v="Centros Publicos Escolares"/>
        <s v="Organigrama y Manual de Atencion"/>
        <s v="Prevencion"/>
        <s v="Electricidad"/>
        <s v="Incendios"/>
        <s v="Pintura"/>
        <s v="Movilidad Urbana"/>
        <s v="Productos fitosanitarios"/>
        <s v="Temas SIN DEFINIR"/>
        <s v="Supuestos Practicos"/>
        <m/>
        <s v="Alarmas y ascensores" u="1"/>
        <s v="R.D.L. 5/2025 T.R.E.B.E.P" u="1"/>
        <s v="Simulacro" u="1"/>
        <s v="Igualdad" u="1"/>
        <s v="Organigrama" u="1"/>
        <s v="Simulacro26" u="1"/>
        <s v="Mezcla" u="1"/>
      </sharedItems>
    </cacheField>
    <cacheField name="Test" numFmtId="0">
      <sharedItems containsString="0" containsBlank="1" containsNumber="1" containsInteger="1" minValue="1" maxValue="83"/>
    </cacheField>
    <cacheField name="Descripcion_test" numFmtId="0">
      <sharedItems containsBlank="1"/>
    </cacheField>
    <cacheField name="Pregunta" numFmtId="0">
      <sharedItems containsBlank="1" containsMixedTypes="1" containsNumber="1" containsInteger="1" minValue="1" maxValue="107"/>
    </cacheField>
    <cacheField name="Enunciado" numFmtId="0">
      <sharedItems containsBlank="1" longText="1"/>
    </cacheField>
    <cacheField name="a" numFmtId="0">
      <sharedItems containsBlank="1" containsMixedTypes="1" containsNumber="1" minValue="0.45833333333333331" maxValue="1980" longText="1"/>
    </cacheField>
    <cacheField name="b" numFmtId="0">
      <sharedItems containsBlank="1" containsMixedTypes="1" containsNumber="1" minValue="0.47916666666666669" maxValue="1985" longText="1"/>
    </cacheField>
    <cacheField name="c" numFmtId="0">
      <sharedItems containsBlank="1" containsMixedTypes="1" containsNumber="1" minValue="0.5" maxValue="1990" longText="1"/>
    </cacheField>
    <cacheField name="d" numFmtId="0">
      <sharedItems containsBlank="1" containsMixedTypes="1" containsNumber="1" minValue="0.52083333333333337"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56">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2"/>
    <s v="Están incluidos en el sector público institucional, conforme a la Ley 39/2015 de 1 de Octubre:"/>
    <s v="Los organismos públicos y entidades de derecho público vinculados o dependientes de las Administraciones Públicas."/>
    <s v="Las entidades de derecho privado, no vinculados o independientes de las Administraciones Públicas."/>
    <s v="Todas ellas a, b,  integran el sector público institucional a efectos de la Ley 39/2015 de 1 de Octubre del Procedimiento Administrativo común de las Administraciones Públicas."/>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3"/>
    <s v="En los Ayuntamientos, con carácter general,  las funciones de ordenación de pagos:"/>
    <s v="Competen al Alcalde."/>
    <s v="Las realiza el órgano que determine el Pleno."/>
    <s v="Las realiza en todo caso la unidad de ordenación de pagos."/>
    <s v="Ninguna es correcta."/>
    <s v="a"/>
  </r>
  <r>
    <x v="0"/>
    <n v="4"/>
    <x v="3"/>
    <n v="12"/>
    <s v="Test Gallocanta 2"/>
    <n v="24"/>
    <s v="¿Quién establece la imposición de precios públicos en el municipio?"/>
    <s v="El Alcalde."/>
    <s v="El Pleno."/>
    <s v="La Comisión de Gobierno."/>
    <s v="La Comunidad Autónoma."/>
    <s v="b"/>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2"/>
    <s v="Test Gallocanta 2"/>
    <n v="30"/>
    <s v="Se considera vehículo apto para la circulación, a efectos del Impuesto sobre Vehículos de Tracción Mecánica:"/>
    <s v="El que hubiera sido matriculado en los registros públicos correspondientes y mientras no haya causado baja en éstos."/>
    <s v="Entre otros, a los efectos de este impuesto  se considerarán aptos los vehículos provistos de permisos temporales y matrícula turística."/>
    <s v="A y B son correctas."/>
    <s v="A y b no son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3"/>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3"/>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3"/>
    <s v="Test Alumnos B"/>
    <n v="4"/>
    <s v="Una donación a un municipio, ¿Qué clase de ingreso es?:"/>
    <s v="Ingreso de carácter especial."/>
    <s v="NO es un ingreso local."/>
    <s v="De derecho privado."/>
    <s v="De derecho público."/>
    <s v="c"/>
  </r>
  <r>
    <x v="0"/>
    <n v="4"/>
    <x v="3"/>
    <n v="13"/>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3"/>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3"/>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3"/>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3"/>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3"/>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3"/>
    <s v="Test Alumnos C"/>
    <n v="1"/>
    <s v="La Ley Reguladora de las Bases del Régimen Local es una ley:"/>
    <s v="Orgánica."/>
    <s v="Ordinaria de carácter básico."/>
    <s v="Fundamental."/>
    <m/>
    <s v="b"/>
  </r>
  <r>
    <x v="0"/>
    <n v="4"/>
    <x v="3"/>
    <n v="13"/>
    <s v="Test Alumnos C"/>
    <n v="2"/>
    <s v="El gasto de los recursos con que cuentan las entidades Locales debe efectuarse de acuerdo con las previsiones contenidas en sus:"/>
    <s v="Presupuestos."/>
    <s v="Ordenanzas."/>
    <s v="Servicios."/>
    <m/>
    <s v="a"/>
  </r>
  <r>
    <x v="0"/>
    <n v="4"/>
    <x v="3"/>
    <n v="13"/>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3"/>
    <s v="Test Alumnos C"/>
    <n v="4"/>
    <s v="¿Cuál es la última fase del proceso de ejecución del gasto presupuestario?"/>
    <s v="La disposición de gasto"/>
    <s v="La ordenación del pago"/>
    <s v="El reconocimiento de la obligación"/>
    <s v="La autorización del gasto"/>
    <s v="b"/>
  </r>
  <r>
    <x v="0"/>
    <n v="4"/>
    <x v="3"/>
    <n v="13"/>
    <s v="Test Alumnos C"/>
    <n v="5"/>
    <s v="¿Cuál es la primera fase del proceso de ejecución del gasto presupuestario?"/>
    <s v="El reconocimiento de la obligación"/>
    <s v="La autorización del gasto"/>
    <s v="La ordenación del pago"/>
    <s v="La disposición de gasto"/>
    <s v="b"/>
  </r>
  <r>
    <x v="0"/>
    <n v="4"/>
    <x v="3"/>
    <n v="13"/>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3"/>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3"/>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3"/>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3"/>
    <s v="Test Alumnos C"/>
    <n v="19"/>
    <s v="¿Cuál de los siguientes conceptos corresponde a uno de los niveles de la clasificación económica del estado de gastos del presupuesto?"/>
    <s v="Función."/>
    <s v="Programa."/>
    <s v="Concepto."/>
    <s v="Subfunción"/>
    <s v="c"/>
  </r>
  <r>
    <x v="0"/>
    <n v="4"/>
    <x v="3"/>
    <n v="13"/>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4"/>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4"/>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4"/>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4"/>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4"/>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4"/>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4"/>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4"/>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4"/>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4"/>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4"/>
    <s v="Test Administracion 2"/>
    <n v="11"/>
    <s v="Son órganos superiores municipales en los Municipios de Gran Población:"/>
    <s v="Los miembros de la Junta de Gobierno Local"/>
    <s v="El Secretario General del Pleno"/>
    <s v="El titular de la Asesoría Jurídica"/>
    <s v="El Interventor"/>
    <s v="a"/>
  </r>
  <r>
    <x v="0"/>
    <n v="5"/>
    <x v="4"/>
    <n v="14"/>
    <s v="Test Administracion 2"/>
    <n v="12"/>
    <s v="El titular de la Asesoría Jurídica en el Ayuntamiento de Zaragoza, será nombrado por:"/>
    <s v="El Alcalde"/>
    <s v="El Pleno"/>
    <s v="La Junta de Gobierno Local"/>
    <s v="El Secretario general"/>
    <s v="c"/>
  </r>
  <r>
    <x v="0"/>
    <n v="5"/>
    <x v="4"/>
    <n v="14"/>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4"/>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4"/>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4"/>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4"/>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4"/>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4"/>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4"/>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6"/>
    <s v="Test Administracion 3"/>
    <n v="1"/>
    <s v="La Ley reguladora de los Concejos Abiertos en Aragón es:"/>
    <s v="Ley orgánica 9 de 22 de diciembre de 2009,"/>
    <s v="Ley 6/2009 de 22 de diciembre."/>
    <s v="Ley 9/2006 de 22 de noviembre."/>
    <s v="Ninguna es cierta."/>
    <s v="d"/>
  </r>
  <r>
    <x v="0"/>
    <n v="5"/>
    <x v="4"/>
    <n v="16"/>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6"/>
    <s v="Test Administracion 3"/>
    <n v="3"/>
    <s v="La Ley 9/2009 de 22 de Diciembre reguladora de los Concejos Abiertos en Aragón tiene por objeto."/>
    <s v="Establecer los requisitos para la aplicación del régimen de Concejo abierto a los municipios y entidades locales de Aragón, en base a las ordenanzas municipales propias de cada uno de ellos."/>
    <s v="Establecer los requisitos para la aplicación del régimen de Concejo abierto a los municipios y entidades locales menores de Aragón, en el ámbito de las competencias atribuidas a la Comunidad Autónoma por su Estatuto de Autonomía."/>
    <s v="Establecer los requisitos para la aplicación del régimen de Concejo abierto a los municipios y entidades locales menores de Aragón, así como la regulación de dicho régimen, en el ámbito de las competencias atribuidas a la Comunidad Autónoma por su Estatuto de Autonomía."/>
    <s v="Ninguna es cierta."/>
    <s v="c"/>
  </r>
  <r>
    <x v="0"/>
    <n v="5"/>
    <x v="4"/>
    <n v="16"/>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6"/>
    <s v="Test Administracion 3"/>
    <n v="5"/>
    <s v="A efectos de la Ley 9/2009 reguladora de los Concejos Abiertos,  se entiende que existe “tradición” en los municipios,   en la utilización de este régimen de concejo abierto, en el  gobierno y administración de los mismos:"/>
    <s v="Cuando el municipio se viniera rigiendo por este régimen en los 5 años anteriores."/>
    <s v="Cuando el municipio se viniera rigiendo por este régimen con antelación a 1985."/>
    <s v="Cuando figuren referencias históricas al respecto."/>
    <s v="Cuando así lo consideren los órganos municipales."/>
    <s v="b"/>
  </r>
  <r>
    <x v="0"/>
    <n v="5"/>
    <x v="4"/>
    <n v="16"/>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6"/>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6"/>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6"/>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6"/>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6"/>
    <s v="Test Administracion 3"/>
    <n v="11"/>
    <s v="Conforme a lo establecido en la Constitución Española ¿Quién elige al Alcalde?:"/>
    <s v="Los Concejales."/>
    <s v="Los vecinos."/>
    <s v="Los concejales o los vecinos."/>
    <m/>
    <s v="c"/>
  </r>
  <r>
    <x v="0"/>
    <n v="5"/>
    <x v="4"/>
    <n v="16"/>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6"/>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6"/>
    <s v="Test Administracion 3"/>
    <n v="14"/>
    <s v="La creación o supresión de municipios:"/>
    <s v="Requerirá en todo caso audiencia de los municipios interesados."/>
    <s v="Se pondrá en conocimiento de la Administración General del Estado."/>
    <s v="Las opciones a y b son correctas."/>
    <m/>
    <s v="c"/>
  </r>
  <r>
    <x v="0"/>
    <n v="5"/>
    <x v="4"/>
    <n v="16"/>
    <s v="Test Administracion 3"/>
    <n v="15"/>
    <s v="¿Quiénes deben inscribirse en el padrón municipal?"/>
    <s v="Todos los españoles exclusivamente."/>
    <s v="Todas las personas que vivan en España."/>
    <s v="Todos los españoles y nacionales de la Unión Europea exclusivamente."/>
    <m/>
    <s v="b"/>
  </r>
  <r>
    <x v="0"/>
    <n v="5"/>
    <x v="4"/>
    <n v="16"/>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6"/>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6"/>
    <s v="Test Administracion 3"/>
    <n v="18"/>
    <s v="¿Cuál es la naturaleza del padrón municipal?"/>
    <s v="Es un registro privado."/>
    <s v="Es un registro civil."/>
    <s v="Es un registro administrativo."/>
    <m/>
    <s v="c"/>
  </r>
  <r>
    <x v="0"/>
    <n v="5"/>
    <x v="4"/>
    <n v="16"/>
    <s v="Test Administracion 3"/>
    <n v="19"/>
    <s v="¿Cuál de los siguientes datos no es obligatorio que conste en el Padrón municipal?"/>
    <s v="La nacionalidad."/>
    <s v="El número de teléfono."/>
    <s v="El certificado o título académico que se posea."/>
    <m/>
    <s v="b"/>
  </r>
  <r>
    <x v="0"/>
    <n v="5"/>
    <x v="4"/>
    <n v="16"/>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6"/>
    <s v="Test Administracion 3"/>
    <n v="21"/>
    <s v="¿Cuál de las siguientes, según el artículo 3 de la LRBRL, no es una entidad local de carácter territorial?"/>
    <s v="Municipio"/>
    <s v="Mancomunidad"/>
    <s v="Isla, en los archipiélagos balear y canario"/>
    <s v="Provincia"/>
    <s v="b"/>
  </r>
  <r>
    <x v="0"/>
    <n v="5"/>
    <x v="4"/>
    <n v="16"/>
    <s v="Test Administracion 3"/>
    <n v="22"/>
    <s v="¿Cuál de las siguientes potestades no puede ser ejercida por los Ayuntamientos?"/>
    <s v="La potestad expropiatoria."/>
    <s v="La potestad legislativa."/>
    <s v="La potestad reglamentaria."/>
    <s v="La potestad sancionadora."/>
    <s v="b"/>
  </r>
  <r>
    <x v="0"/>
    <n v="6"/>
    <x v="5"/>
    <n v="17"/>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7"/>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7"/>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7"/>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7"/>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7"/>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7"/>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7"/>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7"/>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7"/>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7"/>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7"/>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7"/>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7"/>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7"/>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7"/>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7"/>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7"/>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7"/>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7"/>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7"/>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7"/>
    <s v="Test Trebep 1"/>
    <n v="22"/>
    <s v="El personal laboral en función del contrato podrá ser:"/>
    <s v="fijo"/>
    <s v="por tiempo indefinido"/>
    <s v="temporal"/>
    <s v="todas son correctas"/>
    <s v="d"/>
  </r>
  <r>
    <x v="0"/>
    <n v="6"/>
    <x v="5"/>
    <n v="17"/>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7"/>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7"/>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7"/>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7"/>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8"/>
    <s v="Test Trebep 2"/>
    <n v="1"/>
    <s v="Las retribuciones de los funcionarios de carrera se clasifican en:"/>
    <s v="básicas y complementarias"/>
    <s v="básicas y extraordinarias"/>
    <s v="básicas, complementarias y extraordinarias"/>
    <s v="sueldo y trienios"/>
    <s v="a"/>
  </r>
  <r>
    <x v="0"/>
    <n v="6"/>
    <x v="5"/>
    <n v="18"/>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8"/>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8"/>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8"/>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8"/>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8"/>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8"/>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8"/>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8"/>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8"/>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8"/>
    <s v="Test Trebep 2"/>
    <n v="12"/>
    <s v="Las retribuciones del personal laboral se determinarán de acuerdo con:"/>
    <s v="la legislación laboral."/>
    <s v="el convenio colectivo que sea aplicable."/>
    <s v="el contrato de trabajo."/>
    <s v="todas son correctas."/>
    <s v="d"/>
  </r>
  <r>
    <x v="0"/>
    <n v="6"/>
    <x v="5"/>
    <n v="18"/>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8"/>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8"/>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8"/>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8"/>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8"/>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8"/>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8"/>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8"/>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8"/>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8"/>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19"/>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19"/>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19"/>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19"/>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19"/>
    <s v="Test Trebep 3"/>
    <n v="5"/>
    <s v="Los empleados públicos tienen derecho para la determinación de sus condiciones de trabajo a:"/>
    <s v="la negociación colectiva."/>
    <s v="la representación."/>
    <s v="la participación institucional."/>
    <s v="todas son correctas."/>
    <s v="d"/>
  </r>
  <r>
    <x v="0"/>
    <n v="6"/>
    <x v="5"/>
    <n v="19"/>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19"/>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19"/>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19"/>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19"/>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19"/>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19"/>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19"/>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19"/>
    <s v="Test Trebep 3"/>
    <n v="14"/>
    <s v="Los Pactos y Acuerdos deberán determinar:"/>
    <s v="las partes que los conciertan"/>
    <s v="el ámbito personal, funcional, territorial y temporal"/>
    <s v="la forma, plazo de preaviso y condiciones de denuncia de los mismos"/>
    <s v="todas son correctas"/>
    <s v="d"/>
  </r>
  <r>
    <x v="0"/>
    <n v="6"/>
    <x v="5"/>
    <n v="19"/>
    <s v="Test Trebep 3"/>
    <n v="16"/>
    <s v="Los órganos específicos de representación de los funcionarios son:"/>
    <s v="los Delegados de Personal"/>
    <s v="las Juntas de Personal"/>
    <s v="los Sindicatos"/>
    <s v="los Delegados de Personal y las Juntas de Personal"/>
    <s v="d"/>
  </r>
  <r>
    <x v="0"/>
    <n v="6"/>
    <x v="5"/>
    <n v="19"/>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19"/>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19"/>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19"/>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0"/>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0"/>
    <s v="Test Trebep 4"/>
    <n v="2"/>
    <s v="Por asuntos particulares el funcionario público dispondrá de un permiso de:"/>
    <s v="5 días al año"/>
    <s v="6 días al año"/>
    <s v="7 días al año"/>
    <s v="10 días al año"/>
    <s v="b"/>
  </r>
  <r>
    <x v="0"/>
    <n v="6"/>
    <x v="5"/>
    <n v="20"/>
    <s v="Test Trebep 4"/>
    <n v="3"/>
    <s v="Por matrimonio, el funcionario público dispondrá de un permiso de:"/>
    <s v="7 días"/>
    <s v="14 días"/>
    <s v="15 días"/>
    <s v="20 días"/>
    <s v="c"/>
  </r>
  <r>
    <x v="0"/>
    <n v="6"/>
    <x v="5"/>
    <n v="20"/>
    <s v="Test Trebep 4"/>
    <n v="4"/>
    <s v="El permiso por nacimiento para la madre biológica será de:"/>
    <s v="12 semanas"/>
    <s v="14 semanas"/>
    <s v="16 semanas"/>
    <s v="18 semanas"/>
    <s v="c"/>
  </r>
  <r>
    <x v="0"/>
    <n v="6"/>
    <x v="5"/>
    <n v="20"/>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0"/>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0"/>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0"/>
    <s v="Test Trebep 4"/>
    <n v="8"/>
    <s v="Los funcionarios públicos tendrán derecho a disfrutar, durante cada año natural, de unas vacaciones retribuidas de:"/>
    <s v="20 días hábiles"/>
    <s v="22 días hábiles"/>
    <s v="un mes"/>
    <s v="30 días"/>
    <s v="b"/>
  </r>
  <r>
    <x v="0"/>
    <n v="6"/>
    <x v="5"/>
    <n v="20"/>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0"/>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0"/>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0"/>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0"/>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0"/>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0"/>
    <s v="Test Trebep 4"/>
    <n v="15"/>
    <s v="Podrán formar parte de los órganos de selección:"/>
    <s v="el personal de elección o de designación política."/>
    <s v="los funcionarios interinos."/>
    <s v="el personal eventual."/>
    <s v="el personal laboral."/>
    <s v="d"/>
  </r>
  <r>
    <x v="0"/>
    <n v="6"/>
    <x v="5"/>
    <n v="20"/>
    <s v="Test Trebep 4"/>
    <n v="16"/>
    <s v="Los sistemas selectivos de personal laboral fijo serán los de:"/>
    <s v="oposición o concurso"/>
    <s v="concurso o concurso-oposición"/>
    <s v="oposición o concurso-oposición"/>
    <s v="oposición, concurso o concurso-oposición"/>
    <s v="d"/>
  </r>
  <r>
    <x v="0"/>
    <n v="6"/>
    <x v="5"/>
    <n v="20"/>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0"/>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0"/>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0"/>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1"/>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1"/>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1"/>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1"/>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1"/>
    <s v="Test Trebep 5"/>
    <n v="5"/>
    <s v="El permiso del progenitor diferente de la madre biológica por nacimiento, guarda con fines de adopción, acogimiento o adopción de un hijo o hija tendrá una duración de:"/>
    <s v="15 días."/>
    <s v="2 semanas."/>
    <s v="4 semanas."/>
    <s v="16 semanas."/>
    <s v="d"/>
  </r>
  <r>
    <x v="0"/>
    <n v="6"/>
    <x v="5"/>
    <n v="21"/>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1"/>
    <s v="Test Trebep 5"/>
    <n v="7"/>
    <s v="El Título III del Estatuto Básico del Empleado Público tiene:"/>
    <s v="3 capítulos."/>
    <s v="4 capítulos."/>
    <s v="5 capítulos."/>
    <s v="6 capítulos."/>
    <s v="d"/>
  </r>
  <r>
    <x v="0"/>
    <n v="6"/>
    <x v="5"/>
    <n v="21"/>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1"/>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1"/>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1"/>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1"/>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1"/>
    <s v="Test Trebep 5"/>
    <n v="13"/>
    <s v="Como regla general, los sistemas selectivos de funcionarios de carrera serán los de:"/>
    <s v="oposición y concurso."/>
    <s v="concurso y libre designación."/>
    <s v="oposición y concurso-oposición."/>
    <s v="oposición, concurso y concurso-oposición."/>
    <s v="c"/>
  </r>
  <r>
    <x v="0"/>
    <n v="6"/>
    <x v="5"/>
    <n v="21"/>
    <s v="Test Trebep 5"/>
    <n v="14"/>
    <s v="Sólo en virtud de ley podrá aplicarse como sistema selectivo de los funcionarios de carrera , con carácter excepcional, el sistema de:"/>
    <s v="concurso."/>
    <s v="oposición."/>
    <s v="concurso-oposición."/>
    <s v="libre designación.."/>
    <s v="a"/>
  </r>
  <r>
    <x v="0"/>
    <n v="6"/>
    <x v="5"/>
    <n v="21"/>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1"/>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1"/>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1"/>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1"/>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1"/>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1"/>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2"/>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2"/>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2"/>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2"/>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2"/>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2"/>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2"/>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2"/>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2"/>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2"/>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2"/>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2"/>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2"/>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2"/>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2"/>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2"/>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2"/>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2"/>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2"/>
    <s v="Test Trebep 6"/>
    <n v="19"/>
    <s v="Los puestos de trabajo podrán agruparse en función de sus características para ordenar:"/>
    <s v="La selección."/>
    <s v="La formación."/>
    <s v="La movilidad."/>
    <s v="Todas son correctas."/>
    <s v="d"/>
  </r>
  <r>
    <x v="0"/>
    <n v="6"/>
    <x v="5"/>
    <n v="22"/>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2"/>
    <s v="Test Trebep 7"/>
    <n v="1"/>
    <s v="Los funcionarios de carrera se hallarán en alguna de las siguientes situaciones:"/>
    <s v="servicio activo."/>
    <s v="servicios especiales."/>
    <s v="servicio en otras Administraciones Públicas."/>
    <s v="todas son correctas."/>
    <s v="d"/>
  </r>
  <r>
    <x v="0"/>
    <n v="6"/>
    <x v="5"/>
    <n v="23"/>
    <s v="Test Trebep 7"/>
    <n v="2"/>
    <s v="Los funcionarios de carrera se hallarán en alguna de las siguientes situaciones (señala la incorrecta):"/>
    <s v="excedencia"/>
    <s v="servicios especiales"/>
    <s v="expectativa de destino"/>
    <s v="suspensión de funciones"/>
    <s v="c"/>
  </r>
  <r>
    <x v="0"/>
    <n v="6"/>
    <x v="5"/>
    <n v="23"/>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3"/>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3"/>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3"/>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3"/>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3"/>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3"/>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3"/>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3"/>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3"/>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3"/>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3"/>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3"/>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4"/>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4"/>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4"/>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4"/>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4"/>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4"/>
    <s v="Test 24-ene"/>
    <n v="6"/>
    <s v="El Estatuto Básico del Empleado Público establece que los funcionarios públicos tendrán derecho a disfrutar, durante cada año natura', de unas vacaciones retribuidas de:"/>
    <s v="1 mes."/>
    <s v="30 días naturales."/>
    <s v="22 días hábiles."/>
    <m/>
    <s v="c"/>
  </r>
  <r>
    <x v="0"/>
    <n v="7"/>
    <x v="6"/>
    <n v="24"/>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4"/>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4"/>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4"/>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4"/>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4"/>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4"/>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4"/>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4"/>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4"/>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4"/>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4"/>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4"/>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4"/>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5"/>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5"/>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5"/>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5"/>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9"/>
    <x v="7"/>
    <n v="25"/>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5"/>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5"/>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5"/>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5"/>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5"/>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5"/>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5"/>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5"/>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5"/>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5"/>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5"/>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5"/>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5"/>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5"/>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6"/>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6"/>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6"/>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6"/>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6"/>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6"/>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6"/>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6"/>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6"/>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6"/>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8"/>
    <x v="8"/>
    <n v="26"/>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6"/>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8"/>
    <x v="8"/>
    <n v="26"/>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6"/>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6"/>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6"/>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6"/>
    <s v="Examenes ayunt 1"/>
    <n v="17"/>
    <s v="El Título l de la Constitución tiene como epígrafe:"/>
    <s v="De los derechos y libertades."/>
    <s v="De los derechos y deberes fundamentales."/>
    <s v="De los derechos fundamentales  y de las libertades públicas."/>
    <m/>
    <s v="b"/>
  </r>
  <r>
    <x v="0"/>
    <n v="6"/>
    <x v="5"/>
    <n v="26"/>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6"/>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6"/>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6"/>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2"/>
    <x v="1"/>
    <n v="26"/>
    <s v="Examenes ayunt 1"/>
    <n v="22"/>
    <s v="De acuerdo con el artículo 72.1 del Estatuto de Autonomía de Aragón, en materia de aguas que discurran íntegramente por su territorio corresponde  a la Comunidad Autónoma la competencia:"/>
    <s v="Ejecutiva."/>
    <s v="Compartida."/>
    <s v="Exclusiva."/>
    <m/>
    <s v="c"/>
  </r>
  <r>
    <x v="0"/>
    <n v="1"/>
    <x v="0"/>
    <n v="26"/>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6"/>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6"/>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6"/>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6"/>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6"/>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6"/>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6"/>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6"/>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6"/>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6"/>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6"/>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6"/>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6"/>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6"/>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6"/>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6"/>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8"/>
    <x v="8"/>
    <n v="26"/>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7"/>
    <s v="Examenes ayunt 2"/>
    <n v="1"/>
    <s v="De acuerdo con el artículo 106.1 de la Constitución española, los tribunales controlan"/>
    <s v="La potestad legislativa."/>
    <s v="La potestad reglamentaria."/>
    <s v="Las dos respuestas anteriores son correctas."/>
    <m/>
    <s v="b"/>
  </r>
  <r>
    <x v="0"/>
    <n v="3"/>
    <x v="2"/>
    <n v="27"/>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7"/>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7"/>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7"/>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7"/>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7"/>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7"/>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7"/>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7"/>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7"/>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7"/>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7"/>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7"/>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7"/>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7"/>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8"/>
    <x v="8"/>
    <n v="27"/>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7"/>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7"/>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7"/>
    <s v="Examenes ayunt 2"/>
    <n v="22"/>
    <s v="El Título IV de la Constitución española tiene como epígrafe:"/>
    <s v="De la Administración."/>
    <s v="Del Gobierno y de la Administración."/>
    <s v="De las Administraciones Públicas."/>
    <m/>
    <s v="b"/>
  </r>
  <r>
    <x v="0"/>
    <n v="1"/>
    <x v="0"/>
    <n v="28"/>
    <s v="Examenes ayunt 3"/>
    <n v="1"/>
    <s v="El capítulo de la Constitución española cuyo epígrafe es &quot;De la elaboración de las leyes&quot; se encuentra en:"/>
    <s v="EI Título IV"/>
    <s v="El Titulo V"/>
    <s v="Ninguna de las respuestas anteriores es correcta"/>
    <m/>
    <s v="c"/>
  </r>
  <r>
    <x v="0"/>
    <n v="1"/>
    <x v="0"/>
    <n v="28"/>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8"/>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8"/>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8"/>
    <s v="Examenes ayunt 3"/>
    <n v="5"/>
    <s v="El artículo 83.1 del Estatuto de Autonomía de Aragón afirma que son fundamentales para la vertebración territorial aragonesa:"/>
    <s v="Los municipios."/>
    <s v="Las comarcas."/>
    <s v="Los municipios y las comarcas."/>
    <m/>
    <s v="b"/>
  </r>
  <r>
    <x v="0"/>
    <n v="3"/>
    <x v="2"/>
    <n v="28"/>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8"/>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8"/>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8"/>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8"/>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8"/>
    <s v="Examenes ayunt 3"/>
    <n v="11"/>
    <s v="De acuerdo con el artículo 124 de la Ley 7/1985, de 2 de abril, reguladora de las bases del Régimen Local, la máxima representación del municipio corresponde:"/>
    <s v="Al Pleno."/>
    <s v="Al Alcalde."/>
    <s v="Al Pleno y al Alcalde."/>
    <m/>
    <s v="b"/>
  </r>
  <r>
    <x v="0"/>
    <n v="5"/>
    <x v="4"/>
    <n v="28"/>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8"/>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8"/>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8"/>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8"/>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8"/>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8"/>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8"/>
    <s v="Examenes ayunt 3"/>
    <n v="19"/>
    <s v="De acuerdo con el artículo 124.4.g de la ley 7/1985, de 2 de abril, reguladora de las bases del Régimen Local, corresponde al Alcalde la función de dictar:"/>
    <s v="Bandos, decretos e instrucciones."/>
    <s v="Bandos."/>
    <s v="Bandos y Decretos."/>
    <m/>
    <s v="a"/>
  </r>
  <r>
    <x v="0"/>
    <n v="4"/>
    <x v="3"/>
    <n v="28"/>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8"/>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8"/>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8"/>
    <x v="8"/>
    <n v="28"/>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8"/>
    <x v="8"/>
    <n v="28"/>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29"/>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29"/>
    <s v="Examenes ayunt 4"/>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29"/>
    <s v="Examenes ayunt 4"/>
    <n v="3"/>
    <s v="De acuerdo con el artículo 141.4 de la Constitución, en los archipiélagos, las islas tendrán además su administración propia en forma de:"/>
    <s v="Cabildos o Consejos."/>
    <s v="Cabildos."/>
    <s v="Consejos."/>
    <m/>
    <s v="a"/>
  </r>
  <r>
    <x v="0"/>
    <n v="5"/>
    <x v="4"/>
    <n v="29"/>
    <s v="Examenes ayunt 4"/>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29"/>
    <s v="Examenes ayunt 4"/>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29"/>
    <s v="Examenes ayunt 4"/>
    <n v="6"/>
    <s v="El artículo 1.1 del Estatuto de Autonomía de Aragón, define Aragón como:"/>
    <s v="Nación."/>
    <s v="Nacionalidad histórica."/>
    <s v="Nacionalidad."/>
    <m/>
    <s v="b"/>
  </r>
  <r>
    <x v="0"/>
    <n v="2"/>
    <x v="1"/>
    <n v="29"/>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29"/>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5"/>
    <x v="4"/>
    <n v="29"/>
    <s v="Examenes ayunt 4"/>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29"/>
    <s v="Examenes ayunt 4"/>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0"/>
    <n v="8"/>
    <x v="8"/>
    <n v="29"/>
    <s v="Examenes ayunt 4"/>
    <n v="11"/>
    <s v="El Plan de igualdad de empleadas y empleados del Ayuntamiento de Zaragoza actualmente vigente es el:"/>
    <s v="I Plan."/>
    <s v="II Plan."/>
    <s v="III Plan"/>
    <m/>
    <s v="b"/>
  </r>
  <r>
    <x v="0"/>
    <n v="8"/>
    <x v="8"/>
    <n v="29"/>
    <s v="Examenes ayunt 4"/>
    <n v="12"/>
    <s v="El Plan de igualdad de empleadas y empleados del Ayuntamiento de Zaragoza actualmente vigente se aprobó el año:"/>
    <s v="2022"/>
    <s v="2023"/>
    <s v="2024"/>
    <m/>
    <s v="b"/>
  </r>
  <r>
    <x v="0"/>
    <n v="4"/>
    <x v="3"/>
    <n v="29"/>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29"/>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29"/>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29"/>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29"/>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29"/>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29"/>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29"/>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29"/>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29"/>
    <s v="Examenes ayunt 4"/>
    <n v="22"/>
    <s v="¿Qué título de la Constitución española tiene como epígrafe “Del Consejo General del poder Judicial&quot;?"/>
    <s v="EI Título VI."/>
    <s v="Ninguno."/>
    <s v="EI Título V."/>
    <s v="EI Título VII."/>
    <s v="b"/>
  </r>
  <r>
    <x v="0"/>
    <n v="2"/>
    <x v="1"/>
    <n v="29"/>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29"/>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8"/>
    <x v="8"/>
    <n v="29"/>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1"/>
    <x v="0"/>
    <n v="30"/>
    <s v="Examenes ayunt 5"/>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30"/>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30"/>
    <s v="Examenes ayunt 5"/>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30"/>
    <s v="Examenes ayunt 5"/>
    <n v="4"/>
    <s v="De acuerdo con el artículo 70.1 del Estatuto de Autonomía de Aragón, las competencias de la Comunidad Autónoma se clasifican en exclusivas, compartidas y:"/>
    <s v="Reglamentarias."/>
    <s v="Ejecutivas."/>
    <s v="Administrativas."/>
    <m/>
    <s v="b"/>
  </r>
  <r>
    <x v="0"/>
    <n v="5"/>
    <x v="4"/>
    <n v="30"/>
    <s v="Examenes ayunt 5"/>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30"/>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4"/>
    <x v="3"/>
    <n v="30"/>
    <s v="Examenes ayunt 5"/>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30"/>
    <s v="Examenes ayunt 5"/>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30"/>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8"/>
    <x v="8"/>
    <n v="30"/>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8"/>
    <x v="8"/>
    <n v="30"/>
    <s v="Examenes ayunt 5"/>
    <n v="1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0"/>
    <n v="4"/>
    <x v="3"/>
    <n v="30"/>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0"/>
    <s v="Examenes ayunt 5"/>
    <n v="14"/>
    <s v="El artículo 1.1 del Estatuto de Autonomía de Aragón define Aragón como:"/>
    <s v="Nacionalidad."/>
    <s v="Nacionalidad histórica."/>
    <s v="Región."/>
    <m/>
    <s v="b"/>
  </r>
  <r>
    <x v="0"/>
    <n v="6"/>
    <x v="5"/>
    <n v="30"/>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0"/>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0"/>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0"/>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0"/>
    <s v="Examenes ayunt 5"/>
    <n v="19"/>
    <s v="El epígrafe del Título IV de la Constitución española es:"/>
    <s v="Del Gobierno."/>
    <s v="Del Gobierno y de la Administración"/>
    <s v="De la Administración."/>
    <m/>
    <s v="b"/>
  </r>
  <r>
    <x v="0"/>
    <n v="5"/>
    <x v="4"/>
    <n v="30"/>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8"/>
    <x v="8"/>
    <n v="30"/>
    <s v="Examenes ayunt 5"/>
    <n v="22"/>
    <s v="El vigente Plan de igualdad para empleadas y empleados del Ayuntamiento de Zaragoza es el:"/>
    <s v="I"/>
    <s v="Il"/>
    <s v="llI"/>
    <m/>
    <s v="b"/>
  </r>
  <r>
    <x v="0"/>
    <n v="5"/>
    <x v="4"/>
    <n v="30"/>
    <s v="Examenes ayunt 5"/>
    <n v="23"/>
    <s v="De acuerdo con el artículo 11.2 de la Ley 7/1985, de 2 de abril, reguladora de las bases del Régimen Local son elementos del municipio el territorio, la población y:"/>
    <s v="El poder."/>
    <s v="La organización."/>
    <s v="Las competencias."/>
    <m/>
    <s v="b"/>
  </r>
  <r>
    <x v="0"/>
    <n v="6"/>
    <x v="5"/>
    <n v="30"/>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10"/>
    <x v="9"/>
    <n v="31"/>
    <s v="Test fran 1"/>
    <n v="1"/>
    <s v="Los arcos adintelados:"/>
    <s v="Solamente se utilizan para grandes luces"/>
    <s v="No son adecuados para soportar grandes pesos"/>
    <s v="Son más resistentes que los arcos de medio punto"/>
    <m/>
    <s v="b"/>
  </r>
  <r>
    <x v="1"/>
    <n v="10"/>
    <x v="9"/>
    <n v="31"/>
    <s v="Test fran 1"/>
    <n v="2"/>
    <s v="Se denomina &quot;umbral&quot; a:"/>
    <s v="Plano inferior del hueco de entrada"/>
    <s v="Alféizar"/>
    <s v="Plano inclinado para salvar un peldaño"/>
    <m/>
    <s v="a"/>
  </r>
  <r>
    <x v="1"/>
    <n v="10"/>
    <x v="9"/>
    <n v="31"/>
    <s v="Test fran 1"/>
    <n v="3"/>
    <s v="Se denomina &quot;terraja&quot; (herramienta albañilería) a:"/>
    <s v="Medidor de tierras arcillosas"/>
    <s v="Perfil para trazar molduras"/>
    <s v="Aguamanil metálico"/>
    <m/>
    <s v="b"/>
  </r>
  <r>
    <x v="1"/>
    <n v="10"/>
    <x v="9"/>
    <n v="31"/>
    <s v="Test fran 1"/>
    <n v="4"/>
    <s v="¿A qué llamamos &quot;aplomar&quot;?"/>
    <s v="A colocar peso en la base de una pluma para darle estabilidad"/>
    <s v="A comprobar la verticalidad de una pared u otras partes de la fábrica en construcción"/>
    <s v="A colocar desagües de plomo"/>
    <m/>
    <s v="b"/>
  </r>
  <r>
    <x v="1"/>
    <n v="10"/>
    <x v="9"/>
    <n v="31"/>
    <s v="Test fran 1"/>
    <n v="5"/>
    <s v="¿Cómo se llama el problema de humedad ascendente en parámetros verticales?"/>
    <s v="Filtración"/>
    <s v="Capilaridad"/>
    <s v="Fugas"/>
    <m/>
    <s v="b"/>
  </r>
  <r>
    <x v="1"/>
    <n v="10"/>
    <x v="9"/>
    <n v="31"/>
    <s v="Test fran 1"/>
    <n v="6"/>
    <s v="En un muro doblado de fábrica, ¿qué se conoce como sutura?"/>
    <s v="Una grieta o fisura que ha sido reparada"/>
    <s v="A las barras de armado que cosen la fábrica"/>
    <s v="A la junta de mortero vertical y paralela a la cara del muro"/>
    <m/>
    <s v="c"/>
  </r>
  <r>
    <x v="1"/>
    <n v="10"/>
    <x v="9"/>
    <n v="31"/>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10"/>
    <x v="9"/>
    <n v="31"/>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10"/>
    <x v="9"/>
    <n v="31"/>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10"/>
    <x v="9"/>
    <n v="31"/>
    <s v="Test fran 1"/>
    <n v="10"/>
    <s v="En una pared de ladrillo cara vista, 240X114X48 mm. construida con aparejo a soga. ¿Cual será el espesor de la pared?"/>
    <s v="24 cm."/>
    <s v="La medida del tizón del ladrillo."/>
    <s v="La medida de la soga del ladrillo"/>
    <m/>
    <s v="b"/>
  </r>
  <r>
    <x v="1"/>
    <n v="10"/>
    <x v="9"/>
    <n v="31"/>
    <s v="Test fran 1"/>
    <n v="11"/>
    <s v="En un arco de obra de fábrica. ¿Que se conoce como flecha?"/>
    <s v="Es la distancia de la línea de arranque, el hueco que cubre el arco."/>
    <s v="Es el punto de nacimiento del arco."/>
    <s v="Es la altura que hay desde la línea de arranque hasta la clave."/>
    <m/>
    <s v="c"/>
  </r>
  <r>
    <x v="1"/>
    <n v="10"/>
    <x v="9"/>
    <n v="31"/>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10"/>
    <x v="9"/>
    <n v="31"/>
    <s v="Test fran 1"/>
    <n v="13"/>
    <s v="¿Es la escayola una variedad del yeso?"/>
    <s v="No, pues su origen no es de la piedra de yeso."/>
    <s v="Es una variedad de yeso de superior calidad."/>
    <s v="Es una mezcla de cemento blanco muy tamizado con aditivos para conseguir un fraguado rápido."/>
    <m/>
    <s v="b"/>
  </r>
  <r>
    <x v="1"/>
    <n v="10"/>
    <x v="9"/>
    <n v="31"/>
    <s v="Test fran 1"/>
    <n v="14"/>
    <s v="Para la fabricación de escayola se parte de una piedra de yeso con una pureza superior al:"/>
    <s v="60%."/>
    <s v="90%."/>
    <s v="80%"/>
    <m/>
    <s v="b"/>
  </r>
  <r>
    <x v="1"/>
    <n v="10"/>
    <x v="9"/>
    <n v="31"/>
    <s v="Test fran 1"/>
    <n v="15"/>
    <s v="La consistencia de un mortero define:"/>
    <s v="La manejabilidad o trabajabilidad del mismo."/>
    <s v="La impermeabilidad del mismo."/>
    <s v="La adherencia del mismo"/>
    <m/>
    <s v="a"/>
  </r>
  <r>
    <x v="1"/>
    <n v="10"/>
    <x v="9"/>
    <n v="31"/>
    <s v="Test fran 1"/>
    <n v="16"/>
    <s v="El recubrimiento de una pared con una o varias capas de yeso negro se denomina"/>
    <s v="Enlucido."/>
    <s v="Talochado."/>
    <s v="Guarnecido."/>
    <m/>
    <s v="c"/>
  </r>
  <r>
    <x v="1"/>
    <n v="10"/>
    <x v="9"/>
    <n v="31"/>
    <s v="Test fran 1"/>
    <n v="17"/>
    <s v="¿Con que nombre se conoce la cal que contiene un 35% de arcilla?:"/>
    <s v="Cal grasa."/>
    <s v="Cal límite."/>
    <s v="Cal hidráulica."/>
    <m/>
    <s v="b"/>
  </r>
  <r>
    <x v="1"/>
    <n v="10"/>
    <x v="9"/>
    <n v="31"/>
    <s v="Test fran 1"/>
    <n v="18"/>
    <s v="En las patologías en edificación ¿cuáles son mecánicas?:"/>
    <s v="Desprendimientos."/>
    <s v="Deformaciones."/>
    <s v="Ambas son correctas."/>
    <m/>
    <s v="c"/>
  </r>
  <r>
    <x v="1"/>
    <n v="10"/>
    <x v="9"/>
    <n v="31"/>
    <s v="Test fran 1"/>
    <n v="19"/>
    <s v="¿Como se fabrica el yeso Alfa?:"/>
    <s v="Bajo presión superior a la atmosférica."/>
    <s v="Bajo presión inferior a la atmosférica."/>
    <s v="Bajo presión igual a la atmosférica."/>
    <m/>
    <s v="a"/>
  </r>
  <r>
    <x v="1"/>
    <n v="10"/>
    <x v="9"/>
    <n v="31"/>
    <s v="Test fran 1"/>
    <n v="20"/>
    <s v="¿Cuáles son los yesos de segunda generación?:"/>
    <s v="Artesanales, tradicionales o multifase."/>
    <s v="Industriales o de horno automático aditivado."/>
    <s v="Industriales o de horno mecánico"/>
    <m/>
    <s v="c"/>
  </r>
  <r>
    <x v="1"/>
    <n v="10"/>
    <x v="9"/>
    <n v="31"/>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10"/>
    <x v="9"/>
    <n v="31"/>
    <s v="Test fran 1"/>
    <n v="23"/>
    <s v="Según el CTE DB SE-F, en su apartado 5 comportamiento estructural, un muro de carga tendrá un espesor mínimo de:"/>
    <s v="115 mm."/>
    <s v="150 mm."/>
    <s v="220 mm."/>
    <m/>
    <s v="a"/>
  </r>
  <r>
    <x v="1"/>
    <n v="10"/>
    <x v="9"/>
    <n v="31"/>
    <s v="Test fran 1"/>
    <n v="24"/>
    <s v="Según el CTE DB SE-F, el mortero ordinario para fabricas convencionales no será inferior a:"/>
    <s v="M-1."/>
    <s v="M-2,5."/>
    <s v="M-4."/>
    <m/>
    <s v="a"/>
  </r>
  <r>
    <x v="1"/>
    <n v="10"/>
    <x v="9"/>
    <n v="31"/>
    <s v="Test fran 1"/>
    <n v="25"/>
    <s v="Según el Documento Básico SUA 1 del CTE, el solado exterior tendrá una clasificación de resbaladicidad."/>
    <s v="Clase 2."/>
    <s v="Clase 3."/>
    <s v="Clase 2 o 3."/>
    <m/>
    <s v="b"/>
  </r>
  <r>
    <x v="1"/>
    <n v="10"/>
    <x v="9"/>
    <n v="31"/>
    <s v="Test fran 1"/>
    <n v="26"/>
    <s v="El muro no armado que resiste esfuerzos principalmente de compresión recibe el nombre de:"/>
    <s v="Muro flexorresistente."/>
    <s v="Muro apantallado."/>
    <s v="Muro de gravedad."/>
    <m/>
    <s v="c"/>
  </r>
  <r>
    <x v="1"/>
    <n v="10"/>
    <x v="9"/>
    <n v="32"/>
    <s v="Test fran 2"/>
    <n v="1"/>
    <s v="Cuál será el espesor de una pared de ladrillos colocados a soga:"/>
    <s v="La soga del ladrillo."/>
    <s v="El tizón del ladrillo."/>
    <s v="Ninguna es correcta."/>
    <m/>
    <s v="b"/>
  </r>
  <r>
    <x v="1"/>
    <n v="10"/>
    <x v="9"/>
    <n v="32"/>
    <s v="Test fran 2"/>
    <n v="2"/>
    <s v="De las siguientes respuestas ¿cual es un tipo de ladrillo?:"/>
    <s v="Aplantillado"/>
    <s v="Perforado."/>
    <s v="Las dos respuestas son correctas."/>
    <m/>
    <s v="c"/>
  </r>
  <r>
    <x v="1"/>
    <n v="10"/>
    <x v="9"/>
    <n v="32"/>
    <s v="Test fran 2"/>
    <n v="3"/>
    <s v="Para amasar manualmente un hormigón / mortero en una pastera ¿qué herramienta utilizarías?"/>
    <s v="Pala."/>
    <s v="Legona."/>
    <s v="Catalana."/>
    <m/>
    <s v="b"/>
  </r>
  <r>
    <x v="1"/>
    <n v="10"/>
    <x v="9"/>
    <n v="32"/>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10"/>
    <x v="9"/>
    <n v="32"/>
    <s v="Test fran 2"/>
    <n v="5"/>
    <s v="Una limatesa es también:"/>
    <s v="Un sumidero"/>
    <s v="Una cumbrera."/>
    <s v="Una piedra de afilar."/>
    <m/>
    <s v="b"/>
  </r>
  <r>
    <x v="1"/>
    <n v="10"/>
    <x v="9"/>
    <n v="32"/>
    <s v="Test fran 2"/>
    <n v="6"/>
    <s v="El material conocido como perlita:"/>
    <s v="Es un tipo de yeso tratado."/>
    <s v="Es un elemento para hormigones celulares."/>
    <s v="Es un tipo de árido."/>
    <m/>
    <s v="c"/>
  </r>
  <r>
    <x v="1"/>
    <n v="10"/>
    <x v="9"/>
    <n v="32"/>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10"/>
    <x v="9"/>
    <n v="32"/>
    <s v="Test fran 2"/>
    <n v="8"/>
    <s v="Los canalones deben disponerse con una pendiente hacia el desagüe de:"/>
    <s v="0,5% como mínimo."/>
    <s v="1% como mínimo."/>
    <s v="5% como mínimo."/>
    <m/>
    <s v="b"/>
  </r>
  <r>
    <x v="1"/>
    <n v="10"/>
    <x v="9"/>
    <n v="32"/>
    <s v="Test fran 2"/>
    <n v="9"/>
    <s v="A la capa de grava de diámetro grande que sirve de base a una sotera apoyada en el terreno con el fin de dificultar la ascensión del agua del terreno por capilaridad, se le denomina:"/>
    <s v="Enjarje."/>
    <s v="Cáncamo."/>
    <s v="Encachado."/>
    <m/>
    <s v="c"/>
  </r>
  <r>
    <x v="1"/>
    <n v="10"/>
    <x v="9"/>
    <n v="32"/>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10"/>
    <x v="9"/>
    <n v="32"/>
    <s v="Test fran 2"/>
    <n v="11"/>
    <s v="Si tenemos que realizar una rampa de 3 metros de longitud horizontal al 12% de pendiente, ¿que altura sobre la rasante tendremos al final de la rampa?"/>
    <s v="36 centímetros."/>
    <s v="3,6 centímetros."/>
    <s v="36 milímetros."/>
    <m/>
    <s v="a"/>
  </r>
  <r>
    <x v="1"/>
    <n v="10"/>
    <x v="9"/>
    <n v="32"/>
    <s v="Test fran 2"/>
    <n v="12"/>
    <s v="&quot;Conjunto de uno o más componentes de cinta cosida, para unir las cargas al gancho de una grúa u otra máquina de elevación&quot;. Nos referimos a:"/>
    <s v="Eslinga de cadena."/>
    <s v="Eslinga de cable de acero."/>
    <s v="Eslinga textil."/>
    <m/>
    <s v="c"/>
  </r>
  <r>
    <x v="1"/>
    <n v="10"/>
    <x v="9"/>
    <n v="32"/>
    <s v="Test fran 2"/>
    <n v="13"/>
    <s v="¿Cómo se llaman las aristas de un ladrillo?"/>
    <s v="Soga, tabla y canto."/>
    <s v="Soga, testa y grueso."/>
    <s v="Soga, tizón y grueso."/>
    <m/>
    <s v="c"/>
  </r>
  <r>
    <x v="1"/>
    <n v="10"/>
    <x v="9"/>
    <n v="32"/>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10"/>
    <x v="9"/>
    <n v="32"/>
    <s v="Test fran 2"/>
    <n v="15"/>
    <s v="- ¿Tipos de patologías o lesiones se producen en la edificación?"/>
    <s v="Flexión, compresión, tracción"/>
    <s v="Cortadura, torsión, desgaste."/>
    <s v="Físicas, mecánicas, químicas."/>
    <m/>
    <s v="c"/>
  </r>
  <r>
    <x v="1"/>
    <n v="10"/>
    <x v="9"/>
    <n v="32"/>
    <s v="Test fran 2"/>
    <n v="16"/>
    <s v="¿Tipos de eflorescencias en las edificaciones?"/>
    <s v="inicial y final."/>
    <s v="Primaria y secundaria."/>
    <s v="Temprana y tardía."/>
    <m/>
    <s v="b"/>
  </r>
  <r>
    <x v="1"/>
    <n v="10"/>
    <x v="9"/>
    <n v="32"/>
    <s v="Test fran 2"/>
    <n v="17"/>
    <s v="- ¿En los andamios perimetrales fijos, la barandilla de seguridad está compuesta por?"/>
    <s v="Diagonal con punto fijo, marco y larguero."/>
    <s v="Diagonal con abrazadera, marco y larguero."/>
    <s v="Pasamanos tubular, barra intermedia y rodapié."/>
    <m/>
    <s v="c"/>
  </r>
  <r>
    <x v="1"/>
    <n v="10"/>
    <x v="9"/>
    <n v="32"/>
    <s v="Test fran 2"/>
    <n v="18"/>
    <s v="- ¿Una vez montado el primer cuerpo de andamio, que debemos verificar?"/>
    <s v="La nivelación vertical."/>
    <s v="La nivelación horizontal."/>
    <s v="La nivelación vertical y horizontal mediante los husillos."/>
    <m/>
    <s v="c"/>
  </r>
  <r>
    <x v="1"/>
    <n v="10"/>
    <x v="9"/>
    <n v="32"/>
    <s v="Test fran 2"/>
    <n v="19"/>
    <s v="- ¿Al montar un encadenado de andamio, debemos comprobar que su separación de la fachada no sea?"/>
    <s v="Superior a 30 cm con las cotas del proyecto."/>
    <s v="Superior a 35 cm con las cotas del proyecto."/>
    <s v="Superior a 25 cm con las cotas del proyecto."/>
    <m/>
    <s v="a"/>
  </r>
  <r>
    <x v="1"/>
    <n v="10"/>
    <x v="9"/>
    <n v="32"/>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10"/>
    <x v="9"/>
    <n v="32"/>
    <s v="Test fran 2"/>
    <n v="19"/>
    <s v="- ¿En cuantas categorías se clasifican los equipos de protección individual?"/>
    <s v="5 categorías."/>
    <s v="4 categorías."/>
    <s v="3 categorías."/>
    <m/>
    <s v="c"/>
  </r>
  <r>
    <x v="1"/>
    <n v="10"/>
    <x v="9"/>
    <n v="32"/>
    <s v="Test fran 2"/>
    <n v="20"/>
    <s v="Según el Decreto 1299/2006 en el que se aprueba el cuadro de enfermedades profesionales, estas se clasifican en:"/>
    <s v="4 grupos."/>
    <s v="6 grupos."/>
    <s v="8 grupos."/>
    <m/>
    <s v="b"/>
  </r>
  <r>
    <x v="1"/>
    <n v="10"/>
    <x v="9"/>
    <n v="32"/>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10"/>
    <x v="9"/>
    <n v="32"/>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10"/>
    <x v="9"/>
    <n v="32"/>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10"/>
    <x v="9"/>
    <n v="32"/>
    <s v="Test fran 2"/>
    <n v="24"/>
    <s v="- Cuál es el espesor aconsejable para ejecutar un revoque:"/>
    <s v="De 2 a 3 mm."/>
    <s v="De 5 a 6 mm."/>
    <s v="De 4 a 5mm."/>
    <m/>
    <s v="a"/>
  </r>
  <r>
    <x v="1"/>
    <n v="10"/>
    <x v="9"/>
    <n v="32"/>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10"/>
    <x v="9"/>
    <n v="32"/>
    <s v="Test fran 2"/>
    <n v="26"/>
    <s v="- Cuál es la pendiente mínima que debe tener una cubierta inclinada en la que va a colocarse teja mixta:"/>
    <s v="50%."/>
    <s v="20%."/>
    <s v="30%."/>
    <m/>
    <s v="c"/>
  </r>
  <r>
    <x v="1"/>
    <n v="10"/>
    <x v="9"/>
    <n v="32"/>
    <s v="Test fran 2"/>
    <n v="27"/>
    <s v="- En una cubierta plana qué pendiente máxima deberemos disponer si decidimos colocar como capa de acabado grava suelta:"/>
    <s v="Menor del 10%."/>
    <s v="Menor del 5%."/>
    <s v="Menor del 15%."/>
    <m/>
    <s v="b"/>
  </r>
  <r>
    <x v="1"/>
    <n v="10"/>
    <x v="9"/>
    <n v="32"/>
    <s v="Test fran 2"/>
    <n v="28"/>
    <s v="- Deben disponerse juntas de dilatación de la cubierta y la distancia entre juntas de dilatación contiguas debe ser como máximo...: (Señalar la respuesta correcta)"/>
    <s v="10 m."/>
    <s v="05 m."/>
    <s v="15 m."/>
    <m/>
    <s v="c"/>
  </r>
  <r>
    <x v="1"/>
    <n v="10"/>
    <x v="9"/>
    <n v="32"/>
    <s v="Test fran 2"/>
    <n v="29"/>
    <s v="- Un mortero 2:3:5 esta compuesto por:"/>
    <s v="3 partes de arena."/>
    <s v="3 partes de cal."/>
    <s v="2 partes de cal."/>
    <m/>
    <s v="b"/>
  </r>
  <r>
    <x v="1"/>
    <n v="10"/>
    <x v="9"/>
    <n v="32"/>
    <s v="Test fran 2"/>
    <n v="30"/>
    <s v="- ¿ Que es la higroscopicidad de un material?"/>
    <s v="Es la porosidad del material."/>
    <s v="Es la capacidad de material para retener agua."/>
    <s v="Es la capacidad del material para absorber agua."/>
    <m/>
    <s v="c"/>
  </r>
  <r>
    <x v="1"/>
    <n v="10"/>
    <x v="9"/>
    <n v="32"/>
    <s v="Test fran 2"/>
    <n v="31"/>
    <s v="- En el aparejo holandés:"/>
    <s v="Se alternan las hiladas a sogas y tizones con otras hiladas a tizón."/>
    <s v="Se alternan una hilada a tizón cada cinco de sogas."/>
    <s v="Se alternan las hiladas a sogas con hiladas a tizones."/>
    <m/>
    <s v="a"/>
  </r>
  <r>
    <x v="1"/>
    <n v="10"/>
    <x v="9"/>
    <n v="32"/>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10"/>
    <x v="9"/>
    <n v="32"/>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10"/>
    <x v="9"/>
    <n v="32"/>
    <s v="Test fran 2"/>
    <n v="34"/>
    <s v="- Herramienta que termina por uno de sus extremos en forma de azuela, y por el otro adopta la conformación de hacha. Señalar, de las siguientes, la herramienta que se está describiendo:"/>
    <s v="Artesa."/>
    <s v="Espuerta."/>
    <s v="Alcotana."/>
    <m/>
    <s v="c"/>
  </r>
  <r>
    <x v="1"/>
    <n v="10"/>
    <x v="9"/>
    <n v="32"/>
    <s v="Test fran 2"/>
    <n v="35"/>
    <s v="¿Cuál es et peso del hormigón armado?"/>
    <s v="10.000 kg/m3 (peso específico, 100 kN/m3)"/>
    <s v="2.500 kg/m3 (peso especifico,25 kN/m3)"/>
    <s v="2.300 kg/m3(peso específico, 23 kN/m3)"/>
    <m/>
    <s v="b"/>
  </r>
  <r>
    <x v="1"/>
    <n v="10"/>
    <x v="9"/>
    <n v="32"/>
    <s v="Test fran 2"/>
    <n v="36"/>
    <s v="- La testa de un ladrillo es:"/>
    <s v="Cara menor del ladrillo (tizón x grueso)"/>
    <s v="Cara mediana del ladrillo (soga x grueso)"/>
    <s v="Cara mayor del ladrillo (soga x tizón)"/>
    <m/>
    <s v="a"/>
  </r>
  <r>
    <x v="1"/>
    <n v="10"/>
    <x v="9"/>
    <n v="32"/>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10"/>
    <x v="9"/>
    <n v="32"/>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10"/>
    <x v="9"/>
    <n v="32"/>
    <s v="Test fran 2"/>
    <n v="39"/>
    <s v="Proceso de endurecimiento y pérdida de plasticidad del hormigón. Nos referimos a:"/>
    <s v="Fresado."/>
    <s v="Proyectado."/>
    <s v="Fraguado."/>
    <m/>
    <s v="c"/>
  </r>
  <r>
    <x v="1"/>
    <n v="10"/>
    <x v="9"/>
    <n v="32"/>
    <s v="Test fran 2"/>
    <n v="40"/>
    <s v="Se llama sopanda, a:"/>
    <s v="Deformación que adquiere una viga, sometida a un sobresfuerzo."/>
    <s v="Tablón horizontal para apuntalar el forjado."/>
    <s v="Tablón vertical para apuntalado de postes."/>
    <m/>
    <s v="b"/>
  </r>
  <r>
    <x v="1"/>
    <n v="10"/>
    <x v="9"/>
    <n v="32"/>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10"/>
    <x v="9"/>
    <n v="32"/>
    <s v="Test fran 2"/>
    <n v="42"/>
    <s v="En la entibación de una zanja, metálica o con madera ¿cómo se denominan los elementos horizontales que unen un lado de la entibación contra el otro?"/>
    <s v="Codales."/>
    <s v="Tablestacas."/>
    <s v="Puntales."/>
    <m/>
    <s v="a"/>
  </r>
  <r>
    <x v="1"/>
    <n v="10"/>
    <x v="9"/>
    <n v="32"/>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10"/>
    <x v="9"/>
    <n v="32"/>
    <s v="Test fran 2"/>
    <n v="44"/>
    <s v="Durante la realización de una fábrica de ladrillo:"/>
    <s v="No debe sobrar mortero de la junta horizontal entre hiladas."/>
    <s v="El mortero sobrante del tendel al apoyar la pieza puede colocarse sobre dicha pieza."/>
    <s v="El mortero que refluye del tendel al asentar la pieza puede utilizarse en la ejecución de la llaga."/>
    <m/>
    <s v="c"/>
  </r>
  <r>
    <x v="1"/>
    <n v="10"/>
    <x v="9"/>
    <n v="32"/>
    <s v="Test fran 2"/>
    <n v="45"/>
    <s v="¿A qué se le denomina &quot;muro aparejado&quot;?"/>
    <s v="Al muro de ladrillo en el que se van trabando entre sí hiladas de dos tipos de ladrillo."/>
    <s v="Al muro de ladrillo realizado mediante dos hojas adosadas con elementos intermedios que las enlazan."/>
    <s v="Al muro de ladrillo trabado en todo su espesor, ejecutado con una sola clase de ladrillo."/>
    <m/>
    <s v="c"/>
  </r>
  <r>
    <x v="1"/>
    <n v="10"/>
    <x v="9"/>
    <n v="32"/>
    <s v="Test fran 2"/>
    <n v="46"/>
    <s v="Antes de extender una capa de grava-cemento deberá comprobarse que la superficie de asiento se encuentra:"/>
    <s v="Totalmente seca."/>
    <s v="Húmeda, pero no encharcada."/>
    <s v="Ligeramente encharcada, para que el agua inicie el fraguado del cemento."/>
    <m/>
    <s v="b"/>
  </r>
  <r>
    <x v="1"/>
    <n v="10"/>
    <x v="9"/>
    <n v="32"/>
    <s v="Test fran 2"/>
    <n v="47"/>
    <s v="¿Cuales serán los dos materiales que se colocarán bajo un solado de baldosa de terrazo en una acera de uso peatonal?"/>
    <s v="Base granular y hormigón."/>
    <s v="Hormigón y mortero."/>
    <s v="Árido fino y mortero."/>
    <m/>
    <s v="b"/>
  </r>
  <r>
    <x v="1"/>
    <n v="10"/>
    <x v="9"/>
    <n v="32"/>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10"/>
    <x v="9"/>
    <n v="32"/>
    <s v="Test fran 2"/>
    <n v="49"/>
    <s v="Áridos artificiales son:"/>
    <s v="Derivados del petróleo."/>
    <s v="Los que se obtienen por trituración de restos rocosos o de áridos más grueso, es decir, por machaqueo."/>
    <s v="Sacados directamente de la montaña."/>
    <m/>
    <s v="b"/>
  </r>
  <r>
    <x v="1"/>
    <n v="10"/>
    <x v="9"/>
    <n v="32"/>
    <s v="Test fran 2"/>
    <n v="50"/>
    <s v="- Los arcos adintelados:"/>
    <s v="Solamente se utilizan para grandes luces."/>
    <s v="No son adecuados para soportar grandes pesos."/>
    <s v="Son más resistentes que los arcos de medio punto."/>
    <m/>
    <s v="b"/>
  </r>
  <r>
    <x v="1"/>
    <n v="10"/>
    <x v="9"/>
    <n v="32"/>
    <s v="Test fran 2"/>
    <n v="51"/>
    <s v="- Se denomina &quot;umbral&quot; a:"/>
    <s v="Plano inferior del hueco de entrada."/>
    <s v="Alféizar."/>
    <s v="Plano inclinado para salvar un peldaño."/>
    <m/>
    <s v="a"/>
  </r>
  <r>
    <x v="1"/>
    <n v="10"/>
    <x v="9"/>
    <n v="32"/>
    <s v="Test fran 2"/>
    <n v="52"/>
    <s v="- Se denomina &quot;terraja&quot; a:"/>
    <s v="Medidor de tierras arcillosas."/>
    <s v="Perfil para trazar molduras."/>
    <s v="Aguamanil metálico."/>
    <m/>
    <s v="b"/>
  </r>
  <r>
    <x v="1"/>
    <n v="10"/>
    <x v="9"/>
    <n v="32"/>
    <s v="Test fran 2"/>
    <n v="53"/>
    <s v="- ¿A qué llamamos &quot;aplomar?"/>
    <s v="A colocar peso en la base de una pluma para darle estabilidad."/>
    <s v="A comprobar la verticalidad de una pared u otras partes de la fábrica en construcción."/>
    <s v="A colocar desagües de plomo."/>
    <m/>
    <s v="b"/>
  </r>
  <r>
    <x v="1"/>
    <n v="10"/>
    <x v="9"/>
    <n v="32"/>
    <s v="Test fran 2"/>
    <n v="54"/>
    <s v="¿Cómo se llama el problema de humedad ascendente en parámetros verticales?"/>
    <s v="Filtración."/>
    <s v="Capilaridad."/>
    <s v="Fugas."/>
    <m/>
    <s v="b"/>
  </r>
  <r>
    <x v="1"/>
    <n v="10"/>
    <x v="9"/>
    <n v="32"/>
    <s v="Test fran 2"/>
    <n v="55"/>
    <s v="- En un muro doblado de fábrica, ¿qué se conoce como sutura?"/>
    <s v="Una grieta o fisura que ha sido reparada."/>
    <s v="A las barras de armado que cosen la fábrica."/>
    <s v="A la junta de mortero vertical y paralela a la cara del muro."/>
    <m/>
    <s v="c"/>
  </r>
  <r>
    <x v="1"/>
    <n v="10"/>
    <x v="9"/>
    <n v="32"/>
    <s v="Test fran 2"/>
    <n v="56"/>
    <s v="Cuando dos partes de una obra de fábrica hayan de levantarse en épocas distintas, para realizar la traba se dejará un conjunto de entrantes y salientes de forma alternativa. ¿ Como se denomina a los salientes?"/>
    <s v="Dientes."/>
    <s v="Endejas."/>
    <s v="Salmeres."/>
    <m/>
    <s v="b"/>
  </r>
  <r>
    <x v="1"/>
    <n v="10"/>
    <x v="9"/>
    <n v="32"/>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10"/>
    <x v="9"/>
    <n v="32"/>
    <s v="Test fran 2"/>
    <n v="58"/>
    <s v="En una pared de ladrillo caravista, 240X114X48 mm. construida con aparejo a soga. ¿Cual será el espesor de la pared?"/>
    <s v="24 cm."/>
    <s v="La medida del tizón del ladrillo."/>
    <s v="La medida de la soga del ladrillo."/>
    <m/>
    <s v="b"/>
  </r>
  <r>
    <x v="1"/>
    <n v="10"/>
    <x v="9"/>
    <n v="32"/>
    <s v="Test fran 2"/>
    <n v="62"/>
    <s v="Para la fabricación de escayola se parte de una piedra de yeso con una pureza superior al:"/>
    <s v="70%."/>
    <s v="90%."/>
    <s v="80%."/>
    <m/>
    <s v="b"/>
  </r>
  <r>
    <x v="1"/>
    <n v="10"/>
    <x v="9"/>
    <n v="32"/>
    <s v="Test fran 2"/>
    <n v="63"/>
    <s v="- La consistencia de un mortero define:"/>
    <s v="La manejabilidad o trabajabilidad del mismo."/>
    <s v="La impermeabilidad del mismo."/>
    <s v="La adherencia del mismo."/>
    <m/>
    <s v="a"/>
  </r>
  <r>
    <x v="1"/>
    <n v="10"/>
    <x v="9"/>
    <n v="32"/>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10"/>
    <x v="9"/>
    <n v="32"/>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10"/>
    <x v="9"/>
    <n v="33"/>
    <s v="Operarios 2004"/>
    <n v="36"/>
    <s v="Un mortero bastardo lleva en su composición:"/>
    <s v="Cemento y cal"/>
    <s v="Cemento y aire"/>
    <s v="Cal y aireante"/>
    <m/>
    <s v="a"/>
  </r>
  <r>
    <x v="1"/>
    <n v="10"/>
    <x v="9"/>
    <n v="33"/>
    <s v="Operarios 2004"/>
    <n v="37"/>
    <s v="Multiplicando voltios por amperios, se obtiene:"/>
    <s v="La potencia"/>
    <s v="La resistencia"/>
    <s v="La capacidad"/>
    <m/>
    <s v="a"/>
  </r>
  <r>
    <x v="1"/>
    <n v="10"/>
    <x v="9"/>
    <n v="33"/>
    <s v="Operarios 2004"/>
    <n v="38"/>
    <s v="Al recubrimiento de una superficie interior o exterior mediante una o varias capas de mortero o yeso negro se llama:"/>
    <s v="Fratasado"/>
    <s v="Enfoscado"/>
    <s v="Guarnecido"/>
    <m/>
    <s v="a"/>
  </r>
  <r>
    <x v="1"/>
    <n v="10"/>
    <x v="9"/>
    <n v="33"/>
    <s v="Operarios 2004"/>
    <n v="39"/>
    <s v="¿Cuál de estas tuberías tiene menor sección?"/>
    <s v="1/2”"/>
    <s v="3/4&quot;"/>
    <s v="3/8”"/>
    <m/>
    <s v="c"/>
  </r>
  <r>
    <x v="1"/>
    <n v="10"/>
    <x v="9"/>
    <n v="33"/>
    <s v="Operarios 2004"/>
    <n v="40"/>
    <s v="Las tuberías de polietileno se unen habitualmente por:"/>
    <s v="Fusión"/>
    <s v="Presión"/>
    <s v="Soldadura líquida"/>
    <m/>
    <s v="b"/>
  </r>
  <r>
    <x v="1"/>
    <n v="10"/>
    <x v="9"/>
    <n v="33"/>
    <s v="Operarios 2004"/>
    <n v="41"/>
    <s v="¿Cuál puede considerarse una dosificación “normal”, en un mortero de cemento para asentar ladrillos?"/>
    <s v="1/2"/>
    <s v="1/5"/>
    <s v="1/10"/>
    <m/>
    <s v="b"/>
  </r>
  <r>
    <x v="1"/>
    <n v="10"/>
    <x v="9"/>
    <n v="33"/>
    <s v="Operarios 2004"/>
    <n v="42"/>
    <s v="Para sustituir (sin romper) el “bombillo” de una cerradura, se precisa siempre:"/>
    <s v="Que la puerta esté abierta"/>
    <s v="Desmontar la cerradura"/>
    <s v="Disponer de llave"/>
    <m/>
    <s v="a"/>
  </r>
  <r>
    <x v="1"/>
    <n v="10"/>
    <x v="9"/>
    <n v="33"/>
    <s v="Operarios 2004"/>
    <n v="43"/>
    <s v="En una ventana practicable, se llama falleba a:"/>
    <s v="Un herraje de cierre con varilla acodada en sus extremos"/>
    <s v="Un herraje de cierre cuya varilla se desplaza verticalmente"/>
    <s v="Un herraje de cuelgue para ventanas de gran dimensión"/>
    <m/>
    <s v="a"/>
  </r>
  <r>
    <x v="1"/>
    <n v="10"/>
    <x v="9"/>
    <n v="33"/>
    <s v="Operarios 2004"/>
    <n v="44"/>
    <s v="¿Qué tipo de broca se utiliza habitualmente en un taladro de mano simple para perforar en una pared de ladrillo?:"/>
    <s v="Acero rápido (HSS)"/>
    <s v="Vidia"/>
    <s v="Acero galvanizado"/>
    <m/>
    <s v="b"/>
  </r>
  <r>
    <x v="1"/>
    <n v="10"/>
    <x v="9"/>
    <n v="33"/>
    <s v="Operarios 2004"/>
    <n v="45"/>
    <s v="Para asegurar la indeformidad de un andamio se procederá a:"/>
    <s v="Tensado"/>
    <s v="Apuntalado"/>
    <s v="Arriostrado"/>
    <m/>
    <s v="c"/>
  </r>
  <r>
    <x v="1"/>
    <n v="10"/>
    <x v="9"/>
    <n v="33"/>
    <s v="Operarios 2004"/>
    <n v="46"/>
    <s v="La terraja, es una herramienta utilizada en fontanería para:"/>
    <s v="Hacer roscas"/>
    <s v="Sujetar tubos al banco"/>
    <s v="Soldar sin electrodo"/>
    <m/>
    <s v="a"/>
  </r>
  <r>
    <x v="1"/>
    <n v="10"/>
    <x v="9"/>
    <n v="33"/>
    <s v="Operarios 2004"/>
    <n v="47"/>
    <s v="El taladro cónico en una madera, expresamente dispuesto para alojar la cabeza de un tornillo se denomina:"/>
    <s v="Avellanado"/>
    <s v="Gota de cera"/>
    <s v="Extrusionado"/>
    <m/>
    <s v="a"/>
  </r>
  <r>
    <x v="1"/>
    <n v="10"/>
    <x v="9"/>
    <n v="33"/>
    <s v="Operarios 2004"/>
    <n v="48"/>
    <s v="A la herramienta utilizada por el carpintero para introducir y apretar clavos escondiendo sus cabezas se llama:"/>
    <s v="Cincel"/>
    <s v="Botador"/>
    <s v="Formón"/>
    <m/>
    <s v="b"/>
  </r>
  <r>
    <x v="1"/>
    <n v="10"/>
    <x v="9"/>
    <n v="33"/>
    <s v="Operarios 2004"/>
    <n v="49"/>
    <s v="¿Cómo se denomina la cara menor de un ladrillo?"/>
    <s v="Tabla"/>
    <s v="Canto"/>
    <s v="Testa"/>
    <m/>
    <s v="c"/>
  </r>
  <r>
    <x v="1"/>
    <n v="10"/>
    <x v="9"/>
    <n v="33"/>
    <s v="Operarios 2004"/>
    <n v="50"/>
    <s v="La dosificación de un mortero se expresa por el siguiente orden:"/>
    <s v="Árido : Agua : Aglomerante"/>
    <s v="Agua : Árido : Aglomerante"/>
    <s v="Aglomerante : Árido : Agua"/>
    <m/>
    <s v="c"/>
  </r>
  <r>
    <x v="1"/>
    <n v="10"/>
    <x v="9"/>
    <n v="33"/>
    <s v="Operarios 2004"/>
    <n v="51"/>
    <s v="En condiciones normales, el hormigón alcanza la resistencia propuesta en la dosificación a los:"/>
    <s v="28 días"/>
    <s v="22 días"/>
    <s v="16 días"/>
    <m/>
    <s v="a"/>
  </r>
  <r>
    <x v="1"/>
    <n v="10"/>
    <x v="9"/>
    <n v="33"/>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10"/>
    <x v="9"/>
    <n v="33"/>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10"/>
    <x v="9"/>
    <n v="33"/>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10"/>
    <x v="9"/>
    <n v="33"/>
    <s v="Operarios 2004"/>
    <n v="55"/>
    <s v="Las tuberías de cobre y materiales plásticas pertenecen al grupo de:"/>
    <s v="Tuberías de paredes lisas"/>
    <s v="Tuberías de paredes rugosas"/>
    <s v="a) y b) son correctas"/>
    <m/>
    <s v="a"/>
  </r>
  <r>
    <x v="1"/>
    <n v="10"/>
    <x v="9"/>
    <n v="57"/>
    <s v="Test octubre 2025"/>
    <n v="1"/>
    <s v="Una rasilla es…"/>
    <s v="Un ladrillo macizo"/>
    <s v="Un ladrillo visto"/>
    <s v="Un ladrillo hueco"/>
    <m/>
    <s v="c"/>
  </r>
  <r>
    <x v="1"/>
    <n v="10"/>
    <x v="9"/>
    <n v="57"/>
    <s v="Test octubre 2025"/>
    <n v="2"/>
    <s v="¿A qué se denomina &quot;llagas&quot; en una fábrica de ladrillos?"/>
    <s v="Las grietas que se forman por rotura"/>
    <s v="Las juntas verticales entre ladrillos"/>
    <s v="Los rehúndidos que traen los ladrillos de fábrica"/>
    <m/>
    <s v="b"/>
  </r>
  <r>
    <x v="1"/>
    <n v="10"/>
    <x v="9"/>
    <n v="57"/>
    <s v="Test octubre 2025"/>
    <n v="3"/>
    <s v="¿Qué material se utiliza para enlucir paredes y techos habitualmente?"/>
    <s v="Yeso blanco"/>
    <s v="Yeso negro"/>
    <s v="Escayola"/>
    <m/>
    <s v="a"/>
  </r>
  <r>
    <x v="1"/>
    <n v="10"/>
    <x v="9"/>
    <n v="57"/>
    <s v="Test octubre 2025"/>
    <n v="5"/>
    <s v="¿Qué herramienta se debe utilizar para lograr un mejor asentamiento y reducción de huecos al trabajar con hormigón?"/>
    <s v="Un vibrador"/>
    <s v="Un rulo"/>
    <s v="Una apisonadora"/>
    <m/>
    <s v="a"/>
  </r>
  <r>
    <x v="1"/>
    <n v="10"/>
    <x v="9"/>
    <n v="57"/>
    <s v="Test octubre 2025"/>
    <n v="6"/>
    <s v="¿Cómo se denomina el aparejo de un muro cuando un ladrillo está apoyado en una de sus caras menores y su cara mayor está perpendicular al plano del muro??"/>
    <s v="A sardinel"/>
    <s v="A soga"/>
    <s v="A tizón"/>
    <m/>
    <s v="a"/>
  </r>
  <r>
    <x v="1"/>
    <n v="10"/>
    <x v="9"/>
    <n v="57"/>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10"/>
    <x v="9"/>
    <n v="57"/>
    <s v="Test octubre 2025"/>
    <n v="8"/>
    <s v="¿De qué material deben ser las tapas utilizadas para arquetas y pozos, en la red de alcantarillado exterior?"/>
    <s v="Plástico"/>
    <s v="Acero inoxidable"/>
    <s v="Fundición"/>
    <m/>
    <s v="c"/>
  </r>
  <r>
    <x v="1"/>
    <n v="10"/>
    <x v="9"/>
    <n v="57"/>
    <s v="Test octubre 2025"/>
    <n v="9"/>
    <s v="¿Cómo se denominan los elementos que separan entre sí espacios interiores de un edificio, en obras de fábrica?"/>
    <s v="Muros de carga"/>
    <s v="Muros de cerramiento"/>
    <s v="Tabiques"/>
    <m/>
    <s v="c"/>
  </r>
  <r>
    <x v="1"/>
    <n v="10"/>
    <x v="9"/>
    <n v="57"/>
    <s v="Test octubre 2025"/>
    <n v="10"/>
    <s v="¿Cuál de estos trabajos se debe realizar en primer lugar?"/>
    <s v="Solar"/>
    <s v="Lechar la solería"/>
    <s v="Alicatar"/>
    <m/>
    <s v="c"/>
  </r>
  <r>
    <x v="1"/>
    <n v="10"/>
    <x v="9"/>
    <n v="57"/>
    <s v="Test octubre 2025"/>
    <n v="11"/>
    <s v="¿Qué es un encofrado?"/>
    <s v="Un mortero"/>
    <s v="Un molde"/>
    <s v="Una capuchina"/>
    <m/>
    <s v="b"/>
  </r>
  <r>
    <x v="1"/>
    <n v="10"/>
    <x v="9"/>
    <n v="57"/>
    <s v="Test octubre 2025"/>
    <n v="12"/>
    <s v="El hormigón es una mezcla de cemento, arena, grava y…"/>
    <s v="Yeso"/>
    <s v="Agua"/>
    <s v="Cal"/>
    <m/>
    <s v="b"/>
  </r>
  <r>
    <x v="1"/>
    <n v="10"/>
    <x v="9"/>
    <n v="57"/>
    <s v="Test octubre 2025"/>
    <n v="13"/>
    <s v="¿Cómo se denominan también las redes de tipo horca?"/>
    <s v="Tipo &quot;U&quot;"/>
    <s v="Tipo &quot;V&quot;"/>
    <s v="Tipo &quot;T&quot;"/>
    <m/>
    <s v="c"/>
  </r>
  <r>
    <x v="1"/>
    <n v="10"/>
    <x v="9"/>
    <n v="57"/>
    <s v="Test octubre 2025"/>
    <n v="14"/>
    <s v="¿Cuál de las siguientes es una unidad de volumen para dosificar en una obra?"/>
    <s v="Centímetros cúbicos"/>
    <s v="Litros"/>
    <s v="Ambas respuestas son correctas"/>
    <m/>
    <s v="c"/>
  </r>
  <r>
    <x v="1"/>
    <n v="10"/>
    <x v="9"/>
    <n v="57"/>
    <s v="Test octubre 2025"/>
    <n v="15"/>
    <s v="¿Cuál es la herramienta más adecuada para la nivelación de superficies de una longitud mayor de tres metros?"/>
    <s v="Nivel de agua"/>
    <s v="Nivel de burbuja"/>
    <s v="Plomada"/>
    <m/>
    <s v="a"/>
  </r>
  <r>
    <x v="1"/>
    <n v="10"/>
    <x v="9"/>
    <n v="57"/>
    <s v="Test octubre 2025"/>
    <n v="16"/>
    <s v="¿Cómo se puede eliminar la humedad por capilaridad?"/>
    <s v="Inyección de resinas sintéticas"/>
    <s v="Picado y revestimiento con mortero de cemento muy rico"/>
    <s v="Limpieza y tratamiento superficial con pintura impermeable"/>
    <m/>
    <s v="a"/>
  </r>
  <r>
    <x v="1"/>
    <n v="10"/>
    <x v="9"/>
    <n v="57"/>
    <s v="Test octubre 2025"/>
    <n v="17"/>
    <s v="¿Cómo debe estar un paramento para facilitar la adherencia del mortero de cemento?"/>
    <s v="Seco"/>
    <s v="Húmedo"/>
    <s v="Vertical"/>
    <m/>
    <s v="b"/>
  </r>
  <r>
    <x v="1"/>
    <n v="10"/>
    <x v="9"/>
    <n v="57"/>
    <s v="Test octubre 2025"/>
    <n v="18"/>
    <s v="¿Dónde se adhiere bien el yeso y no tiene efecto secundario?"/>
    <s v="Al ladrillo"/>
    <s v="Sobre el hierro"/>
    <s v="Sobre la madera"/>
    <m/>
    <s v="a"/>
  </r>
  <r>
    <x v="1"/>
    <n v="10"/>
    <x v="9"/>
    <n v="57"/>
    <s v="Test octubre 2025"/>
    <n v="19"/>
    <s v="¿Qué se debe aplicar para eliminar la humedad en cerramientos por condensación interior?"/>
    <s v="Aislamiento térmico por el interior"/>
    <s v="Aislamiento térmico lo más exterior posible"/>
    <s v="Pintura impermeable"/>
    <m/>
    <s v="b"/>
  </r>
  <r>
    <x v="1"/>
    <n v="10"/>
    <x v="9"/>
    <n v="57"/>
    <s v="Test octubre 2025"/>
    <n v="20"/>
    <s v="¿Cómo se denomina la serie horizontal de ladrillos que se colocan a medida que se construye?"/>
    <s v="Labor"/>
    <s v="Trazada"/>
    <s v="Hilada"/>
    <m/>
    <s v="c"/>
  </r>
  <r>
    <x v="1"/>
    <n v="10"/>
    <x v="9"/>
    <n v="57"/>
    <s v="Test octubre 2025"/>
    <n v="21"/>
    <s v="¿Qué dosificación de mortero de cemento es la más apropiada para ejecutar una tabiquería?"/>
    <s v="1:4"/>
    <s v="1:10"/>
    <s v="1:2"/>
    <m/>
    <s v="a"/>
  </r>
  <r>
    <x v="1"/>
    <n v="10"/>
    <x v="9"/>
    <n v="57"/>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10"/>
    <x v="9"/>
    <n v="57"/>
    <s v="Test octubre 2025"/>
    <n v="23"/>
    <s v="¿Cómo se denomina la capa de regularización con yeso grueso de la superficie del paramento?"/>
    <s v="Enlucido"/>
    <s v="Guarnecido"/>
    <s v="Revoco"/>
    <m/>
    <s v="b"/>
  </r>
  <r>
    <x v="1"/>
    <n v="10"/>
    <x v="9"/>
    <n v="57"/>
    <s v="Test octubre 2025"/>
    <n v="24"/>
    <s v="¿Qué reacción produce la cal viva cuando absorbe agua?"/>
    <s v="Calor"/>
    <s v="Endurecimiento"/>
    <s v="A la cal apagada no absorbe agua"/>
    <m/>
    <s v="a"/>
  </r>
  <r>
    <x v="1"/>
    <n v="10"/>
    <x v="9"/>
    <n v="57"/>
    <s v="Test octubre 2025"/>
    <n v="25"/>
    <s v="¿Qué materiales pertenecen al grupo de aglomerantes?"/>
    <s v="Betún, plástico, barro, brea, pintura, pegamentos, cemento, asfalto y resinas"/>
    <s v="Barro, asfalto, betún, pinturas, pegamentos, resinas, silicona, plásticos y brea"/>
    <s v="Cal, pinturas, brea, plásticos, betún, pegamentos, resinas, asfalto y silicona"/>
    <m/>
    <s v="b"/>
  </r>
  <r>
    <x v="1"/>
    <n v="10"/>
    <x v="9"/>
    <n v="57"/>
    <s v="Test octubre 2025"/>
    <n v="26"/>
    <s v="¿Qué proceso hay que hacer previamente al enlucido?"/>
    <s v="Esperar a que seque el guarnecido, humedecer el paramento y pasar un peine"/>
    <s v="Esperar a que seque el guarnecido y pasar un peine"/>
    <s v="Esperar a que seque el guarnecido"/>
    <m/>
    <s v="b"/>
  </r>
  <r>
    <x v="1"/>
    <n v="10"/>
    <x v="9"/>
    <n v="57"/>
    <s v="Test octubre 2025"/>
    <n v="27"/>
    <s v="¿En qué formato se comercializa la cal apagada?"/>
    <s v="En pasta"/>
    <s v="En formato líquido"/>
    <s v="En polvo"/>
    <m/>
    <s v="a"/>
  </r>
  <r>
    <x v="1"/>
    <n v="10"/>
    <x v="9"/>
    <n v="57"/>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10"/>
    <x v="9"/>
    <n v="57"/>
    <s v="Test octubre 2025"/>
    <n v="29"/>
    <s v="¿Cuántas caras con buen acabado deben tener los ladrillos vistos?"/>
    <s v="2 caras: 1 canto y 1 testa y 1 tabla"/>
    <s v="3 caras: 1 canto y 2 testa"/>
    <s v="3 caras: 2 cantos y 1 testa"/>
    <m/>
    <s v="b"/>
  </r>
  <r>
    <x v="1"/>
    <n v="10"/>
    <x v="9"/>
    <n v="57"/>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10"/>
    <x v="9"/>
    <n v="57"/>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10"/>
    <x v="9"/>
    <n v="57"/>
    <s v="Test octubre 2025"/>
    <n v="32"/>
    <s v="¿Cuántas perforaciones como mínimo deberán tener los ladrillos perforados o aligerados?"/>
    <s v="Tres perforaciones"/>
    <s v="Cuatro perforaciones"/>
    <s v="Cinco perforaciones"/>
    <m/>
    <s v="a"/>
  </r>
  <r>
    <x v="1"/>
    <n v="10"/>
    <x v="9"/>
    <n v="57"/>
    <s v="Test octubre 2025"/>
    <n v="33"/>
    <s v="¿Qué método emplean los materiales ligantes que para unir otros materiales por medio de una reacción física?"/>
    <s v="Evaporación de agua"/>
    <s v="Evaporación de disolventes"/>
    <s v="Ambas respuestas son correctas"/>
    <m/>
    <s v="c"/>
  </r>
  <r>
    <x v="1"/>
    <n v="10"/>
    <x v="9"/>
    <n v="57"/>
    <s v="Test octubre 2025"/>
    <n v="34"/>
    <s v="Entre las cubiertas plana e inclinada ¿Cuál es la más impermeable?"/>
    <s v="La cubierta plana"/>
    <s v="La cubierta inclinada"/>
    <s v="La cubierta plana, siempre que no sea transitable"/>
    <m/>
    <s v="b"/>
  </r>
  <r>
    <x v="1"/>
    <n v="10"/>
    <x v="9"/>
    <n v="57"/>
    <s v="Test octubre 2025"/>
    <n v="35"/>
    <s v="La cara menor del ladrillo se denomina"/>
    <s v="Canto"/>
    <s v="Testa"/>
    <s v="Tizón"/>
    <m/>
    <s v="b"/>
  </r>
  <r>
    <x v="1"/>
    <n v="10"/>
    <x v="9"/>
    <n v="57"/>
    <s v="Test octubre 2025"/>
    <n v="36"/>
    <s v="¿Cómo se debe preparar el paramento vertical para anclar el azulejo con adhesivo?"/>
    <s v="Enfoscado a buena vista"/>
    <s v="Fratasado"/>
    <s v="Maestreado"/>
    <m/>
    <s v="c"/>
  </r>
  <r>
    <x v="1"/>
    <n v="10"/>
    <x v="9"/>
    <n v="57"/>
    <s v="Test octubre 2025"/>
    <n v="37"/>
    <s v="¿Cuáles son las características del gres cerámico?"/>
    <s v="Compacto"/>
    <s v="Alterable por reacciones químicas"/>
    <s v="Ambas respuestas son correctas"/>
    <m/>
    <s v="a"/>
  </r>
  <r>
    <x v="1"/>
    <n v="10"/>
    <x v="9"/>
    <n v="57"/>
    <s v="Test octubre 2025"/>
    <n v="38"/>
    <s v="¿Cuál es el rango de granulometría de la arena?"/>
    <s v="Entre 6 mm y 0'01 mm"/>
    <s v="Entre 5 mm y 0'02 mm"/>
    <s v="Entre 4 mm y 0'02 mm"/>
    <m/>
    <s v="b"/>
  </r>
  <r>
    <x v="1"/>
    <n v="10"/>
    <x v="9"/>
    <n v="57"/>
    <s v="Test octubre 2025"/>
    <n v="39"/>
    <s v="¿Qué componentes tiene el mortero?"/>
    <s v="Agua, arena, posibles aditivos y varios conglomerantes"/>
    <s v="Uno o varios conglomerantes, agua, posibles aditivos y arena"/>
    <s v="Posibles aditivos, agua, arena y un conglomerante"/>
    <m/>
    <s v="b"/>
  </r>
  <r>
    <x v="1"/>
    <n v="10"/>
    <x v="9"/>
    <n v="57"/>
    <s v="Test octubre 2025"/>
    <n v="40"/>
    <s v="¿Cuál es la fase de endurecimiento de un conglomerante que se le aplica agua y pasado un tiempo pierde su plasticidad?"/>
    <s v="Fraguado"/>
    <s v="Endurecimiento"/>
    <s v="Cristalización"/>
    <m/>
    <s v="a"/>
  </r>
  <r>
    <x v="1"/>
    <n v="10"/>
    <x v="9"/>
    <n v="57"/>
    <s v="Test octubre 2025"/>
    <n v="41"/>
    <s v="¿Qué causas acelera el fraguado del cemento?"/>
    <s v="El calor"/>
    <s v="Ciertos aditivos añadidos"/>
    <s v="Ambas respuestas son correctas"/>
    <m/>
    <s v="c"/>
  </r>
  <r>
    <x v="1"/>
    <n v="10"/>
    <x v="9"/>
    <n v="57"/>
    <s v="Test octubre 2025"/>
    <n v="42"/>
    <s v="¿Qué usos puede tener la cal?"/>
    <s v="Como pintura plástica"/>
    <s v="Como pintura al temple"/>
    <s v="Ambas respuestas son correctas"/>
    <m/>
    <s v="b"/>
  </r>
  <r>
    <x v="1"/>
    <n v="10"/>
    <x v="9"/>
    <n v="57"/>
    <s v="Test octubre 2025"/>
    <n v="43"/>
    <s v="¿Qué condición ambiental retrasa el fraguado del cemento?"/>
    <s v="El frío"/>
    <s v="El calor"/>
    <s v="Ambas respuestas son correctas"/>
    <m/>
    <s v="a"/>
  </r>
  <r>
    <x v="1"/>
    <n v="10"/>
    <x v="9"/>
    <n v="57"/>
    <s v="Test octubre 2025"/>
    <n v="44"/>
    <s v="¿Qué tipo de elementos se consideran elementos de fábrica?"/>
    <s v="Ladrillos"/>
    <s v="Bloques de hormigón"/>
    <s v="Ambas respuestas son correctas"/>
    <m/>
    <s v="c"/>
  </r>
  <r>
    <x v="1"/>
    <n v="10"/>
    <x v="9"/>
    <n v="57"/>
    <s v="Test octubre 2025"/>
    <n v="45"/>
    <s v="¿Cuántas unidades entran en 1 m2 de teja cerámica de tipo árabe o curva?"/>
    <s v="13 und por m2"/>
    <s v="20 und por m2"/>
    <s v="25 und por m2"/>
    <m/>
    <s v="c"/>
  </r>
  <r>
    <x v="1"/>
    <n v="10"/>
    <x v="9"/>
    <n v="57"/>
    <s v="Test octubre 2025"/>
    <n v="46"/>
    <s v="¿Qué materiales ligantes son los más usados y más importantes en la construcción?"/>
    <s v="Aglomerantes"/>
    <s v="Conglomerantes"/>
    <s v="Ambas respuestas son correctas"/>
    <m/>
    <s v="b"/>
  </r>
  <r>
    <x v="1"/>
    <n v="10"/>
    <x v="9"/>
    <n v="57"/>
    <s v="Test octubre 2025"/>
    <n v="47"/>
    <s v="¿Cómo se denominan las aristas que limitan la cara llamada testa de un ladrillo?"/>
    <s v="Soga y grueso"/>
    <s v="Soga y tizón"/>
    <s v="Grueso y tizón"/>
    <m/>
    <s v="c"/>
  </r>
  <r>
    <x v="1"/>
    <n v="10"/>
    <x v="9"/>
    <n v="57"/>
    <s v="Test octubre 2025"/>
    <n v="48"/>
    <s v="¿Para qué se emplea el yeso fino (YF)?"/>
    <s v="Guarnecidos"/>
    <s v="Enlucidos"/>
    <s v="Ambas respuestas son correctas"/>
    <m/>
    <s v="b"/>
  </r>
  <r>
    <x v="1"/>
    <n v="10"/>
    <x v="9"/>
    <n v="57"/>
    <s v="Test octubre 2025"/>
    <n v="49"/>
    <s v="¿Cómo se llaman las divisiones, que aparte de separar espacios, pueden soportar cargas?"/>
    <s v="Muros de carga"/>
    <s v="Muros de cerramiento"/>
    <s v="Tabiques"/>
    <m/>
    <s v="a"/>
  </r>
  <r>
    <x v="1"/>
    <n v="10"/>
    <x v="9"/>
    <n v="57"/>
    <s v="Test octubre 2025"/>
    <n v="50"/>
    <s v="Si el mortero está seco ¿Cuál de los siguientes ingredientes hay que añadir?"/>
    <s v="Yeso"/>
    <s v="Agua"/>
    <s v="Cal"/>
    <m/>
    <s v="b"/>
  </r>
  <r>
    <x v="1"/>
    <n v="11"/>
    <x v="10"/>
    <n v="34"/>
    <s v="Test 6.1 18-feb"/>
    <n v="1"/>
    <s v="- ¿Cuál es la terminación de las tuberías de acero inoxidable?"/>
    <s v="Pulido"/>
    <s v="Sin pulir"/>
    <s v="Ambas respuestas son correctas"/>
    <m/>
    <s v="c"/>
  </r>
  <r>
    <x v="1"/>
    <n v="11"/>
    <x v="10"/>
    <n v="34"/>
    <s v="Test 6.1 18-feb"/>
    <n v="2"/>
    <s v="- ¿Qué parámetros se deben de tener en cuenta en un contador?"/>
    <s v="La Tª de trabajo"/>
    <s v="El caudal"/>
    <s v="Ambas respuestas son correctas"/>
    <m/>
    <s v="b"/>
  </r>
  <r>
    <x v="1"/>
    <n v="11"/>
    <x v="10"/>
    <n v="34"/>
    <s v="Test 6.1 18-feb"/>
    <n v="3"/>
    <s v="- ¿A que hace referencia la soldadura por capilaridad?"/>
    <s v="Soldadura blanda"/>
    <s v="Soldadura fuerte"/>
    <s v="Unión mecánica"/>
    <m/>
    <s v="a"/>
  </r>
  <r>
    <x v="1"/>
    <n v="11"/>
    <x v="10"/>
    <n v="34"/>
    <s v="Test 6.1 18-feb"/>
    <n v="4"/>
    <s v="- ¿Qué tubería de metal es incompatible con las tuberías de cobre, por producirse corrosión galvánica?"/>
    <s v="Las de acero inoxidable"/>
    <s v="Las de hierro"/>
    <s v="Ambas respuestas son correctas"/>
    <m/>
    <s v="c"/>
  </r>
  <r>
    <x v="1"/>
    <n v="11"/>
    <x v="10"/>
    <n v="34"/>
    <s v="Test 6.1 18-feb"/>
    <n v="5"/>
    <s v="- ¿Qué tipo de válvula están accionadas por circuitos neumáticos?"/>
    <s v="Las válvulas motorizadas"/>
    <s v="Las válvulas neumáticas"/>
    <s v="Las electroválvulas"/>
    <m/>
    <s v="b"/>
  </r>
  <r>
    <x v="1"/>
    <n v="11"/>
    <x v="10"/>
    <n v="34"/>
    <s v="Test 6.1 18-feb"/>
    <n v="6"/>
    <s v="- ¿Cómo se denomina la pieza empleada para unir la tubería de la pared y el cuerpo del mezclador exterior de pared?"/>
    <s v="Latiguillo"/>
    <s v="Manguito unión"/>
    <s v="Ninguna respuesta es correcta"/>
    <m/>
    <s v="c"/>
  </r>
  <r>
    <x v="1"/>
    <n v="11"/>
    <x v="10"/>
    <n v="34"/>
    <s v="Test 6.1 18-feb"/>
    <n v="7"/>
    <s v="- ¿Qué tipo de válvula tiene mayor pérdida de carga?"/>
    <s v="De asiento"/>
    <s v="De esfera"/>
    <s v="De disco o mariposa"/>
    <m/>
    <s v="a"/>
  </r>
  <r>
    <x v="1"/>
    <n v="11"/>
    <x v="10"/>
    <n v="34"/>
    <s v="Test 6.1 18-feb"/>
    <n v="8"/>
    <s v="- ¿Cuál es la carga de agua que está ajustada de fábrica en un fluxor para urinario?"/>
    <s v="Tres litros"/>
    <s v="Cinco litros"/>
    <s v="No viene regulado de fábrica"/>
    <m/>
    <s v="a"/>
  </r>
  <r>
    <x v="1"/>
    <n v="11"/>
    <x v="10"/>
    <n v="34"/>
    <s v="Test 6.1 18-feb"/>
    <n v="9"/>
    <s v="- ¿Cuáles son los diferentes tipos de aguas a evacuar en una red de saneamiento?"/>
    <s v="Urbanas y pluviales"/>
    <s v="Industriales y agrícolas"/>
    <s v="Ambas respuestas son correctas"/>
    <m/>
    <s v="a"/>
  </r>
  <r>
    <x v="1"/>
    <n v="11"/>
    <x v="10"/>
    <n v="34"/>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11"/>
    <x v="10"/>
    <n v="34"/>
    <s v="Test 6.1 18-feb"/>
    <n v="11"/>
    <s v="- ¿Cuál puede ser la función de una tuerca Marsella de latón para roscar?"/>
    <s v="Cambio de sección de los tubos a roscar"/>
    <s v="Alargar piezas a unir, como un codo de fijación y una excéntrica de un grifo"/>
    <s v="Ambas respuestas son correctas"/>
    <m/>
    <s v="c"/>
  </r>
  <r>
    <x v="1"/>
    <n v="11"/>
    <x v="10"/>
    <n v="34"/>
    <s v="Test 6.1 18-feb"/>
    <n v="12"/>
    <s v="- ¿Cuál es la pérdida máxima admisible en los tapones de un sumidero?"/>
    <s v="Un litro cada media hora"/>
    <s v="Un litro cada hora"/>
    <s v="Un litro cada dos horas"/>
    <m/>
    <s v="b"/>
  </r>
  <r>
    <x v="1"/>
    <n v="11"/>
    <x v="10"/>
    <n v="34"/>
    <s v="Test 6.1 18-feb"/>
    <n v="13"/>
    <s v="- ¿Cuáles son las secciones de barras de tubería de cobre (duro) en diámetros exteriores?"/>
    <s v="8, 10, 12, 15, 16, 18, 22, 28, 35 ,42 y 52 mm"/>
    <s v="10, 12, 14, 15, 16, 18, 24, 28, 35, 42 y 54 mm"/>
    <s v="10, 12, 14, 15, 16, 18, 22, 28, 35, 42 y 54 mm"/>
    <m/>
    <s v="c"/>
  </r>
  <r>
    <x v="1"/>
    <n v="11"/>
    <x v="10"/>
    <n v="34"/>
    <s v="Test 6.1 18-feb"/>
    <n v="14"/>
    <s v="- ¿Pueden las aguas procedentes del alcantarillado entrar en un edificio?"/>
    <s v="Si"/>
    <s v="No"/>
    <s v="Si, dependiendo del nivel del cierre hidráulico"/>
    <m/>
    <s v="b"/>
  </r>
  <r>
    <x v="1"/>
    <n v="11"/>
    <x v="10"/>
    <n v="34"/>
    <s v="Test 6.1 18-feb"/>
    <n v="15"/>
    <s v="- ¿Cómo debe ser el trazado de una red de evacuación?"/>
    <s v="Lo más simple posible"/>
    <s v="Que funcione por gravedad"/>
    <s v="Ambas respuestas son correctas"/>
    <m/>
    <s v="c"/>
  </r>
  <r>
    <x v="1"/>
    <n v="11"/>
    <x v="10"/>
    <n v="34"/>
    <s v="Test 6.1 18-feb"/>
    <n v="16"/>
    <s v="- ¿Cuál es la función principal de cruz de soldar de cobre?"/>
    <s v="Hacer una distribución"/>
    <s v="Hacer una derivación"/>
    <s v="Ambas respuestas son correctas"/>
    <m/>
    <s v="a"/>
  </r>
  <r>
    <x v="1"/>
    <n v="11"/>
    <x v="10"/>
    <n v="34"/>
    <s v="Test 6.1 18-feb"/>
    <n v="17"/>
    <s v="- ¿Qué pieza utilizaremos para el encuentro de tres tuberías en tres planos diferentes?"/>
    <s v="Un codo de tres bocas"/>
    <s v="Un enlace mixto de presión, tipo Gebo"/>
    <s v="Una T rosca hembra"/>
    <m/>
    <s v="a"/>
  </r>
  <r>
    <x v="1"/>
    <n v="11"/>
    <x v="10"/>
    <n v="34"/>
    <s v="Test 6.1 18-feb"/>
    <n v="18"/>
    <s v="- ¿Qué tipo de tuberías presenta mejor respuesta ante la corrosión y las corrientes galvánicas?"/>
    <s v="De acero galvanizado"/>
    <s v="De acero inoxidable"/>
    <s v="De plástico"/>
    <m/>
    <s v="c"/>
  </r>
  <r>
    <x v="1"/>
    <n v="11"/>
    <x v="10"/>
    <n v="34"/>
    <s v="Test 6.1 18-feb"/>
    <n v="19"/>
    <s v="- ¿Cuál es el origen de las tuberías de polietileno?"/>
    <s v="Fusión del carbón a altas temperaturas"/>
    <s v="Polimerización del gas etileno"/>
    <s v="Combustión de minerales a bajas temperaturas"/>
    <m/>
    <s v="b"/>
  </r>
  <r>
    <x v="1"/>
    <n v="11"/>
    <x v="10"/>
    <n v="34"/>
    <s v="Test 6.1 18-feb"/>
    <n v="20"/>
    <s v="- ¿Cuál son las medidas normalizadas de las bobinas de tubería de polietileno para secciones superiores a 50 mm?"/>
    <s v="De 100 a 1000 metros"/>
    <s v="De 200 a 2000 metros"/>
    <s v="De 200 a 1500 metros"/>
    <m/>
    <s v="c"/>
  </r>
  <r>
    <x v="1"/>
    <n v="11"/>
    <x v="10"/>
    <n v="34"/>
    <s v="Test 6.1 18-feb"/>
    <n v="21"/>
    <s v="- ¿Cuál es el uso preferente de las tuberías de PVC?"/>
    <s v="AFCH y acometidas de riego"/>
    <s v="ACS y evacuación de aguas residuales"/>
    <s v="Ambas respuestas son correctas"/>
    <m/>
    <s v="a"/>
  </r>
  <r>
    <x v="1"/>
    <n v="11"/>
    <x v="10"/>
    <n v="34"/>
    <s v="Test 6.1 18-feb"/>
    <n v="22"/>
    <s v="- ¿Cuál es el color característico de las tuberías de polipropileno?"/>
    <s v="Color negro"/>
    <s v="Color gris"/>
    <s v="Color verde"/>
    <m/>
    <s v="c"/>
  </r>
  <r>
    <x v="1"/>
    <n v="11"/>
    <x v="10"/>
    <n v="34"/>
    <s v="Test 6.1 18-feb"/>
    <n v="23"/>
    <s v="- ¿Cuál es el formato habitual en el que se comercializan las tuberías de polipropileno?"/>
    <s v="En rollos"/>
    <s v="En barras rígidas"/>
    <s v="En barras semi-rígidas"/>
    <m/>
    <s v="c"/>
  </r>
  <r>
    <x v="1"/>
    <n v="11"/>
    <x v="10"/>
    <n v="34"/>
    <s v="Test 6.1 18-feb"/>
    <n v="24"/>
    <s v="- ¿Qué tipo de tubería es un polímero de color gris semejante al PVC?"/>
    <s v="De polietileno"/>
    <s v="De polipropileno"/>
    <s v="De polibutileno"/>
    <m/>
    <s v="c"/>
  </r>
  <r>
    <x v="1"/>
    <n v="11"/>
    <x v="10"/>
    <n v="34"/>
    <s v="Test 6.1 18-feb"/>
    <n v="25"/>
    <s v="- ¿Qué tipo de válvula se puede considerar de accionamiento rápido?"/>
    <s v="De compuerta"/>
    <s v="De esfera"/>
    <s v="De disco o mariposa"/>
    <m/>
    <s v="b"/>
  </r>
  <r>
    <x v="1"/>
    <n v="11"/>
    <x v="10"/>
    <n v="34"/>
    <s v="Test 6.1 18-feb"/>
    <n v="26"/>
    <s v="- ¿Es recomendable enfrentar desagües dentro de una misma tubería?"/>
    <s v="No"/>
    <s v="Si"/>
    <s v="Si, porque así son autolimpiables"/>
    <m/>
    <s v="a"/>
  </r>
  <r>
    <x v="1"/>
    <n v="11"/>
    <x v="10"/>
    <n v="34"/>
    <s v="Test 6.1 18-feb"/>
    <n v="27"/>
    <s v="- ¿Qué tipos de contadores existen en el mercado?"/>
    <s v="Síncronos y asíncronos"/>
    <s v="Manuales y automáticos"/>
    <s v="Ninguna respuesta es correcta"/>
    <m/>
    <s v="c"/>
  </r>
  <r>
    <x v="1"/>
    <n v="11"/>
    <x v="10"/>
    <n v="34"/>
    <s v="Test 6.1 18-feb"/>
    <n v="28"/>
    <s v="¿Dónde se situarán las tuberías generales?"/>
    <s v="En zonas comunes"/>
    <s v="En espacios particulares"/>
    <s v="Ambas respuestas son correctas"/>
    <m/>
    <s v="a"/>
  </r>
  <r>
    <x v="1"/>
    <n v="11"/>
    <x v="10"/>
    <n v="34"/>
    <s v="Test 6.1 18-feb"/>
    <n v="29"/>
    <s v="- ¿Cuál puede ser las medidas máximas de barras de tubos de acero galvanizado?"/>
    <s v="3 y 6 metros"/>
    <s v="3 y 5 metros"/>
    <s v="4 y 6 metros"/>
    <m/>
    <s v="c"/>
  </r>
  <r>
    <x v="1"/>
    <n v="11"/>
    <x v="10"/>
    <n v="34"/>
    <s v="Test 6.1 18-feb"/>
    <n v="30"/>
    <s v="- Cuando en una instalación debemos unir tuberías de diferentes materiales ¿Cuál debería ser el orden de las mismas más adecuado?"/>
    <s v="De cobre a hierro"/>
    <s v="De hierro a cobre"/>
    <s v="Ambas respuestas son correctas"/>
    <m/>
    <s v="b"/>
  </r>
  <r>
    <x v="1"/>
    <n v="11"/>
    <x v="10"/>
    <n v="34"/>
    <s v="Test 6.1 18-feb"/>
    <n v="31"/>
    <s v="- ¿Qué tipo de válvula tiene menor pérdida de carga al 100%?"/>
    <s v="De asiento"/>
    <s v="De esfera"/>
    <s v="De disco o mariposa"/>
    <m/>
    <s v="b"/>
  </r>
  <r>
    <x v="1"/>
    <n v="11"/>
    <x v="10"/>
    <n v="34"/>
    <s v="Test 6.1 18-feb"/>
    <n v="32"/>
    <s v="- ¿Cómo se denominan otros sistemas de grifería mezcladora?"/>
    <s v="Mezclador termostático"/>
    <s v="Mezclador de nivel"/>
    <s v="Ambas respuestas son correctas"/>
    <m/>
    <s v="a"/>
  </r>
  <r>
    <x v="1"/>
    <n v="11"/>
    <x v="10"/>
    <n v="34"/>
    <s v="Test 6.1 18-feb"/>
    <n v="33"/>
    <s v="- ¿Cómo se denomina el colector enterrado por debajo del pavimento de la planta baja?"/>
    <s v="Colector suspendido"/>
    <s v="Albañal"/>
    <s v="Colector"/>
    <m/>
    <s v="b"/>
  </r>
  <r>
    <x v="1"/>
    <n v="11"/>
    <x v="10"/>
    <n v="34"/>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11"/>
    <x v="10"/>
    <n v="34"/>
    <s v="Test 6.1 18-feb"/>
    <n v="35"/>
    <s v="- ¿Por qué tiene forma cónica el sumidero de una válvula de desagüe?"/>
    <s v="Para facilitar la estanqueidad del tapón"/>
    <s v="Por motivos económicos"/>
    <s v="Para facilitar el roscado con el cuerpo del sumidero"/>
    <m/>
    <s v="a"/>
  </r>
  <r>
    <x v="1"/>
    <n v="11"/>
    <x v="10"/>
    <n v="34"/>
    <s v="Test 6.1 18-feb"/>
    <n v="36"/>
    <s v="- ¿Qué tipo de válvulas de asiento se utilizan para manipulación suave y muy segura?"/>
    <s v="De asiento paralelo"/>
    <s v="De asiento en escuadra"/>
    <s v="De asiento inclinado"/>
    <m/>
    <s v="a"/>
  </r>
  <r>
    <x v="1"/>
    <n v="11"/>
    <x v="10"/>
    <n v="34"/>
    <s v="Test 6.1 18-feb"/>
    <n v="37"/>
    <s v="- ¿Cuál es la válvula más indicada para impedir el retroceso en una conducción de agua?"/>
    <s v="Una válvula de esfera"/>
    <s v="Una válvula anti retorno"/>
    <s v="Ambas respuestas son correctas"/>
    <m/>
    <s v="b"/>
  </r>
  <r>
    <x v="1"/>
    <n v="11"/>
    <x v="10"/>
    <n v="34"/>
    <s v="Test 6.1 18-feb"/>
    <n v="38"/>
    <s v="- ¿Cuáles son las partes de una válvula de seguridad?"/>
    <s v="Cuerpo, resorte, regulación, zapata cierre y racor salida"/>
    <s v="Alma, resorte, regulación, zapata cierre y racor salida"/>
    <s v="Esfera, resorte, regulación, zapata cierre y racor salida"/>
    <m/>
    <s v="a"/>
  </r>
  <r>
    <x v="1"/>
    <n v="11"/>
    <x v="10"/>
    <n v="34"/>
    <s v="Test 6.1 18-feb"/>
    <n v="39"/>
    <s v="- ¿Qué tipo de válvula están accionadas por un servomotor?"/>
    <s v="Las válvulas motorizadas"/>
    <s v="Las válvulas neumáticas"/>
    <s v="Las electroválvulas"/>
    <m/>
    <s v="a"/>
  </r>
  <r>
    <x v="1"/>
    <n v="11"/>
    <x v="10"/>
    <n v="34"/>
    <s v="Test 6.1 18-feb"/>
    <n v="40"/>
    <s v="- Según una ley de conservación de la energía llamada ecuación de la continuidad ¿Cómo se mantiene el caudal de una conducción cerrada?"/>
    <s v="Constante"/>
    <s v="No es constante"/>
    <s v="Esa ley no existe"/>
    <m/>
    <s v="a"/>
  </r>
  <r>
    <x v="1"/>
    <n v="11"/>
    <x v="10"/>
    <n v="34"/>
    <s v="Test 6.1 18-feb"/>
    <n v="41"/>
    <s v="- ¿Cuál es la distancia comprendida entre dos tuberías para poder instalar un grifo mezclador de pared con enlaces excéntricos?"/>
    <s v="Entre 130 y 180 mm"/>
    <s v="Entre 150 y 190 mm"/>
    <s v="Entre 130 y 170 mm"/>
    <m/>
    <s v="c"/>
  </r>
  <r>
    <x v="1"/>
    <n v="11"/>
    <x v="10"/>
    <n v="34"/>
    <s v="Test 6.1 18-feb"/>
    <n v="43"/>
    <s v="- ¿Cuál es la medida estándar en pulgadas en que se comercializan los enlaces excéntricos de un grifo mezclador de pared?"/>
    <s v="1/2 - 1/2"/>
    <s v="1/4 – 3/4"/>
    <s v="3/4 – 1/2"/>
    <m/>
    <s v="c"/>
  </r>
  <r>
    <x v="1"/>
    <n v="11"/>
    <x v="10"/>
    <n v="34"/>
    <s v="Test 6.1 18-feb"/>
    <n v="45"/>
    <s v="- ¿Qué características tienen el sistema mezclador empotrable de ducha monomando?"/>
    <s v="Mínimo caudal de agua"/>
    <s v="Alto nivel de ruido"/>
    <s v="Ninguna respuesta es correcta"/>
    <m/>
    <s v="c"/>
  </r>
  <r>
    <x v="1"/>
    <n v="11"/>
    <x v="10"/>
    <n v="34"/>
    <s v="Test 6.1 18-feb"/>
    <n v="46"/>
    <s v="- ¿Cómo se puede accionar el sistema de control de mezcla de agua fría y caliente en una grifería mezcladora?"/>
    <s v="Monobloque"/>
    <s v="Con un solo mando en forma de palanca"/>
    <s v="Ambas respuestas son correctas"/>
    <m/>
    <s v="c"/>
  </r>
  <r>
    <x v="1"/>
    <n v="11"/>
    <x v="10"/>
    <n v="34"/>
    <s v="Test 6.1 18-feb"/>
    <n v="47"/>
    <s v="- ¿Qué característica son propias de los fluxores?"/>
    <s v="Ser grifos de gran caudal y cierre automático"/>
    <s v="Sustituir tanques altos y bajos en bidés"/>
    <s v="Ninguna respuesta es correcta"/>
    <m/>
    <s v="a"/>
  </r>
  <r>
    <x v="1"/>
    <n v="11"/>
    <x v="10"/>
    <n v="34"/>
    <s v="Test 6.1 18-feb"/>
    <n v="48"/>
    <s v="- ¿Qué circunstancia producen principalmente un mal funcionamiento en una válvula mezcladora?"/>
    <s v="La variación de presión en el circuito"/>
    <s v="La presencia de cal"/>
    <s v="La alteración en las secciones de tubería"/>
    <m/>
    <s v="b"/>
  </r>
  <r>
    <x v="1"/>
    <n v="11"/>
    <x v="10"/>
    <n v="34"/>
    <s v="Test 6.1 18-feb"/>
    <n v="49"/>
    <s v="- ¿Qué ventajas presentan los fluxores frente a las cisternas de tanque alto o bajo?"/>
    <s v="Carga más silenciosa"/>
    <s v="Carga rápida a los pocos segundos"/>
    <s v="Amabas respuestas son correctas"/>
    <m/>
    <s v="c"/>
  </r>
  <r>
    <x v="1"/>
    <n v="11"/>
    <x v="10"/>
    <n v="34"/>
    <s v="Test 6.1 18-feb"/>
    <n v="50"/>
    <s v="- ¿Dónde conectaremos el desagüe del inodoro?"/>
    <s v="Directamente a la bajante"/>
    <s v="Con manguetón de acometida de máximo 1 metro"/>
    <s v="Ambas respuestas son correctas"/>
    <m/>
    <s v="c"/>
  </r>
  <r>
    <x v="1"/>
    <n v="12"/>
    <x v="11"/>
    <n v="35"/>
    <s v="Test carpinteria 8 2024"/>
    <n v="1"/>
    <s v="La unión en ángulo de dos maderas consistente en una espiga en forma trapezoidal de cabeza más ancha que el arranque se denomina:"/>
    <s v="Lengüeta"/>
    <s v="Cola Milano"/>
    <s v="Horquilla"/>
    <m/>
    <s v="b"/>
  </r>
  <r>
    <x v="1"/>
    <n v="12"/>
    <x v="11"/>
    <n v="35"/>
    <s v="Test carpinteria 8 2024"/>
    <n v="2"/>
    <s v="El herraje que se utiliza para el cierre de ventanas y balcones de madera se llama:"/>
    <s v="Pasador"/>
    <s v="Cerrojo"/>
    <s v="Falleba"/>
    <m/>
    <s v="c"/>
  </r>
  <r>
    <x v="1"/>
    <n v="12"/>
    <x v="11"/>
    <n v="35"/>
    <s v="Test carpinteria 8 2024"/>
    <n v="3"/>
    <s v="Dos reglas unidas por un tornillo fijo en el extremo de una de ellas, que se emplea para trazar ángulos oblicuos se llama:"/>
    <s v="Escuadra"/>
    <s v="Falsa escuadra"/>
    <s v="Punta de trazar"/>
    <m/>
    <s v="b"/>
  </r>
  <r>
    <x v="1"/>
    <n v="12"/>
    <x v="11"/>
    <n v="35"/>
    <s v="Test carpinteria 8 2024"/>
    <n v="4"/>
    <s v="Como norma siempre desde el suelo, ¿a qué altura se debe de colocar la manilla de una puerta?"/>
    <s v="125 centimetros"/>
    <s v="105 centimetros"/>
    <s v="80 centimetros"/>
    <m/>
    <s v="b"/>
  </r>
  <r>
    <x v="1"/>
    <n v="12"/>
    <x v="11"/>
    <n v="35"/>
    <s v="Test carpinteria 8 2024"/>
    <n v="5"/>
    <s v="La cola que necesita cocerla y mantenerla al baño maría para su utilización es:"/>
    <s v="Caseína"/>
    <s v="Gelatina"/>
    <s v="Resina"/>
    <m/>
    <s v="b"/>
  </r>
  <r>
    <x v="1"/>
    <n v="12"/>
    <x v="11"/>
    <n v="35"/>
    <s v="Test carpinteria 8 2024"/>
    <n v="6"/>
    <s v="¿Cuantos tipos de pieza tiene un marco moderno de una puerta?"/>
    <s v="Premarco, galces y tapajuntas"/>
    <s v="Traba, premarco y galces"/>
    <s v="Escuadra, tapajuntas y premarco"/>
    <m/>
    <s v="a"/>
  </r>
  <r>
    <x v="1"/>
    <n v="12"/>
    <x v="11"/>
    <n v="35"/>
    <s v="Test carpinteria 8 2024"/>
    <n v="7"/>
    <s v="¿Cuál de las siguientes herramientas es de trazado?"/>
    <s v="Cuchilla"/>
    <s v="Destornillador"/>
    <s v="Gramil"/>
    <m/>
    <s v="c"/>
  </r>
  <r>
    <x v="1"/>
    <n v="12"/>
    <x v="11"/>
    <n v="35"/>
    <s v="Test carpinteria 8 2024"/>
    <n v="8"/>
    <s v="En un cepillo de mano, ¿Qué misión tiene el contra hierro?"/>
    <s v="Equilibrar el cepillo"/>
    <s v="Apretar la cuchilla"/>
    <s v="Sacar la viruta de la cuchilla"/>
    <m/>
    <s v="c"/>
  </r>
  <r>
    <x v="1"/>
    <n v="12"/>
    <x v="11"/>
    <n v="35"/>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2"/>
    <x v="11"/>
    <n v="35"/>
    <s v="Test carpinteria 8 2024"/>
    <n v="10"/>
    <s v="El tipo de cola que tiene la particularidad de que al secarse se vuelve transparente es:"/>
    <s v="La cola de milano"/>
    <s v="La cola de acetato"/>
    <s v="La cola resinosa"/>
    <m/>
    <s v="b"/>
  </r>
  <r>
    <x v="1"/>
    <n v="12"/>
    <x v="11"/>
    <n v="35"/>
    <s v="Test carpinteria 8 2024"/>
    <n v="11"/>
    <s v="¿Cómo están clasificadas las herramientas?"/>
    <s v="Manuales y eléctricas"/>
    <s v="Manuales y mecánicas"/>
    <s v="Eléctricas nada más"/>
    <m/>
    <s v="a"/>
  </r>
  <r>
    <x v="1"/>
    <n v="12"/>
    <x v="11"/>
    <n v="35"/>
    <s v="Test carpinteria 8 2024"/>
    <n v="12"/>
    <s v="A la herramienta utilizada en carpintería para marcar líneas paralelas se denomina con el nombre de:"/>
    <s v="Gramil"/>
    <s v="Laya"/>
    <s v="Parales"/>
    <m/>
    <s v="a"/>
  </r>
  <r>
    <x v="1"/>
    <n v="12"/>
    <x v="11"/>
    <n v="35"/>
    <s v="Test carpinteria 8 2024"/>
    <n v="13"/>
    <s v="¿Los tornillos se distinguen en cuantas partes?"/>
    <s v="Rosca y fondo"/>
    <s v="Cuerpo y filete"/>
    <s v="Cabeza y vástago"/>
    <m/>
    <s v="b"/>
  </r>
  <r>
    <x v="1"/>
    <n v="12"/>
    <x v="11"/>
    <n v="35"/>
    <s v="Test carpinteria 8 2024"/>
    <n v="14"/>
    <s v="¿Tipos de uniones principales?"/>
    <s v="Uniones fijas, móviles y articuladas"/>
    <s v="Uniones fijas, desmontables y semifijas"/>
    <s v="Uniones fijas, desmontables y articuladas"/>
    <m/>
    <s v="c"/>
  </r>
  <r>
    <x v="1"/>
    <n v="12"/>
    <x v="11"/>
    <n v="35"/>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2"/>
    <x v="11"/>
    <n v="35"/>
    <s v="Test carpinteria 8 2024"/>
    <n v="16"/>
    <s v="Al instrumento de carpintería con corte curvado de media caña utilizado para labrar superficies curvas se le conoce con el nombre de:"/>
    <s v="Formón"/>
    <s v="Trinchete"/>
    <s v="Gubia"/>
    <m/>
    <s v="c"/>
  </r>
  <r>
    <x v="1"/>
    <n v="12"/>
    <x v="11"/>
    <n v="35"/>
    <s v="Test carpinteria 8 2024"/>
    <n v="17"/>
    <s v="Los montantes que sostienen el dintel y limitan la anchura del hueco se llama:"/>
    <s v="Bastidor"/>
    <s v="Dintel"/>
    <s v="Jamba"/>
    <m/>
    <s v="c"/>
  </r>
  <r>
    <x v="1"/>
    <n v="12"/>
    <x v="11"/>
    <n v="35"/>
    <s v="Test carpinteria 8 2024"/>
    <n v="18"/>
    <s v="¿Para limpiar las limas y escofinas utilizaremos?"/>
    <s v="Raspador"/>
    <s v="Cepillo"/>
    <s v="Carda"/>
    <m/>
    <s v="c"/>
  </r>
  <r>
    <x v="1"/>
    <n v="12"/>
    <x v="11"/>
    <n v="35"/>
    <s v="Test carpinteria 8 2024"/>
    <n v="19"/>
    <s v="¿Unir piezas de madera entre sí por sus caras o cantos de modo que formen un ángulo recto se denomina?"/>
    <s v="Empalme"/>
    <s v="Ensamble"/>
    <s v="Reforzado"/>
    <m/>
    <s v="b"/>
  </r>
  <r>
    <x v="1"/>
    <n v="12"/>
    <x v="11"/>
    <n v="35"/>
    <s v="Test carpinteria 8 2024"/>
    <n v="20"/>
    <s v="¿Dónde se introduce la espiga al unir dos piezas de madera?"/>
    <s v="En la caja"/>
    <s v="En la mortaja"/>
    <s v="Ambas respuestas son correctas"/>
    <m/>
    <s v="c"/>
  </r>
  <r>
    <x v="1"/>
    <n v="12"/>
    <x v="11"/>
    <n v="35"/>
    <s v="Test carpinteria 8 2024"/>
    <n v="21"/>
    <s v="La anomalía local de la estructura de la madera producida por la parte inferior de una rama que va quedando englobada en el tronco, a medida que se producen los crecimientos de este, se denomina:"/>
    <s v="Desviación"/>
    <s v="Gema"/>
    <s v="Nudo"/>
    <m/>
    <s v="c"/>
  </r>
  <r>
    <x v="1"/>
    <n v="12"/>
    <x v="11"/>
    <n v="35"/>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2"/>
    <x v="11"/>
    <n v="35"/>
    <s v="Test carpinteria 8 2024"/>
    <n v="23"/>
    <s v="Para trabajos de calado, se usan sierras muy estrechas y finas llamadas:"/>
    <s v="Sierra de calar o bujir"/>
    <s v="Sierra de pelo"/>
    <s v="Sierra de bujir"/>
    <m/>
    <s v="a"/>
  </r>
  <r>
    <x v="1"/>
    <n v="12"/>
    <x v="11"/>
    <n v="35"/>
    <s v="Test carpinteria 8 2024"/>
    <n v="24"/>
    <s v="¿La herramienta utilizada para realizar cortes a bisel es?"/>
    <s v="Amoladora"/>
    <s v="Fresadora"/>
    <s v="Ingletadora"/>
    <m/>
    <s v="c"/>
  </r>
  <r>
    <x v="1"/>
    <n v="12"/>
    <x v="11"/>
    <n v="35"/>
    <s v="Test carpinteria 8 2024"/>
    <n v="25"/>
    <s v="La hoja de sierra de calar portátil, corta en el movimiento:"/>
    <s v="Ascendente"/>
    <s v="Descendente"/>
    <s v="Hacia ambos movimientos"/>
    <m/>
    <s v="a"/>
  </r>
  <r>
    <x v="1"/>
    <n v="12"/>
    <x v="11"/>
    <n v="35"/>
    <s v="Test carpinteria 8 2024"/>
    <n v="26"/>
    <s v="Una moldura compuesta de doble curvatura, una cóncava y otra convexa se llama:"/>
    <s v="Chaflán"/>
    <s v="Bocel"/>
    <s v="Gola"/>
    <m/>
    <s v="c"/>
  </r>
  <r>
    <x v="1"/>
    <n v="12"/>
    <x v="11"/>
    <n v="35"/>
    <s v="Test carpinteria 8 2024"/>
    <n v="27"/>
    <s v="Cuando decimos que una máquina tiene un resguardo fijo distanciador, estamos hablando de:"/>
    <s v="Un EPI"/>
    <s v="Una protección colectiva"/>
    <s v="Un resguardo personal"/>
    <m/>
    <s v="b"/>
  </r>
  <r>
    <x v="1"/>
    <n v="12"/>
    <x v="11"/>
    <n v="35"/>
    <s v="Test carpinteria 8 2024"/>
    <n v="28"/>
    <s v="¿Qué herramienta utilizamos para eliminar de forma manual la madera sobrante de los ensambles?"/>
    <s v="El berbiquí"/>
    <s v="El formón"/>
    <s v="El buril"/>
    <m/>
    <s v="b"/>
  </r>
  <r>
    <x v="1"/>
    <n v="12"/>
    <x v="11"/>
    <n v="35"/>
    <s v="Test carpinteria 8 2024"/>
    <n v="29"/>
    <s v="La unión o acoplamiento de dos o más maderas en carpintería se denominan juntas. ¿Cuál de las siguientes no es correcta?"/>
    <s v="Junta plana y refuerzo de espigas"/>
    <s v="Junta de caja ciega y espiga"/>
    <s v="Junta plana y rayada"/>
    <m/>
    <s v="c"/>
  </r>
  <r>
    <x v="1"/>
    <n v="12"/>
    <x v="11"/>
    <n v="35"/>
    <s v="Test carpinteria 8 2024"/>
    <n v="30"/>
    <s v="¿El pernio siempre tiene el vástago fijo?"/>
    <s v="Verdadero"/>
    <s v="Falso"/>
    <s v="Nunca"/>
    <m/>
    <s v="b"/>
  </r>
  <r>
    <x v="1"/>
    <n v="12"/>
    <x v="11"/>
    <n v="36"/>
    <s v="Test carpinteria 2016"/>
    <n v="1"/>
    <s v="En los casos normales, la posición correcta de las hojas de la sierra de arco para el corte de perfiles metálicos, deberá ser de tal manera que la penetración la efectúe en el movimiento de:"/>
    <s v="Empujado o avance"/>
    <s v="Recogido o retroceso"/>
    <s v="Es indistinto"/>
    <m/>
    <s v="a"/>
  </r>
  <r>
    <x v="1"/>
    <n v="12"/>
    <x v="11"/>
    <n v="36"/>
    <s v="Test carpinteria 2016"/>
    <n v="2"/>
    <s v="La herramienta de carpintería en forma de mordaza, que sirve para sujetar las piezas facilitando el trabajo sobre ellas se llama:"/>
    <s v="Perno"/>
    <s v="Perrillo"/>
    <s v="Muerdago"/>
    <m/>
    <s v="b"/>
  </r>
  <r>
    <x v="1"/>
    <n v="12"/>
    <x v="11"/>
    <n v="36"/>
    <s v="Test carpinteria 2016"/>
    <n v="3"/>
    <s v="El cepillo de carpintero, de hoja estrecha utilizado para hacer molduras que no se pueden hacer con la garlopa se llama:"/>
    <s v="Guillame"/>
    <s v="Garlopa"/>
    <s v="Cepillo de mol"/>
    <m/>
    <s v="a"/>
  </r>
  <r>
    <x v="1"/>
    <n v="12"/>
    <x v="11"/>
    <n v="36"/>
    <s v="Test carpinteria 2016"/>
    <n v="4"/>
    <s v="Los tableros formados con láminas delgadas de madera, normalmente en número impar, dispuestas alternando la dirección del grano, reciben el nombre de:"/>
    <s v="Alistonados"/>
    <s v="Contrachapados"/>
    <s v="DM"/>
    <m/>
    <s v="b"/>
  </r>
  <r>
    <x v="1"/>
    <n v="12"/>
    <x v="11"/>
    <n v="36"/>
    <s v="Test carpinteria 2016"/>
    <n v="5"/>
    <s v="La herramienta utilizada para realizar agujeros en la madera por separación de la fibra de la misma, se denomina:"/>
    <s v="Barrena"/>
    <s v="Buril"/>
    <s v="Broca"/>
    <m/>
    <s v="b"/>
  </r>
  <r>
    <x v="1"/>
    <n v="12"/>
    <x v="11"/>
    <n v="36"/>
    <s v="Test carpinteria 2016"/>
    <n v="6"/>
    <s v="Qué tipo de bisagra desmontable sin herramienta es aquella que se utiliza para las puertas y se compone de una parte macho (la que incorpora el pasador) y una hembra (la que cubre el pasador)"/>
    <s v="Bisagra oculta"/>
    <s v="Bisagra de piano"/>
    <s v="Goznes"/>
    <m/>
    <s v="c"/>
  </r>
  <r>
    <x v="1"/>
    <n v="12"/>
    <x v="11"/>
    <n v="36"/>
    <s v="Test carpinteria 2016"/>
    <n v="7"/>
    <s v="La cola blanca de carpintero se diluye con..."/>
    <s v="Disolvente universal"/>
    <s v="Aguarras"/>
    <s v="Agua"/>
    <m/>
    <s v="c"/>
  </r>
  <r>
    <x v="1"/>
    <n v="12"/>
    <x v="11"/>
    <n v="36"/>
    <s v="Test carpinteria 2016"/>
    <n v="8"/>
    <s v="Cuantas cuchillas tiene un cepillo de carpintero de desbastar"/>
    <s v="Una"/>
    <s v="Dos"/>
    <s v="Una lisa y otra dentada"/>
    <m/>
    <s v="a"/>
  </r>
  <r>
    <x v="1"/>
    <n v="12"/>
    <x v="11"/>
    <n v="36"/>
    <s v="Test carpinteria 2016"/>
    <n v="9"/>
    <s v="El hundimiento cónico alrededor de un agujero en el cual se alojará la cabeza de un tornillo para que quede a ras de superficie se denomina:"/>
    <s v="Avellanado"/>
    <s v="Taladrado jónico"/>
    <s v="Abocardado"/>
    <m/>
    <s v="a"/>
  </r>
  <r>
    <x v="1"/>
    <n v="12"/>
    <x v="11"/>
    <n v="36"/>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2"/>
    <x v="11"/>
    <n v="36"/>
    <s v="Test carpinteria 2016"/>
    <n v="11"/>
    <s v="¿Cuál de las siguientes herramientas no se utiliza habitualmente en carpintería?"/>
    <s v="Escofina"/>
    <s v="Bastrén"/>
    <s v="Espuerta"/>
    <m/>
    <s v="c"/>
  </r>
  <r>
    <x v="1"/>
    <n v="12"/>
    <x v="11"/>
    <n v="36"/>
    <s v="Test carpinteria 2016"/>
    <n v="12"/>
    <s v="La pieza o parte horizontal superior de una puerta se denomina:"/>
    <s v="Jamba"/>
    <s v="Dintel"/>
    <s v="Contrafuerte"/>
    <m/>
    <s v="b"/>
  </r>
  <r>
    <x v="1"/>
    <n v="12"/>
    <x v="11"/>
    <n v="36"/>
    <s v="Test carpinteria 2016"/>
    <n v="13"/>
    <s v="¿Qué broca se utiliza para hacer en la madera taladros grandes, pero de poco calado?"/>
    <s v="Fresa"/>
    <s v="Helicoidal"/>
    <s v="Irwin"/>
    <m/>
    <s v="a"/>
  </r>
  <r>
    <x v="1"/>
    <n v="12"/>
    <x v="11"/>
    <n v="36"/>
    <s v="Test carpinteria 2016"/>
    <n v="14"/>
    <s v="¿qué tipo de serrucho es el más utilizado para hacer cortes curvos en la madera?"/>
    <s v="Serrucho"/>
    <s v="Sierra de costilla"/>
    <s v="Serrucho de punta"/>
    <m/>
    <s v="c"/>
  </r>
  <r>
    <x v="1"/>
    <n v="12"/>
    <x v="11"/>
    <n v="36"/>
    <s v="Test carpinteria 2016"/>
    <n v="15"/>
    <s v="Para tapar grietas o pequeños agujeros en una carpintería, se puede utilizar una masilla universal elaborada con:"/>
    <s v="Resina y viruta"/>
    <s v="Serrín y viruta"/>
    <s v="Serrín y cola blanca"/>
    <m/>
    <s v="c"/>
  </r>
  <r>
    <x v="1"/>
    <n v="12"/>
    <x v="11"/>
    <n v="36"/>
    <s v="Test carpinteria 2016"/>
    <n v="16"/>
    <s v="La caja de madera, plástico o metal, con cortes efectuados en ángulos de 90º y 45º se denomina:"/>
    <s v="Caja de cortes"/>
    <s v="Caja de ingletes"/>
    <s v="Caja de angulares"/>
    <m/>
    <s v="b"/>
  </r>
  <r>
    <x v="1"/>
    <n v="12"/>
    <x v="11"/>
    <n v="36"/>
    <s v="Test carpinteria 2016"/>
    <n v="17"/>
    <s v="Si se precisa utilizar el cepillo de carpintero el trabajo se debe realizar:"/>
    <s v="A favor de beta"/>
    <s v="Perpendicularmente al sentido de la beta"/>
    <s v="Es indiferente"/>
    <m/>
    <s v="a"/>
  </r>
  <r>
    <x v="1"/>
    <n v="12"/>
    <x v="11"/>
    <n v="36"/>
    <s v="Test carpinteria 2016"/>
    <n v="18"/>
    <s v="Las hojas de ventana, cuyo gozne de giro permite su desmontado sin herramientas, por simple elevación, se dice que disponen de:"/>
    <s v="Bisagras simples"/>
    <s v="Bisagras dobles"/>
    <s v="Pérnios"/>
    <m/>
    <s v="c"/>
  </r>
  <r>
    <x v="1"/>
    <n v="12"/>
    <x v="11"/>
    <n v="36"/>
    <s v="Test carpinteria 2016"/>
    <n v="19"/>
    <s v="Cuando hablamos de formica nos referimos a"/>
    <s v="Melaminado"/>
    <s v="Estratificado"/>
    <s v="Lacado"/>
    <m/>
    <s v="b"/>
  </r>
  <r>
    <x v="1"/>
    <n v="12"/>
    <x v="11"/>
    <n v="36"/>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2"/>
    <x v="11"/>
    <n v="36"/>
    <s v="Test carpinteria 2016"/>
    <n v="21"/>
    <s v="Cuando coloquemos una bisagra, procederemos a colocar en primer lugar la bisagra de"/>
    <s v="La hoja de la puerta"/>
    <s v="La jamba"/>
    <s v="No importa el orden"/>
    <m/>
    <s v="a"/>
  </r>
  <r>
    <x v="1"/>
    <n v="12"/>
    <x v="11"/>
    <n v="36"/>
    <s v="Test carpinteria 2016"/>
    <n v="23"/>
    <s v="En el conjunto de una persiana el capialzado es:"/>
    <s v="El cajón que sirve de alojamiento al rollo de la persiana"/>
    <s v="El rollo de la persiana cuando está recogida"/>
    <s v="El alojamiento de la cinta"/>
    <m/>
    <s v="a"/>
  </r>
  <r>
    <x v="1"/>
    <n v="12"/>
    <x v="11"/>
    <n v="36"/>
    <s v="Test carpinteria 2016"/>
    <n v="24"/>
    <s v="Si en una persiana de cinta que se encuentra subida, se precisa sustituir la cinta, enrollaremos esta en:"/>
    <s v="La polea"/>
    <s v="El recogedor"/>
    <s v="Al 50% en la polea y recogedor"/>
    <m/>
    <s v="b"/>
  </r>
  <r>
    <x v="1"/>
    <n v="12"/>
    <x v="11"/>
    <n v="36"/>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2"/>
    <x v="11"/>
    <n v="36"/>
    <s v="Test carpinteria 2016"/>
    <n v="26"/>
    <s v="En una persiana normal enrollable de PVC, acinta, para una ventaja de 1,50 x1,50 de luz, el eje o cilindro sobre el que arrolla la persiana es de un diámetro aproximado de:"/>
    <s v="60 mm"/>
    <s v="85 mm"/>
    <s v="92 mm"/>
    <m/>
    <s v="a"/>
  </r>
  <r>
    <x v="1"/>
    <n v="12"/>
    <x v="11"/>
    <n v="36"/>
    <s v="Test carpinteria 2016"/>
    <n v="27"/>
    <s v="¿Qué se conoce como tablero rechapado?"/>
    <s v="Un tablero de fibras que lleva adherido en su cara una fina chapa de madera natural."/>
    <s v="Un tablero que ha sido vuelto a chapear."/>
    <s v="Las dos respuestas anteriores son incorrectas."/>
    <m/>
    <s v="a"/>
  </r>
  <r>
    <x v="1"/>
    <n v="12"/>
    <x v="11"/>
    <n v="36"/>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2"/>
    <x v="11"/>
    <n v="36"/>
    <s v="Test carpinteria 2016"/>
    <n v="30"/>
    <s v="¿Qué parte de la madera es más resistente la albura o el duramen?"/>
    <s v="Si se trata del mismo árbol, ambas partes tienen durezas muy parecidas"/>
    <s v="El duramen"/>
    <s v="La albura"/>
    <m/>
    <s v="b"/>
  </r>
  <r>
    <x v="1"/>
    <n v="12"/>
    <x v="11"/>
    <n v="36"/>
    <s v="Test carpinteria 2016"/>
    <n v="31"/>
    <s v="Indica cual es la definición más correcta de “fenda”."/>
    <s v="Grieta existente en una pieza de la madera"/>
    <s v="Herramienta con la que se desgarra la madera a favor de veta"/>
    <s v="Herramienta que sirve para desbastar la madera"/>
    <m/>
    <s v="a"/>
  </r>
  <r>
    <x v="1"/>
    <n v="12"/>
    <x v="11"/>
    <n v="36"/>
    <s v="Test carpinteria 2016"/>
    <n v="32"/>
    <s v="Indique para qué se utiliza el berbiquí."/>
    <s v="Para desbastar madera"/>
    <s v="Para dar vueltas y amasar la pieza de agarre"/>
    <s v="Para realizar agujeros"/>
    <m/>
    <s v="c"/>
  </r>
  <r>
    <x v="1"/>
    <n v="12"/>
    <x v="11"/>
    <n v="36"/>
    <s v="Test carpinteria 2016"/>
    <n v="33"/>
    <s v="Indique que numeración de las siguientes corresponde a la lija de grano más fino."/>
    <s v="120"/>
    <s v="80"/>
    <s v="180"/>
    <m/>
    <s v="c"/>
  </r>
  <r>
    <x v="1"/>
    <n v="12"/>
    <x v="11"/>
    <n v="36"/>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2"/>
    <x v="11"/>
    <n v="36"/>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2"/>
    <x v="11"/>
    <n v="36"/>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2"/>
    <x v="11"/>
    <n v="36"/>
    <s v="Test carpinteria 2016"/>
    <n v="37"/>
    <s v="¿Qué piezas unen los tirantes de una persiana?"/>
    <s v="La lama inferior con el eje de la persiana."/>
    <s v="La lama superior con la caja de la persiana."/>
    <s v="La lama superior con el eje de la persiana."/>
    <m/>
    <s v="c"/>
  </r>
  <r>
    <x v="1"/>
    <n v="12"/>
    <x v="11"/>
    <n v="36"/>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2"/>
    <x v="11"/>
    <n v="36"/>
    <s v="Test carpinteria 2016"/>
    <n v="39"/>
    <s v="El afilado de los dientes de una sierra se realiza empleando una lima manual de sección:"/>
    <s v="Circular"/>
    <s v="Rectangular"/>
    <s v="Triangular"/>
    <m/>
    <s v="c"/>
  </r>
  <r>
    <x v="1"/>
    <n v="12"/>
    <x v="11"/>
    <n v="36"/>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2"/>
    <x v="11"/>
    <n v="36"/>
    <s v="Test carpinteria 2016"/>
    <n v="41"/>
    <s v="De las maderas que se indican a continuación indicar cuál tiene la mayor densidad (kg/m3)"/>
    <s v="Teca"/>
    <s v="Caoba"/>
    <s v="Boj"/>
    <m/>
    <s v="c"/>
  </r>
  <r>
    <x v="1"/>
    <n v="12"/>
    <x v="11"/>
    <n v="36"/>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2"/>
    <x v="11"/>
    <n v="36"/>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2"/>
    <x v="11"/>
    <n v="36"/>
    <s v="Test carpinteria 2016"/>
    <n v="44"/>
    <s v="En un alicate universal la “entalladura lateral” sirve para:"/>
    <s v="Sujetar piezas planas o redondas"/>
    <s v="Cortar alambres de pequeño diámetro."/>
    <s v="Extracción de puntas de los tableros de madera"/>
    <m/>
    <s v="b"/>
  </r>
  <r>
    <x v="1"/>
    <n v="12"/>
    <x v="11"/>
    <n v="36"/>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2"/>
    <x v="11"/>
    <n v="36"/>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2"/>
    <x v="11"/>
    <n v="36"/>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2"/>
    <x v="11"/>
    <n v="36"/>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2"/>
    <x v="11"/>
    <n v="36"/>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2"/>
    <x v="11"/>
    <n v="36"/>
    <s v="Test carpinteria 2016"/>
    <n v="50"/>
    <s v="El ancho de corte de una sierra metálica es:"/>
    <s v="Igual al ancho de la hoja."/>
    <s v="Mayor que el ancho de la hoja."/>
    <s v="Las dos respuestas son ciertas"/>
    <m/>
    <s v="b"/>
  </r>
  <r>
    <x v="1"/>
    <n v="12"/>
    <x v="11"/>
    <n v="36"/>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2"/>
    <x v="11"/>
    <n v="36"/>
    <s v="Test carpinteria 2016"/>
    <n v="52"/>
    <s v="En un martillo el cotillo es:"/>
    <s v="La parte estrecha del martillo"/>
    <s v="La cuña metálica o de madera que se emplea para asegurar el mango"/>
    <s v="La parte ancha del martillo"/>
    <m/>
    <s v="c"/>
  </r>
  <r>
    <x v="1"/>
    <n v="12"/>
    <x v="11"/>
    <n v="36"/>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2"/>
    <x v="11"/>
    <n v="36"/>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2"/>
    <x v="11"/>
    <n v="36"/>
    <s v="Test carpinteria 2016"/>
    <n v="56"/>
    <s v="La medida por la que se identifica un formón es:"/>
    <s v="Por el espesor de la hoja"/>
    <s v="Por el ancho de la hoja"/>
    <s v="Por la longitud de la hoja"/>
    <m/>
    <s v="b"/>
  </r>
  <r>
    <x v="1"/>
    <n v="12"/>
    <x v="11"/>
    <n v="36"/>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2"/>
    <x v="11"/>
    <n v="36"/>
    <s v="Test carpinteria 2016"/>
    <n v="58"/>
    <s v="El siguiente esquema representa los dientes de una sierra de mano. De los tres ángulos que se indican en el gráfico, decir cuál de ellos corresponde al ángulo de corte."/>
    <s v="Angulo C"/>
    <s v="Angulo B"/>
    <s v="Angulo A"/>
    <m/>
    <s v="a"/>
  </r>
  <r>
    <x v="1"/>
    <n v="12"/>
    <x v="11"/>
    <n v="36"/>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2"/>
    <x v="11"/>
    <n v="36"/>
    <s v="Test carpinteria 2016"/>
    <n v="60"/>
    <s v="De las herramientas que se indican a continuación, las más importantes para escoplear son:"/>
    <s v="Los formones"/>
    <s v="Los escoplos"/>
    <s v="Ambas respuestas son correctas"/>
    <m/>
    <s v="c"/>
  </r>
  <r>
    <x v="1"/>
    <n v="12"/>
    <x v="11"/>
    <n v="36"/>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2"/>
    <x v="11"/>
    <n v="36"/>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2"/>
    <x v="11"/>
    <n v="36"/>
    <s v="Test carpinteria 2016"/>
    <n v="63"/>
    <s v="Para tallar una rosca interior en un tubo metálico, emplearemos:"/>
    <s v="Terrajas"/>
    <s v="Machos"/>
    <s v="Ambas respuestas son correctas"/>
    <m/>
    <s v="b"/>
  </r>
  <r>
    <x v="1"/>
    <n v="12"/>
    <x v="11"/>
    <n v="36"/>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2"/>
    <x v="11"/>
    <n v="36"/>
    <s v="Test carpinteria 2016"/>
    <n v="65"/>
    <s v="Sobre un plano a escala 1/20.000, hemos medido 5 cm. ¿A cuál de las respuestas indicadas a continuación correspondería la medida sobre el terreno?"/>
    <s v="1,00 km."/>
    <s v="2.50 km."/>
    <s v="5.00 km."/>
    <m/>
    <s v="a"/>
  </r>
  <r>
    <x v="1"/>
    <n v="12"/>
    <x v="11"/>
    <n v="36"/>
    <s v="Test carpinteria 2016"/>
    <n v="66"/>
    <s v="De las siguientes herramientas una no se utiliza habitualmente en carpintería:"/>
    <s v="Cepillo acanalador"/>
    <s v="Garlopa"/>
    <s v="Espuerta"/>
    <m/>
    <s v="c"/>
  </r>
  <r>
    <x v="1"/>
    <n v="12"/>
    <x v="11"/>
    <n v="36"/>
    <s v="Test carpinteria 2016"/>
    <n v="67"/>
    <s v="El grano más fino que podemos encontrar en un papel de lija es"/>
    <s v="100"/>
    <s v="000"/>
    <s v="20"/>
    <m/>
    <s v="b"/>
  </r>
  <r>
    <x v="1"/>
    <n v="12"/>
    <x v="11"/>
    <n v="36"/>
    <s v="Test carpinteria 2016"/>
    <n v="68"/>
    <s v="Para realizar un corte curvo deberé utilizar:"/>
    <s v="Mortajadora"/>
    <s v="Sierra de cinta"/>
    <s v="Labrante o cepilladora"/>
    <m/>
    <s v="b"/>
  </r>
  <r>
    <x v="1"/>
    <n v="12"/>
    <x v="11"/>
    <n v="36"/>
    <s v="Test carpinteria 2016"/>
    <n v="69"/>
    <s v="El acabado al aceite aplicado al aceite en ciertos muebles tiene el problema que:"/>
    <s v="Es difícil de aplicar"/>
    <s v="Quedan poros en la superficie"/>
    <s v="Se mancha con facilidad"/>
    <m/>
    <s v="c"/>
  </r>
  <r>
    <x v="1"/>
    <n v="12"/>
    <x v="11"/>
    <n v="36"/>
    <s v="Test carpinteria 2016"/>
    <n v="70"/>
    <s v="El ebanista trabaja con las maderas que están:"/>
    <s v="Cerradas"/>
    <s v="Secas"/>
    <s v="Limpias"/>
    <m/>
    <s v="b"/>
  </r>
  <r>
    <x v="1"/>
    <n v="12"/>
    <x v="11"/>
    <n v="36"/>
    <s v="Test carpinteria 2016"/>
    <n v="71"/>
    <s v="El empalme zunchado se usará cuando:"/>
    <s v="Queramos alargar la longitud de una pieza"/>
    <s v="Se necesite aumentar el espesor de un palo"/>
    <s v="Sea necesario ensanchar una superficie"/>
    <m/>
    <s v="a"/>
  </r>
  <r>
    <x v="1"/>
    <n v="12"/>
    <x v="11"/>
    <n v="36"/>
    <s v="Test carpinteria 2016"/>
    <n v="72"/>
    <s v="Con una broca de hierro podré hacer taladros en:"/>
    <s v="Piezas de hierro"/>
    <s v="Cualquier superficie"/>
    <s v="Hierro y madera."/>
    <m/>
    <s v="c"/>
  </r>
  <r>
    <x v="1"/>
    <n v="12"/>
    <x v="11"/>
    <n v="36"/>
    <s v="Test carpinteria 2016"/>
    <n v="73"/>
    <s v="Cuando una madera está preparada para ser trabajada por el ebanista se dice que está:"/>
    <s v="Muerta"/>
    <s v="Seca"/>
    <s v="Curada"/>
    <m/>
    <s v="b"/>
  </r>
  <r>
    <x v="1"/>
    <n v="12"/>
    <x v="11"/>
    <n v="36"/>
    <s v="Test carpinteria 2016"/>
    <n v="74"/>
    <s v="El árbol que crece torcido tiene un grano:"/>
    <s v="Recto"/>
    <s v="Ladeado"/>
    <s v="Irregular"/>
    <m/>
    <s v="c"/>
  </r>
  <r>
    <x v="1"/>
    <n v="12"/>
    <x v="11"/>
    <n v="36"/>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2"/>
    <x v="11"/>
    <n v="36"/>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2"/>
    <x v="11"/>
    <n v="36"/>
    <s v="Test carpinteria 2016"/>
    <n v="77"/>
    <s v="Para aplicar los productos hemos utilizado varias brochas que deberemos limpiar con:"/>
    <s v="Disolvente"/>
    <s v="Primero disolvente y después detergente."/>
    <s v="Primero detergente y después disolvente."/>
    <m/>
    <s v="b"/>
  </r>
  <r>
    <x v="1"/>
    <n v="12"/>
    <x v="11"/>
    <n v="36"/>
    <s v="Test carpinteria 2016"/>
    <n v="78"/>
    <s v="En el suelo de madera de una habitación se decide aplicar un barniz. Antes de aplicar el barniz deberemos aplicar:"/>
    <s v="Tapaporos"/>
    <s v="Pintura antihumedad"/>
    <s v="Betún de Judea"/>
    <m/>
    <s v="a"/>
  </r>
  <r>
    <x v="1"/>
    <n v="12"/>
    <x v="11"/>
    <n v="36"/>
    <s v="Test carpinteria 2016"/>
    <n v="79"/>
    <s v="En un suelo de parqué que estamos barnizando, entre mano y mano es imprescindible lijar para que desaparezcan las imperfecciones, con un grano:"/>
    <s v="120"/>
    <s v="40"/>
    <s v="000"/>
    <m/>
    <s v="c"/>
  </r>
  <r>
    <x v="1"/>
    <n v="12"/>
    <x v="11"/>
    <n v="36"/>
    <s v="Test carpinteria 2016"/>
    <n v="80"/>
    <s v="¿Qué es un xilófago?"/>
    <s v="Herramienta manual para lijar madera"/>
    <s v="Instrumento musical"/>
    <s v="Insecto que se alimenta de madera"/>
    <m/>
    <s v="c"/>
  </r>
  <r>
    <x v="1"/>
    <n v="12"/>
    <x v="11"/>
    <n v="36"/>
    <s v="Test carpinteria 2016"/>
    <n v="81"/>
    <s v="La iluminación apropiada para trabajar en un taller de carpintería se realiza con:"/>
    <s v="Lámparas incandescentes"/>
    <s v="Lámparas de neón"/>
    <s v="Lámparas fluorescentes"/>
    <m/>
    <s v="c"/>
  </r>
  <r>
    <x v="1"/>
    <n v="12"/>
    <x v="11"/>
    <n v="36"/>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2"/>
    <x v="11"/>
    <n v="36"/>
    <s v="Test carpinteria 2016"/>
    <n v="83"/>
    <s v="La escofina es una herramienta muy útil de carpintería y nunca debe usarse con los siguientes materiales:"/>
    <s v="Maderas blandas"/>
    <s v="Férricos"/>
    <s v="Maderas duras"/>
    <m/>
    <s v="b"/>
  </r>
  <r>
    <x v="1"/>
    <n v="12"/>
    <x v="11"/>
    <n v="36"/>
    <s v="Test carpinteria 2016"/>
    <n v="84"/>
    <s v="Sólo se puede trabajar bien la madera si:"/>
    <s v="Las herramientas de corte están humedecidas con aceite"/>
    <s v="Las herramientas de corte tienen el mango de madera de nogal"/>
    <s v="Las herramientas de corte están correctamente afiladas"/>
    <m/>
    <s v="c"/>
  </r>
  <r>
    <x v="1"/>
    <n v="12"/>
    <x v="11"/>
    <n v="36"/>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2"/>
    <x v="11"/>
    <n v="36"/>
    <s v="Test carpinteria 2016"/>
    <n v="86"/>
    <s v="¿Cuál de estas herramientas permite realizar taladros en la madera sin utilizar energía eléctrica?"/>
    <s v="El berbiquí"/>
    <s v="Formón"/>
    <s v="Gubia"/>
    <m/>
    <s v="a"/>
  </r>
  <r>
    <x v="1"/>
    <n v="12"/>
    <x v="11"/>
    <n v="36"/>
    <s v="Test carpinteria 2016"/>
    <n v="87"/>
    <s v="Si queremos realizar curvas en madera maciza y tableros manufacturados. ¿Cuál de las siguientes herramientas deberemos usar?"/>
    <s v="El serrucho de cola de milano"/>
    <s v="La sierra de hender"/>
    <s v="La segueta"/>
    <m/>
    <s v="c"/>
  </r>
  <r>
    <x v="1"/>
    <n v="12"/>
    <x v="11"/>
    <n v="36"/>
    <s v="Test carpinteria 2016"/>
    <n v="88"/>
    <s v="Se consideran maderas duras las procedentes de los siguientes árboles:"/>
    <s v="El nogal, laurel y la caoba."/>
    <s v="El roble, caoba y pino"/>
    <s v="El pino, álamo y guatambú."/>
    <m/>
    <s v="a"/>
  </r>
  <r>
    <x v="1"/>
    <n v="12"/>
    <x v="11"/>
    <n v="36"/>
    <s v="Test carpinteria 2016"/>
    <n v="89"/>
    <s v="¿Qué tipo de unión deberemos realizar si queremos unir dos piezas en ángulo?"/>
    <s v="Tendremos que empalmar las piezas"/>
    <s v="Tendremos que hacer un ensamble entre las piezas"/>
    <s v="Tendremos que acoplar las piezas"/>
    <m/>
    <s v="b"/>
  </r>
  <r>
    <x v="1"/>
    <n v="12"/>
    <x v="11"/>
    <n v="36"/>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2"/>
    <x v="11"/>
    <n v="36"/>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2"/>
    <x v="11"/>
    <n v="36"/>
    <s v="Test carpinteria 2016"/>
    <n v="92"/>
    <s v="De las siguientes ¿Cuál es la diferencia entre un tornillo de apriete de leva y un sargento de apriete rápido?"/>
    <s v="El mango"/>
    <s v="El material y la forma de ejercer presión"/>
    <s v="El número de mandíbulas."/>
    <m/>
    <s v="b"/>
  </r>
  <r>
    <x v="1"/>
    <n v="12"/>
    <x v="11"/>
    <n v="36"/>
    <s v="Test carpinteria 2016"/>
    <n v="93"/>
    <s v="Las principales partes de un tornillo son:"/>
    <s v="Cabeza, vástago y rosca"/>
    <s v="Cabeza, puntilla y arandela"/>
    <s v="Cabeza, masilla y rosca"/>
    <m/>
    <s v="a"/>
  </r>
  <r>
    <x v="1"/>
    <n v="12"/>
    <x v="11"/>
    <n v="36"/>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36"/>
    <s v="Test carpinteria 2016"/>
    <n v="95"/>
    <s v="Si necesitamos usar molduras, ranuras y cajeados usaremos:"/>
    <s v="Fresadora"/>
    <s v="Cepillo eléctrico"/>
    <s v="Garlopín"/>
    <m/>
    <s v="a"/>
  </r>
  <r>
    <x v="1"/>
    <n v="12"/>
    <x v="11"/>
    <n v="36"/>
    <s v="Test carpinteria 2016"/>
    <n v="96"/>
    <s v="En una ventana ¿Cómo se llama la parte superior destinada a soportar cargas?"/>
    <s v="Bastidor"/>
    <s v="Alfeizar"/>
    <s v="Dintel"/>
    <m/>
    <s v="c"/>
  </r>
  <r>
    <x v="1"/>
    <n v="12"/>
    <x v="11"/>
    <n v="36"/>
    <s v="Test carpinteria 2016"/>
    <n v="97"/>
    <s v="El barniz es un acabado de la madera que le ofrece protección y la embellece. Para aplicar barniz es necesario primero:"/>
    <s v="Aplicar tapaporos o fondo"/>
    <s v="Leer las instrucciones que recomienda el fabricante del producto y seguirlas"/>
    <s v="Ambas son correctas"/>
    <m/>
    <s v="c"/>
  </r>
  <r>
    <x v="1"/>
    <n v="12"/>
    <x v="11"/>
    <n v="36"/>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2"/>
    <x v="11"/>
    <n v="36"/>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2"/>
    <x v="11"/>
    <n v="36"/>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2"/>
    <x v="11"/>
    <n v="36"/>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2"/>
    <x v="11"/>
    <n v="36"/>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2"/>
    <x v="11"/>
    <n v="36"/>
    <s v="Test carpinteria 2016"/>
    <n v="103"/>
    <s v="Para el aserrado manual de tubos es recomendable:"/>
    <s v="Fijar el tubo fuertemente"/>
    <s v="Serrar con poca velocidad"/>
    <s v="Ir girando el tubo a medida que vamos cortando."/>
    <m/>
    <s v="c"/>
  </r>
  <r>
    <x v="1"/>
    <n v="12"/>
    <x v="11"/>
    <n v="36"/>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2"/>
    <x v="11"/>
    <n v="36"/>
    <s v="Test carpinteria 2016"/>
    <n v="105"/>
    <s v="¿Cuál de estas maderas no puede considerarse como una madera blanda de acuerdo con su naturaleza botánica?"/>
    <s v="El abeto"/>
    <s v="El nogal"/>
    <s v="Ambas respuestas son incorrectas."/>
    <m/>
    <s v="b"/>
  </r>
  <r>
    <x v="1"/>
    <n v="12"/>
    <x v="11"/>
    <n v="36"/>
    <s v="Test carpinteria 2016"/>
    <n v="106"/>
    <s v="En carpintería un barrilete como norma general es:"/>
    <s v="Una herramienta"/>
    <s v="Una herramienta de sujeción"/>
    <s v="Una pieza de apoyo."/>
    <m/>
    <s v="b"/>
  </r>
  <r>
    <x v="1"/>
    <n v="12"/>
    <x v="11"/>
    <n v="36"/>
    <s v="Test carpinteria 2016"/>
    <n v="107"/>
    <s v="Una de las características del mantenimiento del serrucho de madera chapeada es que:"/>
    <s v="No se trisca"/>
    <s v="Se afila con una lima triangular"/>
    <s v="Ambas respuestas son correctas."/>
    <m/>
    <s v="c"/>
  </r>
  <r>
    <x v="1"/>
    <n v="12"/>
    <x v="11"/>
    <n v="37"/>
    <s v="Test carpinteria 2021"/>
    <n v="1"/>
    <s v="El cepillo de carpintero, de hoja estrecha utilizado para hacer molduras que no se pueden hacer con la garlopa se llama:"/>
    <s v="Guillame"/>
    <s v="Cepillo de mol"/>
    <s v="Garlopa"/>
    <m/>
    <s v="a"/>
  </r>
  <r>
    <x v="1"/>
    <n v="12"/>
    <x v="11"/>
    <n v="37"/>
    <s v="Test carpinteria 2021"/>
    <n v="2"/>
    <s v="La cola blanca de carpintero se diluye con..."/>
    <s v="Agua"/>
    <s v="Aguarras"/>
    <s v="Disolvente universal"/>
    <m/>
    <s v="a"/>
  </r>
  <r>
    <x v="1"/>
    <n v="12"/>
    <x v="11"/>
    <n v="37"/>
    <s v="Test carpinteria 2021"/>
    <n v="3"/>
    <s v="Cuantas cuchillas tiene un cepillo de carpintero de desbastar"/>
    <s v="Dos"/>
    <s v="Una lisa y otra dentada"/>
    <s v="Una"/>
    <m/>
    <s v="c"/>
  </r>
  <r>
    <x v="1"/>
    <n v="12"/>
    <x v="11"/>
    <n v="37"/>
    <s v="Test carpinteria 2021"/>
    <n v="4"/>
    <s v="La sierra de ingletar no nos permite"/>
    <s v="Hacer cortes en ángulos o a bisel con gran precisión"/>
    <s v="Hacer cortes curvos o internos en las piezas"/>
    <s v="Hacer cortes a 45º"/>
    <m/>
    <s v="b"/>
  </r>
  <r>
    <x v="1"/>
    <n v="12"/>
    <x v="11"/>
    <n v="37"/>
    <s v="Test carpinteria 2021"/>
    <n v="6"/>
    <s v="La anomalía local de la estructura de la madera producida por la parte inferior de una rama que va quedando englobada en el tronco, a medida que se producen los crecimientos de este, se denomina:"/>
    <s v="Desviación"/>
    <s v="Nudo"/>
    <s v="Gema"/>
    <m/>
    <s v="b"/>
  </r>
  <r>
    <x v="1"/>
    <n v="12"/>
    <x v="11"/>
    <n v="37"/>
    <s v="Test carpinteria 2021"/>
    <n v="7"/>
    <s v="Un inglete queda definido como:"/>
    <s v="Ángulo de 45º"/>
    <s v="Ángulo de 60º"/>
    <s v="Puede tener cualquier ángulo"/>
    <m/>
    <s v="a"/>
  </r>
  <r>
    <x v="1"/>
    <n v="12"/>
    <x v="11"/>
    <n v="37"/>
    <s v="Test carpinteria 2021"/>
    <n v="8"/>
    <s v="La unión o acoplamiento de dos o más maderas en carpintería se denominan juntas, ¿Cuál de las siguientes no es correcta?"/>
    <s v="Junta plana y rayada"/>
    <s v="Junta plana y refuerzo de espigas"/>
    <s v="Junta de caja ciega y espiga"/>
    <m/>
    <s v="c"/>
  </r>
  <r>
    <x v="1"/>
    <n v="12"/>
    <x v="11"/>
    <n v="37"/>
    <s v="Test carpinteria 2021"/>
    <n v="9"/>
    <s v="¿qué tipo de serrucho es el más utilizado para hacer cortes curvos en la madera?"/>
    <s v="Sierra de costilla"/>
    <s v="Serrucho de punta"/>
    <s v="Serrucho"/>
    <m/>
    <s v="b"/>
  </r>
  <r>
    <x v="1"/>
    <n v="12"/>
    <x v="11"/>
    <n v="37"/>
    <s v="Test carpinteria 2021"/>
    <n v="1"/>
    <s v="¿Cuál de las siguientes herramientas no se utiliza habitualmente en carpintería?"/>
    <s v="Espuerta"/>
    <s v="Escofina"/>
    <s v="Bastrén"/>
    <m/>
    <s v="a"/>
  </r>
  <r>
    <x v="1"/>
    <n v="12"/>
    <x v="11"/>
    <n v="37"/>
    <s v="Test carpinteria 2021"/>
    <n v="2"/>
    <s v="¿Cuántos tipos de piezas tiene un marco moderno en la puerta?"/>
    <s v="Premarco galces y tapajuntas"/>
    <s v="Traba, premarco y galces"/>
    <s v="Escuadruna, tapajuntas y premarco"/>
    <m/>
    <s v="a"/>
  </r>
  <r>
    <x v="1"/>
    <n v="12"/>
    <x v="11"/>
    <n v="37"/>
    <s v="Test carpinteria 2021"/>
    <n v="3"/>
    <s v="De las siguientes herramientas cual es utilizada en la operación de labrado"/>
    <s v="La juntera"/>
    <s v="Las barrenas"/>
    <s v="Los botadores"/>
    <m/>
    <s v="a"/>
  </r>
  <r>
    <x v="1"/>
    <n v="12"/>
    <x v="11"/>
    <n v="37"/>
    <s v="Test carpinteria 2021"/>
    <n v="4"/>
    <s v="El hundimiento cónico alrededor de un agujero en el cual se alojará la cabeza de un tornillo para que quede a ras de superficie se denomina:"/>
    <s v="Taladrado jónico"/>
    <s v="Abocardado"/>
    <s v="Avellanado"/>
    <m/>
    <s v="c"/>
  </r>
  <r>
    <x v="1"/>
    <n v="12"/>
    <x v="11"/>
    <n v="37"/>
    <s v="Test carpinteria 2021"/>
    <n v="5"/>
    <s v="¿Qué herramienta utilizaremos para eliminar de forma manual la madera sobrante de los ensambles?"/>
    <s v="El formón"/>
    <s v="El buril"/>
    <s v="El berbiquí"/>
    <m/>
    <s v="a"/>
  </r>
  <r>
    <x v="1"/>
    <n v="12"/>
    <x v="11"/>
    <n v="37"/>
    <s v="Test carpinteria 2021"/>
    <n v="6"/>
    <s v="¿Cúal de las siguientes herramientas es de trazado?"/>
    <s v="Destornillador"/>
    <s v="Gramil"/>
    <s v="Cuchilla"/>
    <m/>
    <s v="b"/>
  </r>
  <r>
    <x v="1"/>
    <n v="12"/>
    <x v="11"/>
    <n v="37"/>
    <s v="Test carpinteria 2021"/>
    <n v="7"/>
    <s v="¿Cuál de los siguientes protectores de la madera es el menos resistente?"/>
    <s v="Barniz"/>
    <s v="Aceite"/>
    <s v="Pintura"/>
    <m/>
    <s v="b"/>
  </r>
  <r>
    <x v="1"/>
    <n v="12"/>
    <x v="11"/>
    <n v="37"/>
    <s v="Test carpinteria 2021"/>
    <n v="8"/>
    <s v="¿Qué broca se utiliza para hacer en la madera taladros grandes, pero de poco calado?"/>
    <s v="Fresa"/>
    <s v="Irwin"/>
    <s v="Helicoidal"/>
    <m/>
    <s v="a"/>
  </r>
  <r>
    <x v="1"/>
    <n v="12"/>
    <x v="11"/>
    <n v="37"/>
    <s v="Test carpinteria 2021"/>
    <n v="9"/>
    <s v="Dos reglas unidas por un tornillo fijo en el extremo de una de ellas que se emplea para trazar ángulos oblicuos ¿Se llama?"/>
    <s v="Escuadra"/>
    <s v="Falsa Escuadra"/>
    <s v="Punta de trazar"/>
    <m/>
    <s v="b"/>
  </r>
  <r>
    <x v="1"/>
    <n v="12"/>
    <x v="11"/>
    <n v="37"/>
    <s v="Test carpinteria 2021"/>
    <n v="1"/>
    <s v="Para tapar grietas o pequeños agujeros en una carpintería, se puede utilizar una masilla universal elaborada con:"/>
    <s v="Serrín y cola blanca"/>
    <s v="Serrín y viruta"/>
    <s v="Resina y viruta"/>
    <m/>
    <s v="a"/>
  </r>
  <r>
    <x v="1"/>
    <n v="12"/>
    <x v="11"/>
    <n v="37"/>
    <s v="Test carpinteria 2021"/>
    <n v="2"/>
    <s v="La unión de dos maderas consistente en una espiga de forma trapezoidal de cabeza más ancha que en el arranque ¿Se denomina?"/>
    <s v="Cola de milano"/>
    <s v="Horquilla"/>
    <s v="Lengüeta"/>
    <m/>
    <s v="a"/>
  </r>
  <r>
    <x v="1"/>
    <n v="12"/>
    <x v="11"/>
    <n v="37"/>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2"/>
    <x v="11"/>
    <n v="37"/>
    <s v="Test carpinteria 2021"/>
    <n v="4"/>
    <s v="Cuando hablamos de formica nos referimos a:"/>
    <s v="Estratificado"/>
    <s v="Lacado"/>
    <s v="Melaminado"/>
    <m/>
    <s v="a"/>
  </r>
  <r>
    <x v="1"/>
    <n v="12"/>
    <x v="11"/>
    <n v="37"/>
    <s v="Test carpinteria 2021"/>
    <n v="5"/>
    <s v="Los montantes que sostienen el dintel y limitan la anchura del hueco de la puerta ¿Se llaman?"/>
    <s v="Bastidor"/>
    <s v="Dintel"/>
    <s v="Jamba"/>
    <m/>
    <s v="c"/>
  </r>
  <r>
    <x v="1"/>
    <n v="12"/>
    <x v="11"/>
    <n v="37"/>
    <s v="Test carpinteria 2021"/>
    <n v="6"/>
    <s v="¿Qué herramienta de las siguientes se utiliza en carpintería para hundir las puntas y los clavos por debajo de la superficie de la madera"/>
    <s v="El botador"/>
    <s v="El escoplo"/>
    <s v="La gubia"/>
    <m/>
    <s v="a"/>
  </r>
  <r>
    <x v="1"/>
    <n v="12"/>
    <x v="11"/>
    <n v="37"/>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2"/>
    <x v="11"/>
    <n v="37"/>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2"/>
    <x v="11"/>
    <n v="37"/>
    <s v="Test carpinteria 2021"/>
    <n v="2"/>
    <s v="El herraje que se utiliza para el cierre de ventanas y balcones ¿Se denomina?"/>
    <s v="Falleba"/>
    <s v="Cerrojo"/>
    <s v="Pasador"/>
    <m/>
    <s v="a"/>
  </r>
  <r>
    <x v="1"/>
    <n v="12"/>
    <x v="11"/>
    <n v="37"/>
    <s v="Test carpinteria 2021"/>
    <n v="3"/>
    <s v="Los suelos a base de losetas sobre elevadas con patas niveladoras se denominan:"/>
    <s v="Suelo técnico"/>
    <s v="Parquet flotante"/>
    <s v="Tarima"/>
    <m/>
    <s v="a"/>
  </r>
  <r>
    <x v="1"/>
    <n v="12"/>
    <x v="11"/>
    <n v="37"/>
    <s v="Test carpinteria 2021"/>
    <n v="4"/>
    <s v="Unir piezas de madera entre sí por sus caras o cantos de modo que ajustan exactamente se denomina:"/>
    <s v="Empalme"/>
    <s v="Acoplamiento"/>
    <s v="Ensamble"/>
    <m/>
    <s v="c"/>
  </r>
  <r>
    <x v="1"/>
    <n v="12"/>
    <x v="11"/>
    <n v="37"/>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2"/>
    <x v="11"/>
    <n v="37"/>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2"/>
    <x v="11"/>
    <n v="37"/>
    <s v="Test carpinteria 2021"/>
    <n v="8"/>
    <s v="¿Dónde se introduce la espiga al unir 2 piezas de madera"/>
    <s v="En la cola"/>
    <s v="En la mortaja"/>
    <s v="En la caja"/>
    <m/>
    <s v="c"/>
  </r>
  <r>
    <x v="1"/>
    <n v="12"/>
    <x v="11"/>
    <n v="37"/>
    <s v="Test carpinteria 2021"/>
    <n v="9"/>
    <s v="Para los trabajos de calado se usan sierras muy finas y estrechas llamadas"/>
    <s v="Sierras de pelo"/>
    <s v="Sierras de calar o de bujir"/>
    <s v="Ambas respuestas son correctas"/>
    <m/>
    <s v="b"/>
  </r>
  <r>
    <x v="1"/>
    <n v="12"/>
    <x v="11"/>
    <n v="38"/>
    <s v="Test carpinteria Fran"/>
    <n v="1"/>
    <s v="Que inclinación debemos dejar al bisel para el afilado de las herramientas de Escoplear el afilado más apropiado es de:"/>
    <s v="45º."/>
    <s v="25º."/>
    <s v="60º."/>
    <m/>
    <s v="b"/>
  </r>
  <r>
    <x v="1"/>
    <n v="12"/>
    <x v="11"/>
    <n v="38"/>
    <s v="Test carpinteria Fran"/>
    <n v="2"/>
    <s v="¿ Porqué aparecen los anillos lunares en la madera ?"/>
    <s v="Por la interrupción parcial o total de la mineralización de la madera."/>
    <s v="Por la falta de luz."/>
    <s v="Por fa acción del viento."/>
    <m/>
    <s v="a"/>
  </r>
  <r>
    <x v="1"/>
    <n v="12"/>
    <x v="11"/>
    <n v="38"/>
    <s v="Test carpinteria Fran"/>
    <n v="3"/>
    <s v="- Según la Norma D1N58252 La madera de sierra es:"/>
    <s v="La que se obtiene del corte con sierra de rollizos en sentido paralelo aleje del tronco."/>
    <s v="La madera que se corta con una sierra."/>
    <s v="La madera cortada con sierra de cinta."/>
    <m/>
    <s v="a"/>
  </r>
  <r>
    <x v="1"/>
    <n v="12"/>
    <x v="11"/>
    <n v="38"/>
    <s v="Test carpinteria Fran"/>
    <n v="4"/>
    <s v="El rectificado de los dientes de un serrucho debe hacerse:"/>
    <s v="Después del triscado y afilado."/>
    <s v="Antes del triscado y afilado."/>
    <s v="Da igual antes que después."/>
    <m/>
    <s v="b"/>
  </r>
  <r>
    <x v="1"/>
    <n v="12"/>
    <x v="11"/>
    <n v="38"/>
    <s v="Test carpinteria Fran"/>
    <n v="5"/>
    <s v="En tableros compuestos, las capas centrales pueden ser de:"/>
    <s v="Listones de madera maciza, tablillas de madera maciza, madera en capas"/>
    <s v="Planchas de aglomerado, tableros de fibras o de resinas expandidas."/>
    <s v="A y b son correctas."/>
    <m/>
    <s v="c"/>
  </r>
  <r>
    <x v="1"/>
    <n v="12"/>
    <x v="11"/>
    <n v="38"/>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2"/>
    <x v="11"/>
    <n v="38"/>
    <s v="Test carpinteria Fran"/>
    <n v="7"/>
    <s v="-En el triscado de sierras, cómo debe ser el ancho del corte:"/>
    <s v="No debe ser superior al doble del grueso de la hoja"/>
    <s v="Sí debe ser superior al grueso de la hoja."/>
    <s v="Debe ser igual al grueso de la hoja."/>
    <m/>
    <s v="a"/>
  </r>
  <r>
    <x v="1"/>
    <n v="12"/>
    <x v="11"/>
    <n v="38"/>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2"/>
    <x v="11"/>
    <n v="38"/>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2"/>
    <x v="11"/>
    <n v="38"/>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2"/>
    <x v="11"/>
    <n v="38"/>
    <s v="Test carpinteria Fran"/>
    <n v="11"/>
    <s v="Como se denomina la zona por donde bajan los alimentos sintetizados al resto de tejidos del árbol para su crecimiento:"/>
    <s v="Médula."/>
    <s v="Líber."/>
    <s v="Duramen"/>
    <m/>
    <s v="b"/>
  </r>
  <r>
    <x v="1"/>
    <n v="12"/>
    <x v="11"/>
    <n v="38"/>
    <s v="Test carpinteria Fran"/>
    <n v="12"/>
    <s v="En los tableros de fibras, cuando la densidad es de 0,95 gr/cm3, estos son clasificados como:"/>
    <s v="Tableros de media densidad"/>
    <s v="Tableros de alta densidad."/>
    <s v="Tableros de baja densidad."/>
    <m/>
    <s v="b"/>
  </r>
  <r>
    <x v="1"/>
    <n v="12"/>
    <x v="11"/>
    <n v="38"/>
    <s v="Test carpinteria Fran"/>
    <n v="13"/>
    <s v="La madera del eucalipto esta clasificada, según su dureza, como"/>
    <s v="Especie semidura"/>
    <s v="Especie dura."/>
    <s v="Especie blanda"/>
    <m/>
    <s v="a"/>
  </r>
  <r>
    <x v="1"/>
    <n v="12"/>
    <x v="11"/>
    <n v="38"/>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2"/>
    <x v="11"/>
    <n v="38"/>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2"/>
    <x v="11"/>
    <n v="38"/>
    <s v="Test carpinteria Fran"/>
    <n v="16"/>
    <s v="¿Principalmente en qué especies de árboles atacan los hongos azules?"/>
    <s v="Coníferas y árboles de fronda."/>
    <s v="Robles y arboles de hoja caduca."/>
    <s v="En bosques de plantación."/>
    <m/>
    <s v="a"/>
  </r>
  <r>
    <x v="1"/>
    <n v="12"/>
    <x v="11"/>
    <n v="38"/>
    <s v="Test carpinteria Fran"/>
    <n v="17"/>
    <s v="- ¿Qué parte del tronco está casi sin nudos?"/>
    <s v="La copa."/>
    <s v="El tronco medio."/>
    <s v="El tronco de cepa."/>
    <m/>
    <s v="c"/>
  </r>
  <r>
    <x v="1"/>
    <n v="12"/>
    <x v="11"/>
    <n v="38"/>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2"/>
    <x v="11"/>
    <n v="38"/>
    <s v="Test carpinteria Fran"/>
    <n v="19"/>
    <s v="¿Cuál es la cualidad que tiene la madera para poder absorber o ceder humedad?"/>
    <s v="Conductividad."/>
    <s v="Plasticidad."/>
    <s v="Higroscopicidad."/>
    <m/>
    <s v="c"/>
  </r>
  <r>
    <x v="1"/>
    <n v="12"/>
    <x v="11"/>
    <n v="38"/>
    <s v="Test carpinteria Fran"/>
    <n v="20"/>
    <s v="Guando en un tronco vemos la médula, los anillos anuales, el líber y la corteza ¿qué corte estamos viendo?"/>
    <s v="Corte radial."/>
    <s v="Corte de testa y corte transversal."/>
    <s v="Corte con sierra mecánica."/>
    <m/>
    <s v="b"/>
  </r>
  <r>
    <x v="1"/>
    <n v="12"/>
    <x v="11"/>
    <n v="38"/>
    <s v="Test carpinteria Fran"/>
    <n v="21"/>
    <s v="¿Cuándo se dice que la madera es plástica?"/>
    <s v="Cuando no se deforma."/>
    <s v="Cuando se puede doblar y no recupera la forma original."/>
    <s v="Cuando la madera está muy seca."/>
    <m/>
    <s v="b"/>
  </r>
  <r>
    <x v="1"/>
    <n v="12"/>
    <x v="11"/>
    <n v="38"/>
    <s v="Test carpinteria Fran"/>
    <n v="22"/>
    <s v="Según la procedencia de las materias primas las colas se denominan:"/>
    <s v="Colas naturales o sintéticas."/>
    <s v="Pasta de pegar."/>
    <s v="Disolventes."/>
    <m/>
    <s v="a"/>
  </r>
  <r>
    <x v="1"/>
    <n v="12"/>
    <x v="11"/>
    <n v="38"/>
    <s v="Test carpinteria Fran"/>
    <n v="23"/>
    <s v="- En todos los ensambles, hay que tener presente el trabajo de en madera maciza."/>
    <s v="Dilatación - contracción."/>
    <s v="Tenacidad - fragilidad."/>
    <s v="Dureza - blandura."/>
    <m/>
    <s v="a"/>
  </r>
  <r>
    <x v="1"/>
    <n v="12"/>
    <x v="11"/>
    <n v="38"/>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2"/>
    <x v="11"/>
    <n v="38"/>
    <s v="Test carpinteria Fran"/>
    <n v="25"/>
    <s v="En cuanto a las características mecánicas, los tableros tienen un comportamiento:"/>
    <s v="Homogéneo."/>
    <s v="Plástico"/>
    <s v="Elástico-plástico."/>
    <m/>
    <s v="c"/>
  </r>
  <r>
    <x v="1"/>
    <n v="12"/>
    <x v="11"/>
    <n v="38"/>
    <s v="Test carpinteria Fran"/>
    <n v="26"/>
    <s v="- Los tableros de partículas se caracterizan primero por:"/>
    <s v="Una irregularidad en el tamaño de las partículas."/>
    <s v="Una homogeneidad en el tamaño de las partículas."/>
    <s v="Alternancia de chapas de madera con la fibra."/>
    <m/>
    <s v="a"/>
  </r>
  <r>
    <x v="1"/>
    <n v="12"/>
    <x v="11"/>
    <n v="38"/>
    <s v="Test carpinteria Fran"/>
    <n v="27"/>
    <s v="La capa de células que genera e¡ crecimiento en espesor del árbol se denomina:"/>
    <s v="Duramen"/>
    <s v="Cambium"/>
    <s v="Albura"/>
    <m/>
    <s v="b"/>
  </r>
  <r>
    <x v="1"/>
    <n v="12"/>
    <x v="11"/>
    <n v="38"/>
    <s v="Test carpinteria Fran"/>
    <n v="28"/>
    <s v="La operación que consiste en cortar transversalmente el árbol en una zona, lo más próxima al suelo que sea posible y voltearlo hasta que caiga al suelo, recibe el hombre de :"/>
    <s v="Descalce"/>
    <s v="Despunte"/>
    <s v="Apeo"/>
    <m/>
    <s v="c"/>
  </r>
  <r>
    <x v="1"/>
    <n v="12"/>
    <x v="11"/>
    <n v="38"/>
    <s v="Test carpinteria Fran"/>
    <n v="29"/>
    <s v="El retorcimiento en espiral en sentido longitudinal de la madera de sierra se denomina:"/>
    <s v="Alabeo."/>
    <s v="Encorvamiento."/>
    <s v="Abrasión."/>
    <m/>
    <s v="a"/>
  </r>
  <r>
    <x v="1"/>
    <n v="12"/>
    <x v="11"/>
    <n v="38"/>
    <s v="Test carpinteria Fran"/>
    <n v="30"/>
    <s v="El arranque de virutas finas por presión es:"/>
    <s v="Desbastado."/>
    <s v="Tallado."/>
    <s v="Aserrado."/>
    <m/>
    <s v="b"/>
  </r>
  <r>
    <x v="1"/>
    <n v="12"/>
    <x v="11"/>
    <n v="38"/>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2"/>
    <x v="11"/>
    <n v="38"/>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2"/>
    <x v="11"/>
    <n v="38"/>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2"/>
    <x v="11"/>
    <n v="38"/>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2"/>
    <x v="11"/>
    <n v="38"/>
    <s v="Test carpinteria Fran"/>
    <n v="35"/>
    <s v="Como se clasifican las maderas más importantes:"/>
    <s v="Madera de coníferas y de madera de frondosas"/>
    <s v="Madera de árboles de consistencia dura y blanda"/>
    <s v="Ambas respuestas son correctas"/>
    <m/>
    <s v="a"/>
  </r>
  <r>
    <x v="1"/>
    <n v="12"/>
    <x v="11"/>
    <n v="38"/>
    <s v="Test carpinteria Fran"/>
    <n v="36"/>
    <s v="De las siguientes fresadoras, cuál se emplea para ranurar, ensamblar, achatar, moldurar y fresar perfiles:"/>
    <s v="Tupí."/>
    <s v="Fresadora de cadena."/>
    <s v="Fresadora de bordes."/>
    <m/>
    <s v="a"/>
  </r>
  <r>
    <x v="1"/>
    <n v="12"/>
    <x v="11"/>
    <n v="38"/>
    <s v="Test carpinteria Fran"/>
    <n v="37"/>
    <s v="Cuál de los siguientes cepillos usaré, por ser más óptimo, si necesito hacer caras planas, juntas y bordes rectos en piezas grandes:"/>
    <s v="Cepillo dentado."/>
    <s v="Garlopín."/>
    <s v="Guillame sencillo."/>
    <m/>
    <s v="b"/>
  </r>
  <r>
    <x v="1"/>
    <n v="12"/>
    <x v="11"/>
    <n v="38"/>
    <s v="Test carpinteria Fran"/>
    <n v="39"/>
    <s v="Se emplea para hacer agujeros y alojamientos estrechos y profundos. Su ancho va de 4 mm a 26 mm. (Señalar la herramienta a la que hace referencia el enunciado)"/>
    <s v="Formón."/>
    <s v="Gubia."/>
    <s v="Escoplo."/>
    <m/>
    <s v="c"/>
  </r>
  <r>
    <x v="1"/>
    <n v="12"/>
    <x v="11"/>
    <n v="38"/>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2"/>
    <x v="11"/>
    <n v="38"/>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2"/>
    <x v="11"/>
    <n v="38"/>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2"/>
    <x v="11"/>
    <n v="38"/>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2"/>
    <x v="11"/>
    <n v="38"/>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2"/>
    <x v="11"/>
    <n v="38"/>
    <s v="Test carpinteria Fran"/>
    <n v="45"/>
    <s v="La ranura en el canto de un tablero para permitir su machihembrado se llama:"/>
    <s v="Entalladura."/>
    <s v="Galce."/>
    <s v="Gorguera."/>
    <m/>
    <s v="b"/>
  </r>
  <r>
    <x v="1"/>
    <n v="12"/>
    <x v="11"/>
    <n v="38"/>
    <s v="Test carpinteria Fran"/>
    <n v="46"/>
    <s v="Entre los componentes de un pegamento están las cargas, que se pueden definir como:"/>
    <s v="Las resinas epoxílicas y de poliuretano"/>
    <s v="Sustancias molidas sin fuerza de unión propia"/>
    <s v="Diluyentes apropiados"/>
    <m/>
    <s v="b"/>
  </r>
  <r>
    <x v="1"/>
    <n v="13"/>
    <x v="12"/>
    <n v="39"/>
    <s v="Test 2 cerrajeria"/>
    <n v="1"/>
    <s v="Si tenemos que cambiar el bombillo de una cerradura por la cara o de plastón"/>
    <s v="Lo haremos con la puerta abierta"/>
    <s v="Lo haremos con la puerta cerrada"/>
    <s v="De ninguna de las dos formas"/>
    <m/>
    <s v="a"/>
  </r>
  <r>
    <x v="1"/>
    <n v="13"/>
    <x v="12"/>
    <n v="39"/>
    <s v="Test 2 cerrajeria"/>
    <n v="2"/>
    <s v="Que es un cerradura de plastón"/>
    <s v="La cerradura que se coloca por la cara de la puerta, en el interior"/>
    <s v="La cerradura que se coloca en el canto de la puerta"/>
    <s v="Una cerradura de armario colocada en el canto"/>
    <m/>
    <s v="a"/>
  </r>
  <r>
    <x v="1"/>
    <n v="13"/>
    <x v="12"/>
    <n v="39"/>
    <s v="Test 2 cerrajeria"/>
    <n v="3"/>
    <s v="Que es el cambrón"/>
    <s v="El pasador de la cerradura"/>
    <s v="Donde se aloja el resbalón de la cerradura en el marco de la puerta"/>
    <s v="Por donde se introduce la llave en una cerradura"/>
    <m/>
    <s v="a"/>
  </r>
  <r>
    <x v="1"/>
    <n v="13"/>
    <x v="12"/>
    <n v="39"/>
    <s v="Test 2 cerrajeria"/>
    <n v="4"/>
    <s v="Las cerraduras de borjas los bombillos son"/>
    <s v="Redondos"/>
    <s v="Desmontables"/>
    <s v="No llevan bombillo"/>
    <m/>
    <s v="c"/>
  </r>
  <r>
    <x v="1"/>
    <n v="13"/>
    <x v="12"/>
    <n v="39"/>
    <s v="Test 2 cerrajeria"/>
    <n v="5"/>
    <s v="Una cerradura colocada en el canto de la puerta"/>
    <s v="Es una cerradura de tambor"/>
    <s v="Es una cerradura de embutir"/>
    <s v="Es una cerradura de resbalón"/>
    <m/>
    <s v="b"/>
  </r>
  <r>
    <x v="1"/>
    <n v="13"/>
    <x v="12"/>
    <n v="39"/>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3"/>
    <x v="12"/>
    <n v="39"/>
    <s v="Test 2 cerrajeria"/>
    <n v="7"/>
    <s v="Las bisagras que se colocan abriendo una escopladura en el marco y otra en el larguero introduciendo sus alas en las mismas recibe el nombre de"/>
    <s v="Bisagras fijas sin alas"/>
    <s v="Bisagras fijas"/>
    <s v="Bisagras planas"/>
    <m/>
    <s v="c"/>
  </r>
  <r>
    <x v="1"/>
    <n v="13"/>
    <x v="12"/>
    <n v="39"/>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3"/>
    <x v="12"/>
    <n v="39"/>
    <s v="Test 2 cerrajeria"/>
    <n v="9"/>
    <s v="Una cerradura que se coloca taladrando en la puerta un agujero circular que la traspasa de lado a lado es una cerradura"/>
    <s v="Embutir"/>
    <s v="Plastón"/>
    <s v="Tambor"/>
    <m/>
    <s v="b"/>
  </r>
  <r>
    <x v="1"/>
    <n v="13"/>
    <x v="12"/>
    <n v="39"/>
    <s v="Test 2 cerrajeria"/>
    <n v="10"/>
    <s v="La parte de una cerradura que se coloca en el marco de una puerta para que se introduzca el resbalón o el pasador recibe el nombre de"/>
    <s v="Botón"/>
    <s v="Pletina"/>
    <s v="Cambrón"/>
    <m/>
    <s v="b"/>
  </r>
  <r>
    <x v="1"/>
    <n v="13"/>
    <x v="12"/>
    <n v="39"/>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3"/>
    <x v="12"/>
    <n v="39"/>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3"/>
    <x v="12"/>
    <n v="39"/>
    <s v="Test 2 cerrajeria"/>
    <n v="13"/>
    <s v="Que es lo que hace la leva de un bombillo en una cerradura"/>
    <s v="Levanta la borja y acciona el pasador y el resbalón"/>
    <s v="Gira el resbalón y el pasador las vueltas necesarias para su apertura"/>
    <s v="Las dos respuestas son correctas"/>
    <m/>
    <s v="b"/>
  </r>
  <r>
    <x v="1"/>
    <n v="13"/>
    <x v="12"/>
    <n v="39"/>
    <s v="Test 2 cerrajeria"/>
    <n v="14"/>
    <s v="En una cerradura que no precisa de bombillo y que en su interior lleva una serie de chapas sujetas entre sí y desplazadas a diferentes alturas esta combinación de chapas recibe el nombre de"/>
    <s v="Chavetas"/>
    <s v="Placas"/>
    <s v="Borjas"/>
    <m/>
    <s v="c"/>
  </r>
  <r>
    <x v="1"/>
    <n v="13"/>
    <x v="12"/>
    <n v="39"/>
    <s v="Test 2 cerrajeria"/>
    <n v="15"/>
    <s v="La parte de una bisagra por donde discurre el pasador de unión de las alas recibe el nombre de"/>
    <s v="Nudo"/>
    <s v="Botones"/>
    <s v="Guía"/>
    <m/>
    <s v="c"/>
  </r>
  <r>
    <x v="1"/>
    <n v="13"/>
    <x v="12"/>
    <n v="39"/>
    <s v="Test 2 cerrajeria"/>
    <n v="16"/>
    <s v="Que es una anuba"/>
    <s v="Un pernio"/>
    <s v="Una herramienta de carpintero para desbastar"/>
    <s v="Una tenaza"/>
    <m/>
    <s v="a"/>
  </r>
  <r>
    <x v="1"/>
    <n v="13"/>
    <x v="12"/>
    <n v="39"/>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3"/>
    <x v="12"/>
    <n v="39"/>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3"/>
    <x v="12"/>
    <n v="39"/>
    <s v="Test 2 cerrajeria"/>
    <n v="19"/>
    <s v="La cartela por la general metálica, que se coloca como guarda del ojo de una cerradura, recibe el nombre de"/>
    <s v="Placa"/>
    <s v="Bocallave o escudo"/>
    <s v="Manilla"/>
    <m/>
    <s v="b"/>
  </r>
  <r>
    <x v="1"/>
    <n v="13"/>
    <x v="12"/>
    <n v="39"/>
    <s v="Test 2 cerrajeria"/>
    <n v="20"/>
    <s v="El lubricante que usaremos en las cerraduras (bombillos) será"/>
    <s v="Grasa"/>
    <s v="Aceite"/>
    <s v="Grafito"/>
    <m/>
    <s v="c"/>
  </r>
  <r>
    <x v="1"/>
    <n v="13"/>
    <x v="12"/>
    <n v="39"/>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3"/>
    <x v="12"/>
    <n v="39"/>
    <s v="Test 2 cerrajeria"/>
    <n v="22"/>
    <s v="El calibre se llama también"/>
    <s v="Nonio"/>
    <s v="Pie de rey"/>
    <s v="Micrómetro"/>
    <m/>
    <s v="b"/>
  </r>
  <r>
    <x v="1"/>
    <n v="13"/>
    <x v="12"/>
    <n v="39"/>
    <s v="Test 2 cerrajeria"/>
    <n v="23"/>
    <s v="En una cerradura la palanca de vinculación…"/>
    <s v="Conecta el pestillo durmiente con la maneta"/>
    <s v="Conecta el pestillo durmiente con los resortes"/>
    <s v="Conecta el pestillo durmiente con el pestillo de media vuelta."/>
    <m/>
    <s v="c"/>
  </r>
  <r>
    <x v="1"/>
    <n v="13"/>
    <x v="12"/>
    <n v="39"/>
    <s v="Test 2 cerrajeria"/>
    <n v="24"/>
    <s v="La bocallave de la cerradura de gorjas con llave de diamante se caracteriza por…"/>
    <s v="La gran cantidad de variedades y la gran protección que brinda"/>
    <s v="Ser poco eficaz en cuanto a protección."/>
    <s v="Ninguna de las anteriores"/>
    <m/>
    <s v="b"/>
  </r>
  <r>
    <x v="1"/>
    <n v="13"/>
    <x v="12"/>
    <n v="39"/>
    <s v="Test 2 cerrajeria"/>
    <n v="25"/>
    <s v="En una cerradura la nuez…"/>
    <s v="Es la pieza donde se aloja el manubrio"/>
    <s v="Es la pieza más dura de la cerradura"/>
    <s v="No existe esa pieza"/>
    <m/>
    <s v="a"/>
  </r>
  <r>
    <x v="1"/>
    <n v="13"/>
    <x v="12"/>
    <n v="39"/>
    <s v="Test 2 cerrajeria"/>
    <n v="26"/>
    <s v="La función de la guarda en una cerradura es:"/>
    <s v="Evitar que el pestillo durmiente se desplace fuera de su sitio y fijar las vueltas de la llave."/>
    <s v="Mejorar la seguridad de la misma"/>
    <s v="Ambas respuestas son correctas."/>
    <m/>
    <s v="c"/>
  </r>
  <r>
    <x v="1"/>
    <n v="13"/>
    <x v="12"/>
    <n v="39"/>
    <s v="Test 2 cerrajeria"/>
    <n v="27"/>
    <s v="Tengo una puerta colocada sobre pernios, ¿Cuál es la mejor manera de desmontarla?"/>
    <s v="Elevando la puerta"/>
    <s v="Desatornillando las bisagras"/>
    <s v="Abriéndola al menos 90º y elevándola."/>
    <m/>
    <s v="c"/>
  </r>
  <r>
    <x v="1"/>
    <n v="13"/>
    <x v="12"/>
    <n v="39"/>
    <s v="Test 2 cerrajeria"/>
    <n v="28"/>
    <s v="Para sustituir (sin romper o ganzuar), el bombín de una cerradura es necesario:"/>
    <s v="Que la puerta esté abierta"/>
    <s v="Que tengamos la llave"/>
    <s v="Disponer de un alicate"/>
    <m/>
    <s v="a"/>
  </r>
  <r>
    <x v="1"/>
    <n v="13"/>
    <x v="12"/>
    <n v="39"/>
    <s v="Test 2 cerrajeria"/>
    <n v="29"/>
    <s v="El tornillo que fija el bombín a la cerradura se encuentra"/>
    <s v="Perpendicular al canto de la puerta"/>
    <s v="Perpendicular al eje longitudinal del bombín."/>
    <s v="Ambas respuestas son correctas"/>
    <m/>
    <s v="c"/>
  </r>
  <r>
    <x v="1"/>
    <n v="13"/>
    <x v="12"/>
    <n v="39"/>
    <s v="Test 2 cerrajeria"/>
    <n v="30"/>
    <s v="Una cremona es:"/>
    <s v="Un tipo de cerradura"/>
    <s v="Un tipo de gancho que cierra ventanas"/>
    <s v="Una manivela"/>
    <m/>
    <s v="b"/>
  </r>
  <r>
    <x v="1"/>
    <n v="13"/>
    <x v="12"/>
    <n v="39"/>
    <s v="Test 2 cerrajeria"/>
    <n v="31"/>
    <s v="Una colanilla se utiliza cuando"/>
    <s v="Queremos fijar una puerta doble, a modo de pasador"/>
    <s v="Queremos fijar una puerta doble a modo de cerrojo entre las puertas"/>
    <s v="Ambas respuestas son correctas."/>
    <m/>
    <s v="a"/>
  </r>
  <r>
    <x v="1"/>
    <n v="13"/>
    <x v="12"/>
    <n v="39"/>
    <s v="Test 2 cerrajeria"/>
    <n v="32"/>
    <s v="Qué tipo de pernio necesitaremos para una puerta de mano derecha"/>
    <s v="Un pernio a derechas"/>
    <s v="Un pernio a izquierdas"/>
    <s v="Depende de si abre al interior o no."/>
    <m/>
    <s v="a"/>
  </r>
  <r>
    <x v="1"/>
    <n v="13"/>
    <x v="12"/>
    <n v="39"/>
    <s v="Test 2 cerrajeria"/>
    <n v="33"/>
    <s v="En una cerradura ¿Qué es el palastro?"/>
    <s v="La parte de la llave que hace de leva"/>
    <s v="El fondo de la caja de la cerradura"/>
    <s v="El canto de la cerradura"/>
    <m/>
    <s v="b"/>
  </r>
  <r>
    <x v="1"/>
    <n v="13"/>
    <x v="12"/>
    <n v="39"/>
    <s v="Test 2 cerrajeria"/>
    <n v="34"/>
    <s v="Cuál es la función del cerradero en una cerradura"/>
    <s v="Es el elemento que recibe los pestillos fijándolos"/>
    <s v="Es la parte de la cerradura que se ancla a la batiente de la puerta"/>
    <s v="Ambas respuestas son correctas"/>
    <m/>
    <s v="c"/>
  </r>
  <r>
    <x v="1"/>
    <n v="13"/>
    <x v="12"/>
    <n v="39"/>
    <s v="Test 2 cerrajeria"/>
    <n v="35"/>
    <s v="Con una cerradura de plástón:"/>
    <s v="Además de los tornillos no es necesario hacer ningún agujero en la puerta."/>
    <s v="Siempre es necesario hacerle un agujero en la puerta."/>
    <s v="Ambas respuestas son incorrectas."/>
    <m/>
    <s v="b"/>
  </r>
  <r>
    <x v="1"/>
    <n v="13"/>
    <x v="12"/>
    <n v="39"/>
    <s v="Test 2 cerrajeria"/>
    <n v="36"/>
    <s v="En una cerradura que es el barrilete"/>
    <s v="El rotor"/>
    <s v="El cañuto"/>
    <s v="Ambas respuestas son correctas"/>
    <m/>
    <s v="c"/>
  </r>
  <r>
    <x v="1"/>
    <n v="13"/>
    <x v="12"/>
    <n v="39"/>
    <s v="Test 2 cerrajeria"/>
    <n v="37"/>
    <s v="Cual de estos es un perfil de bombín"/>
    <s v="Europeo"/>
    <s v="Americano"/>
    <s v="Ambas respuestas son correctas"/>
    <m/>
    <s v="a"/>
  </r>
  <r>
    <x v="1"/>
    <n v="13"/>
    <x v="12"/>
    <n v="39"/>
    <s v="Test 2 cerrajeria"/>
    <n v="38"/>
    <s v="En una cerradura tipo Yale los pitones que son en todas las cámaras del mismo tamaño se llaman:"/>
    <s v="Cazadores"/>
    <s v="Clave"/>
    <s v="Lenteja de amaestramiento"/>
    <m/>
    <s v="a"/>
  </r>
  <r>
    <x v="1"/>
    <n v="13"/>
    <x v="12"/>
    <n v="39"/>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3"/>
    <x v="12"/>
    <n v="39"/>
    <s v="Test 2 cerrajeria"/>
    <n v="40"/>
    <s v="Cual de estas puede ser una parte de una cerradura"/>
    <s v="Virola"/>
    <s v="Vitola"/>
    <s v="Ninguna de las dos"/>
    <m/>
    <s v="a"/>
  </r>
  <r>
    <x v="1"/>
    <n v="14"/>
    <x v="13"/>
    <n v="40"/>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4"/>
    <x v="13"/>
    <n v="40"/>
    <s v="Test persianas 2024"/>
    <n v="2"/>
    <s v="¿En qué situación podría ser necesario ajustar la tensión de la cinta en una persiana?"/>
    <s v="Cuando la persiana se atasca al subir."/>
    <s v="Cuando la persiana se atasca al bajar."/>
    <s v="Cuando la persiana no recoge bien la cinta."/>
    <m/>
    <s v="c"/>
  </r>
  <r>
    <x v="1"/>
    <n v="14"/>
    <x v="13"/>
    <n v="40"/>
    <s v="Test persianas 2024"/>
    <n v="3"/>
    <s v="¿Cuál es la función de un cardán en una persiana?"/>
    <s v="Ayudar a sostener el eje de la persiana."/>
    <s v="Facilitar el giro de la manivela que al enrollar la persiana."/>
    <s v="Conectar el motor de la persiana al sistema de poleas."/>
    <m/>
    <s v="b"/>
  </r>
  <r>
    <x v="1"/>
    <n v="14"/>
    <x v="13"/>
    <n v="40"/>
    <s v="Test persianas 2024"/>
    <n v="4"/>
    <s v="¿Qué problema podría indicar que una persiana motorizada se bloquee a mitad de la maniobra?"/>
    <s v="Desgaste excesivo en la cinta."/>
    <s v="Una lama desplazada."/>
    <s v="Ambas respuestas son correctas."/>
    <m/>
    <s v="c"/>
  </r>
  <r>
    <x v="1"/>
    <n v="14"/>
    <x v="13"/>
    <n v="40"/>
    <s v="Test persianas 2024"/>
    <n v="5"/>
    <s v="¿Cuál es la importancia de los topes de la persiana en el cajón de enrollamiento?"/>
    <s v="Evitar que la persiana suba demasiado."/>
    <s v="Evitar que la persiana baje demasiado."/>
    <s v="Evitar que la persiana se salga del cajón."/>
    <m/>
    <s v="a"/>
  </r>
  <r>
    <x v="1"/>
    <n v="14"/>
    <x v="13"/>
    <n v="40"/>
    <s v="Test persianas 2024"/>
    <n v="6"/>
    <s v="¿Cuándo se recomienda cambiar la cinta de una persiana manual?"/>
    <s v="Cuando se observa algún desgaste en la cinta."/>
    <s v="Solo si la cinta se rompe completamente."/>
    <s v="Siempre que se realice un mantenimiento general de la persiana."/>
    <m/>
    <s v="a"/>
  </r>
  <r>
    <x v="1"/>
    <n v="14"/>
    <x v="13"/>
    <n v="40"/>
    <s v="Test persianas 2024"/>
    <n v="7"/>
    <s v="¿Qué función cumple el variador en una persiana motorizada?"/>
    <s v="Regula la velocidad de subida y bajada de la persiana."/>
    <s v="Detiene el motor al llegar al final de la carrera."/>
    <s v="Controla la tensión de la cinta durante el enrollado."/>
    <m/>
    <s v="a"/>
  </r>
  <r>
    <x v="1"/>
    <n v="14"/>
    <x v="13"/>
    <n v="40"/>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4"/>
    <x v="13"/>
    <n v="40"/>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4"/>
    <x v="13"/>
    <n v="40"/>
    <s v="Test persianas 2024"/>
    <n v="10"/>
    <s v="¿Cuál es el propósito de las conterras en una persiana?"/>
    <s v="Ayudar a sostener las lamas de la persiana."/>
    <s v="Proteger los extremos de la persiana."/>
    <s v="Mantener el eje de la persiana en su lugar."/>
    <m/>
    <s v="c"/>
  </r>
  <r>
    <x v="1"/>
    <n v="14"/>
    <x v="13"/>
    <n v="40"/>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4"/>
    <x v="13"/>
    <n v="40"/>
    <s v="Test persianas 2024"/>
    <n v="12"/>
    <s v="¿Qué indicaría un exceso de tensión en la cinta de una persiana?"/>
    <s v="La persiana sube más rápido de lo habitual."/>
    <s v="La persiana se atasca al subir o bajar."/>
    <s v="La cinta se desenrolla involuntariamente."/>
    <m/>
    <s v="b"/>
  </r>
  <r>
    <x v="1"/>
    <n v="14"/>
    <x v="13"/>
    <n v="40"/>
    <s v="Test persianas 2024"/>
    <n v="13"/>
    <s v="¿Cuál es la función del tope motor en una persiana motorizada?"/>
    <s v="Detener el motor al final de la carrera."/>
    <s v="Regular la tensión de la cinta durante el enrollado."/>
    <s v="Controlar la velocidad de subida y bajada de la persiana."/>
    <m/>
    <s v="a"/>
  </r>
  <r>
    <x v="1"/>
    <n v="14"/>
    <x v="13"/>
    <n v="40"/>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4"/>
    <x v="13"/>
    <n v="40"/>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4"/>
    <x v="13"/>
    <n v="40"/>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4"/>
    <x v="13"/>
    <n v="40"/>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4"/>
    <x v="13"/>
    <n v="40"/>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4"/>
    <x v="13"/>
    <n v="40"/>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4"/>
    <x v="13"/>
    <n v="40"/>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4"/>
    <x v="13"/>
    <n v="40"/>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4"/>
    <x v="13"/>
    <n v="40"/>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4"/>
    <x v="13"/>
    <n v="40"/>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4"/>
    <x v="13"/>
    <n v="40"/>
    <s v="Test persianas 2024"/>
    <n v="24"/>
    <s v="La guía de una persiana:"/>
    <s v="Se instala en el suelo y guía la persiana al subirla y bajarla."/>
    <s v="Debe ser del mismo material que las lamas de la persiana."/>
    <s v="Tiene una doble función estética y funcional."/>
    <m/>
    <s v="c"/>
  </r>
  <r>
    <x v="1"/>
    <n v="14"/>
    <x v="13"/>
    <n v="40"/>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4"/>
    <x v="13"/>
    <n v="41"/>
    <s v="Test y prac persianas 22"/>
    <n v="1"/>
    <s v="En las persianas de cinta clásica, el enrollador abatible se caracteriza porque:"/>
    <s v="Es completamente exterior y visible."/>
    <s v="Se abate introduciéndose en la pared."/>
    <s v="Ninguna de las anteriores es correcta."/>
    <m/>
    <s v="a"/>
  </r>
  <r>
    <x v="1"/>
    <n v="14"/>
    <x v="13"/>
    <n v="41"/>
    <s v="Test y prac persianas 22"/>
    <n v="2"/>
    <s v="En una persiana de cinta la rotura del pasacintas generalmente puede causar:"/>
    <s v="Bloqueo de la persiana."/>
    <s v="La persiana puede subir pero no bajar."/>
    <s v="La cinta tendrá mayor degradación."/>
    <m/>
    <s v="c"/>
  </r>
  <r>
    <x v="1"/>
    <n v="14"/>
    <x v="13"/>
    <n v="41"/>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4"/>
    <x v="13"/>
    <n v="41"/>
    <s v="Test y prac persianas 22"/>
    <n v="4"/>
    <s v="Nuestra persiana motorizada se bloquea en mitad de la maniobra, a que puede ser debido"/>
    <s v="Alguna lama se ha desplazado."/>
    <s v="La guía esta obstruida."/>
    <s v="Ambas respuestas son correctas."/>
    <m/>
    <s v="c"/>
  </r>
  <r>
    <x v="1"/>
    <n v="14"/>
    <x v="13"/>
    <n v="41"/>
    <s v="Test y prac persianas 22"/>
    <n v="5"/>
    <s v="En qué parte de la persiana podemos encontrar un &quot;cardan&quot;"/>
    <s v="En las manivelas."/>
    <s v="En el eje."/>
    <s v="En las lamas."/>
    <m/>
    <s v="a"/>
  </r>
  <r>
    <x v="1"/>
    <n v="14"/>
    <x v="13"/>
    <n v="41"/>
    <s v="Test y prac persianas 22"/>
    <n v="6"/>
    <s v="Como se denomina el elemento que detiene el motor de una persiana"/>
    <s v="El final de carrera."/>
    <s v="El tope motor."/>
    <s v="El variador."/>
    <m/>
    <s v="a"/>
  </r>
  <r>
    <x v="1"/>
    <n v="14"/>
    <x v="13"/>
    <n v="41"/>
    <s v="Test y prac persianas 22"/>
    <n v="7"/>
    <s v="Cuando tenemos mayor tensión en el resorte del recogedor de cinta de una persiana"/>
    <s v="Con la persiana subida."/>
    <s v="Con la persiana bajada."/>
    <s v="Con la persiana a mitad."/>
    <m/>
    <s v="b"/>
  </r>
  <r>
    <x v="1"/>
    <n v="14"/>
    <x v="13"/>
    <n v="41"/>
    <s v="Test y prac persianas 22"/>
    <n v="8"/>
    <s v="¿Cuándo tenemos mayor tensión en la cinta de una persiana?"/>
    <s v="Con la persiana subida."/>
    <s v="Con la persiana bajada."/>
    <s v="Con la persiana a mitad."/>
    <m/>
    <s v="c"/>
  </r>
  <r>
    <x v="1"/>
    <n v="14"/>
    <x v="13"/>
    <n v="41"/>
    <s v="Test y prac persianas 22"/>
    <n v="9"/>
    <s v="En una persiana la contera sirve para…"/>
    <s v="Proteger los laterales de las lamas."/>
    <s v="Unir el eje con el soporte de rodamiento."/>
    <s v="Ayudar a sujetar la persiana."/>
    <m/>
    <s v="b"/>
  </r>
  <r>
    <x v="1"/>
    <n v="14"/>
    <x v="13"/>
    <n v="41"/>
    <s v="Test y prac persianas 22"/>
    <n v="10"/>
    <s v="En una persiana de cinta la polea…"/>
    <s v="Se sitúa alineada con el eje de la persiana."/>
    <s v="Tiene que tener un tamaño capaz de recoger toda la cinta."/>
    <s v="Ambas respuestas son correctas."/>
    <m/>
    <s v="c"/>
  </r>
  <r>
    <x v="1"/>
    <n v="14"/>
    <x v="13"/>
    <n v="41"/>
    <s v="Test y prac persianas 22"/>
    <n v="11"/>
    <s v="Una persiana con la cinta desgastada"/>
    <s v="Es un peligro pues puede dar un latigazo con la cinta si se rompe."/>
    <s v="Es un peligro pues la persiana puede caer a plomo si la cinta se rompe."/>
    <s v="Ambas respuestas son correctas."/>
    <m/>
    <s v="b"/>
  </r>
  <r>
    <x v="1"/>
    <n v="14"/>
    <x v="13"/>
    <n v="41"/>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4"/>
    <x v="13"/>
    <n v="41"/>
    <s v="Test y prac persianas 22"/>
    <n v="13"/>
    <s v="A la hora de cambiar la cinta de una persiana manual. El fleje del recogedor…"/>
    <s v="No será necesario tensarlo en ningún momento."/>
    <s v="Necesitaré tensarlo para quitar la cinta vieja."/>
    <s v="Lo tensaré para colocar la cinta nueva."/>
    <m/>
    <s v="c"/>
  </r>
  <r>
    <x v="1"/>
    <n v="14"/>
    <x v="13"/>
    <n v="42"/>
    <s v="Cuestionario persianas 1"/>
    <n v="1"/>
    <s v="Las persianas se colocan:"/>
    <s v="ventanas"/>
    <s v="puertas"/>
    <s v="balcones"/>
    <s v="todas las respuestas anteriores son correctas"/>
    <s v="d"/>
  </r>
  <r>
    <x v="1"/>
    <n v="14"/>
    <x v="13"/>
    <n v="42"/>
    <s v="Cuestionario persianas 1"/>
    <n v="2"/>
    <s v="La persiana veneciana:"/>
    <s v="tiene tiras verticales de material plástico"/>
    <s v="No se puede orientar sus laminas"/>
    <s v="Se puede regular en altura"/>
    <s v="No podemos modificar medidas"/>
    <s v="c"/>
  </r>
  <r>
    <x v="1"/>
    <n v="14"/>
    <x v="13"/>
    <n v="42"/>
    <s v="Cuestionario persianas 1"/>
    <n v="3"/>
    <s v="La mejor manera de limpiar una persiana veneciana es:"/>
    <s v="Con un trapo"/>
    <s v="Con un plumero"/>
    <s v="No se limpian"/>
    <s v="Es indiferente el método que usemos"/>
    <s v="b"/>
  </r>
  <r>
    <x v="1"/>
    <n v="14"/>
    <x v="13"/>
    <n v="42"/>
    <s v="Cuestionario persianas 1"/>
    <n v="4"/>
    <s v="Cuando la persiana veneciana es muy larga:"/>
    <s v="Podemos cortar la cuerda"/>
    <s v="Quitaremos los bloqueos inferiores y cortaremos cuerda"/>
    <s v="No se puede cortar"/>
    <s v="Este trabajo requiere de un especialista"/>
    <s v="b"/>
  </r>
  <r>
    <x v="1"/>
    <n v="14"/>
    <x v="13"/>
    <n v="42"/>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4"/>
    <x v="13"/>
    <n v="42"/>
    <s v="Cuestionario persianas 1"/>
    <n v="6"/>
    <s v="Persianas con laminas verticales:"/>
    <s v="El sistema de suspensión es análogo al enrollable"/>
    <s v="El sistema de suspensión es distinto al enrollable"/>
    <s v="No tiene sistema de suspensión"/>
    <s v="Ninguna de las anteriores es correcta"/>
    <s v="b"/>
  </r>
  <r>
    <x v="1"/>
    <n v="14"/>
    <x v="13"/>
    <n v="42"/>
    <s v="Cuestionario persianas 1"/>
    <n v="7"/>
    <s v="¿Que producto no emplearemos para limpiar una persiana de aluminio?"/>
    <s v="hipoclorito sódico al 10%"/>
    <s v="agua"/>
    <s v="agua jabonosa"/>
    <s v="amoniaco"/>
    <s v="a"/>
  </r>
  <r>
    <x v="1"/>
    <n v="14"/>
    <x v="13"/>
    <n v="42"/>
    <s v="Cuestionario persianas 1"/>
    <n v="8"/>
    <s v="Cada cuanto tiempo revisaremos el estado de las cintas"/>
    <s v="cada cuatro años"/>
    <s v="cada tres años"/>
    <s v="cada año"/>
    <s v="cada seis meses"/>
    <s v="c"/>
  </r>
  <r>
    <x v="1"/>
    <n v="14"/>
    <x v="13"/>
    <n v="42"/>
    <s v="Cuestionario persianas 1"/>
    <n v="9"/>
    <s v="¿Como se llama la parte que cierra el eje en las persianas enrollables?"/>
    <s v="capialzado"/>
    <s v="tope"/>
    <s v="contera"/>
    <s v="guia cintas"/>
    <s v="c"/>
  </r>
  <r>
    <x v="1"/>
    <n v="14"/>
    <x v="13"/>
    <n v="42"/>
    <s v="Cuestionario persianas 1"/>
    <n v="10"/>
    <s v="La tapa que cierra a las persianas enrollables se llama:"/>
    <s v="Contera"/>
    <s v="Capialzado"/>
    <s v="Tapete"/>
    <s v="Cubierta"/>
    <s v="b"/>
  </r>
  <r>
    <x v="1"/>
    <n v="14"/>
    <x v="13"/>
    <n v="42"/>
    <s v="Cuestionario persianas 1"/>
    <n v="11"/>
    <s v="Para reparar una lama de la persiana lo primero que tenemos que hacer es:"/>
    <s v="Sacar la persiana"/>
    <s v="Destornillar la caja de la cinta"/>
    <s v="cambiar la lama"/>
    <s v="Quitar los topes y destornillar el capialzado"/>
    <s v="d"/>
  </r>
  <r>
    <x v="1"/>
    <n v="14"/>
    <x v="13"/>
    <n v="42"/>
    <s v="Cuestionario persianas 1"/>
    <n v="12"/>
    <s v="Cuando queremos sustituir la cinta en una persiana enrollable deberemos tener las lamas."/>
    <s v="En la parte inferior"/>
    <s v="En la parte superior"/>
    <s v="En la parte central de la ventana"/>
    <s v="es indiferente"/>
    <s v="b"/>
  </r>
  <r>
    <x v="1"/>
    <n v="14"/>
    <x v="13"/>
    <n v="42"/>
    <s v="Cuestionario persianas 1"/>
    <n v="13"/>
    <s v="Para introducir las lamas por la guia deberán estar:"/>
    <s v="Alineadas"/>
    <s v="Las primeras lamas hacia la derecha"/>
    <s v="Las primeras lamas hacia la izquierda"/>
    <s v="Alternativamente a derechas e izquierdas"/>
    <s v="a"/>
  </r>
  <r>
    <x v="1"/>
    <n v="14"/>
    <x v="13"/>
    <n v="42"/>
    <s v="Cuestionario persianas 1"/>
    <n v="14"/>
    <s v="En persianas enrollables cuando las lamas están en la parte inferior la mayor parte de la cinta esta:"/>
    <s v="En el resorte"/>
    <m/>
    <m/>
    <m/>
    <s v="b"/>
  </r>
  <r>
    <x v="1"/>
    <n v="14"/>
    <x v="13"/>
    <n v="42"/>
    <s v="Cuestionario persianas 1"/>
    <n v="15"/>
    <s v="En la persiana alicantina la sujetaremos a la pared por medio:"/>
    <s v="Alcayatas y ojillos"/>
    <s v="Guías adosadas a la pared"/>
    <s v="Encarcelada con mortero"/>
    <s v="Ninguna de las afirmaciones anteriores es correcta"/>
    <s v="a"/>
  </r>
  <r>
    <x v="1"/>
    <n v="14"/>
    <x v="13"/>
    <n v="42"/>
    <s v="Cuestionario persianas 1"/>
    <n v="16"/>
    <s v="Cuando una persiana alicantina esté arrollada en la parte superior de la ventana la cuerda estará:"/>
    <s v="Extendida"/>
    <s v="Recogida"/>
    <s v="En la mitad"/>
    <s v="En las persianas alicantinas no hay cuerda"/>
    <s v="a"/>
  </r>
  <r>
    <x v="1"/>
    <n v="14"/>
    <x v="13"/>
    <n v="42"/>
    <s v="Cuestionario persianas 1"/>
    <n v="17"/>
    <s v="Las mosquiteras pueden ser:"/>
    <s v="Horizontales"/>
    <s v="Verticales"/>
    <s v="Horizontales y verticales"/>
    <s v="Ninguna de las anteriores"/>
    <s v="c"/>
  </r>
  <r>
    <x v="1"/>
    <n v="14"/>
    <x v="13"/>
    <n v="42"/>
    <s v="Cuestionario persianas 1"/>
    <n v="18"/>
    <s v="Las revoluciones de un motor de persiana:"/>
    <s v="Suelen ser bastantes para recogerla en el menor tiempo posible"/>
    <s v="Varían desde 100 a 150 rpm"/>
    <s v="Son pocas varían desde 9 a 50 rpm"/>
    <s v="Es indiferente el número de revoluciones"/>
    <s v="c"/>
  </r>
  <r>
    <x v="1"/>
    <n v="14"/>
    <x v="13"/>
    <n v="42"/>
    <s v="Cuestionario persianas 1"/>
    <n v="19"/>
    <s v="Con un control motorizado de persiana:"/>
    <s v="Solamente sirve para subir o bajar"/>
    <s v="Se puede orientar en las persianas venecianas"/>
    <s v="Es muy difícil instalarlo en las persianas existentes"/>
    <s v="No se puede instalar"/>
    <s v="b"/>
  </r>
  <r>
    <x v="1"/>
    <n v="14"/>
    <x v="13"/>
    <n v="42"/>
    <s v="Cuestionario persianas 1"/>
    <n v="20"/>
    <s v="¿Como se llama el recoge cintas eléctrico de persiana ?"/>
    <s v="Recoge cintas"/>
    <s v="Rollotron"/>
    <s v="Recogedor"/>
    <s v="Cintero"/>
    <s v="b"/>
  </r>
  <r>
    <x v="1"/>
    <n v="14"/>
    <x v="13"/>
    <n v="42"/>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4"/>
    <x v="13"/>
    <n v="42"/>
    <s v="Cuestionario persianas 1"/>
    <n v="22"/>
    <s v="Para cortar las laminas de aluminio en una persiana veneciana utilizaremos:"/>
    <s v="Mini sierra para metales"/>
    <s v="Sierra para metales"/>
    <s v="Corta laminas"/>
    <s v="Lima"/>
    <s v="c"/>
  </r>
  <r>
    <x v="1"/>
    <n v="14"/>
    <x v="13"/>
    <n v="42"/>
    <s v="Cuestionario persianas 1"/>
    <n v="23"/>
    <s v="En cual de estas persianas existe un mecanismo que permite orientar y regular las laminas:"/>
    <s v="Venecianas"/>
    <s v="Enrollables"/>
    <s v="Alicantina"/>
    <s v="Cortinillas"/>
    <s v="a"/>
  </r>
  <r>
    <x v="1"/>
    <n v="14"/>
    <x v="13"/>
    <n v="42"/>
    <s v="Cuestionario persianas 1"/>
    <n v="24"/>
    <s v="Para cortar una persiana veneciana de madera utilizaremos:"/>
    <s v="Solamente el serrucho"/>
    <s v="Una cinta adhesiva"/>
    <s v="Serrucho y cinta adhesiva"/>
    <s v="Corta laminas"/>
    <s v="c"/>
  </r>
  <r>
    <x v="1"/>
    <n v="14"/>
    <x v="13"/>
    <n v="42"/>
    <s v="Cuestionario persianas 1"/>
    <n v="25"/>
    <s v="La función de las persianas es:"/>
    <s v="Regular el paso de luz"/>
    <s v="Mantener la temperatura"/>
    <s v="Mantener intactos nuestros cristales"/>
    <s v="Las respuestas a, b y c son correctas"/>
    <s v="d"/>
  </r>
  <r>
    <x v="1"/>
    <n v="14"/>
    <x v="13"/>
    <n v="43"/>
    <s v="Cuestionario persianas 2"/>
    <n v="1"/>
    <s v="Un material termoplástico que se puede reciclar es:"/>
    <s v="PVC"/>
    <s v="Aluminio"/>
    <s v="Madera"/>
    <m/>
    <s v="a"/>
  </r>
  <r>
    <x v="1"/>
    <n v="14"/>
    <x v="13"/>
    <n v="43"/>
    <s v="Cuestionario persianas 2"/>
    <n v="2"/>
    <s v="El anodinado del aluminio consiste en:"/>
    <s v="La pulverización sobre el material"/>
    <s v="Someter las piezas a un baño electrolítico"/>
    <s v="Es sinónimo de extrusión"/>
    <m/>
    <s v="b"/>
  </r>
  <r>
    <x v="1"/>
    <n v="14"/>
    <x v="13"/>
    <n v="43"/>
    <s v="Cuestionario persianas 2"/>
    <n v="3"/>
    <s v="Diga cual de las funciones enumeradas de las persianas es falsa:"/>
    <s v="Nos resguardan del viento"/>
    <s v="Proporciona seguridad"/>
    <s v="No reduce el ruido"/>
    <m/>
    <s v="c"/>
  </r>
  <r>
    <x v="1"/>
    <n v="14"/>
    <x v="13"/>
    <n v="43"/>
    <s v="Cuestionario persianas 2"/>
    <n v="4"/>
    <s v="Para realizar una ventilación eficaz:"/>
    <s v="Abriremos dos ventanas en paredes opuestas"/>
    <s v="Dejaremos un resquicio en la persiana"/>
    <s v="Abriremos dos ventanas en diagonal en paredes opuestas"/>
    <m/>
    <s v="c"/>
  </r>
  <r>
    <x v="1"/>
    <n v="14"/>
    <x v="13"/>
    <n v="43"/>
    <s v="Cuestionario persianas 2"/>
    <n v="5"/>
    <s v="Las pérdidas de calor en viviendas a través de las ventanas y persianas es:"/>
    <s v="15 %"/>
    <s v="37 %"/>
    <s v="13 %"/>
    <m/>
    <s v="b"/>
  </r>
  <r>
    <x v="1"/>
    <n v="14"/>
    <x v="13"/>
    <n v="43"/>
    <s v="Cuestionario persianas 2"/>
    <n v="6"/>
    <s v="La norma UNE 85-224-86 se refiere a:"/>
    <s v="Persianas para ventanas"/>
    <s v="Se refiere a parasoles"/>
    <s v="Protecciones exteriores"/>
    <m/>
    <s v="a"/>
  </r>
  <r>
    <x v="1"/>
    <n v="14"/>
    <x v="13"/>
    <n v="43"/>
    <s v="Cuestionario persianas 2"/>
    <n v="7"/>
    <s v="Una persiana interior:"/>
    <s v="Aquella cuyo paño queda en el exterior del edificio"/>
    <s v="Aquella cuyo paño esta situado entre dos hojas de vidrio"/>
    <s v="El paño de la persiana esta situado en el interior"/>
    <m/>
    <s v="c"/>
  </r>
  <r>
    <x v="1"/>
    <n v="14"/>
    <x v="13"/>
    <n v="43"/>
    <s v="Cuestionario persianas 2"/>
    <n v="8"/>
    <s v="Las dimensiones de la persiana se especifican:"/>
    <s v="Ancho por alto"/>
    <s v="Ancho de fondo a fondo por alto"/>
    <s v="Ancho de fondo a fondo de canal, indicando además el ancho y la profundidad de este por alto"/>
    <m/>
    <s v="c"/>
  </r>
  <r>
    <x v="1"/>
    <n v="14"/>
    <x v="13"/>
    <n v="43"/>
    <s v="Cuestionario persianas 2"/>
    <n v="9"/>
    <s v="La persiana mallorquina también recibe el nombre de:"/>
    <s v="Americana"/>
    <s v="Librillo"/>
    <s v="De protección solar"/>
    <m/>
    <s v="b"/>
  </r>
  <r>
    <x v="1"/>
    <n v="14"/>
    <x v="13"/>
    <n v="43"/>
    <s v="Cuestionario persianas 2"/>
    <n v="10"/>
    <s v="La persiana verde entre otras denominaciones se llama:"/>
    <s v="De cadenilla"/>
    <s v="De protección solar"/>
    <s v="Veneciana"/>
    <m/>
    <s v="a"/>
  </r>
  <r>
    <x v="1"/>
    <n v="14"/>
    <x v="13"/>
    <n v="43"/>
    <s v="Cuestionario persianas 2"/>
    <n v="11"/>
    <s v="La persiana que puede tener palas fijas o articuladas es:"/>
    <s v="Mallorquina"/>
    <s v="Alicantina"/>
    <s v="Plisada"/>
    <m/>
    <s v="a"/>
  </r>
  <r>
    <x v="1"/>
    <n v="14"/>
    <x v="13"/>
    <n v="43"/>
    <s v="Cuestionario persianas 2"/>
    <n v="13"/>
    <s v="Las formas de elevar una persiana enrollable es:"/>
    <s v="Mediante cinta y mediante motor"/>
    <s v="Mediante manivela o torno y mediante cardan"/>
    <s v="Ambas son correctas"/>
    <m/>
    <s v="c"/>
  </r>
  <r>
    <x v="1"/>
    <n v="14"/>
    <x v="13"/>
    <n v="43"/>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4"/>
    <x v="13"/>
    <n v="43"/>
    <s v="Cuestionario persianas 2"/>
    <n v="15"/>
    <s v="El cajón registro de la persiana recibe también el nombre de:"/>
    <s v="Contera"/>
    <s v="Capialzado"/>
    <s v="Compacto"/>
    <m/>
    <s v="b"/>
  </r>
  <r>
    <x v="1"/>
    <n v="14"/>
    <x v="13"/>
    <n v="43"/>
    <s v="Cuestionario persianas 2"/>
    <n v="16"/>
    <s v="Que parte de la persiana de madera no tiene juego entre sus lamas:"/>
    <s v="1/3"/>
    <s v="1/2"/>
    <s v="Todas las lamas tienen juego"/>
    <m/>
    <s v="a"/>
  </r>
  <r>
    <x v="1"/>
    <n v="14"/>
    <x v="13"/>
    <n v="43"/>
    <s v="Cuestionario persianas 2"/>
    <n v="17"/>
    <s v="Cuantas vueltas dará a la polea con la cinta antes de apoyar el eje en sus soportes en una persiana de ventana:"/>
    <s v="5"/>
    <s v="4"/>
    <s v="3"/>
    <m/>
    <s v="a"/>
  </r>
  <r>
    <x v="1"/>
    <n v="14"/>
    <x v="13"/>
    <n v="43"/>
    <s v="Cuestionario persianas 2"/>
    <n v="18"/>
    <s v="En relación con la pregunta anterior en que sentido:"/>
    <s v="Para persianas de exterior hacia fuera"/>
    <s v="Para persianas de interior hacia dentro"/>
    <s v="Para persianas de interior hacia fuera"/>
    <m/>
    <s v="c"/>
  </r>
  <r>
    <x v="1"/>
    <n v="14"/>
    <x v="13"/>
    <n v="43"/>
    <s v="Cuestionario persianas 2"/>
    <n v="19"/>
    <s v="Los topes de una persiana de madera suelen ser:"/>
    <s v="De madera"/>
    <s v="De PVC"/>
    <s v="De hierro"/>
    <m/>
    <s v="c"/>
  </r>
  <r>
    <x v="1"/>
    <n v="14"/>
    <x v="13"/>
    <n v="43"/>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4"/>
    <x v="13"/>
    <n v="43"/>
    <s v="Cuestionario persianas 2"/>
    <n v="21"/>
    <s v="Cual de estos materiales poseen mayor coeficiente de transmisión de calor:"/>
    <s v="Aluminio"/>
    <s v="PVC"/>
    <s v="Madera"/>
    <m/>
    <s v="a"/>
  </r>
  <r>
    <x v="1"/>
    <n v="14"/>
    <x v="13"/>
    <n v="43"/>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4"/>
    <x v="13"/>
    <n v="43"/>
    <s v="Cuestionario persianas 2"/>
    <n v="23"/>
    <s v="Que otro nombre recibe la peana de una ventana:"/>
    <s v="Jamba"/>
    <s v="Alfeizar"/>
    <s v="Dintel"/>
    <m/>
    <s v="b"/>
  </r>
  <r>
    <x v="1"/>
    <n v="14"/>
    <x v="13"/>
    <n v="43"/>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4"/>
    <x v="13"/>
    <n v="43"/>
    <s v="Cuestionario persianas 2"/>
    <n v="25"/>
    <s v="Para solucionar el arqueo en las persianas de PVC recurriremos a:"/>
    <s v="Instalar rodillo separador"/>
    <s v="Colocar cada cinco lamas de PVC una de ellas con alma de aluminio"/>
    <s v="Son correctas a) y b)"/>
    <m/>
    <s v="c"/>
  </r>
  <r>
    <x v="1"/>
    <n v="14"/>
    <x v="13"/>
    <n v="44"/>
    <s v="Cuestionario persianas 3"/>
    <n v="1"/>
    <s v="La longitud de la cinta en la persiana de una ventana es:"/>
    <s v="4,5 metros"/>
    <s v="3 metros"/>
    <s v="2 metros"/>
    <m/>
    <s v="b"/>
  </r>
  <r>
    <x v="1"/>
    <n v="14"/>
    <x v="13"/>
    <n v="44"/>
    <s v="Cuestionario persianas 3"/>
    <n v="2"/>
    <s v="La distancia que tengo que cortar una lama de PVC es:"/>
    <s v="La medida interior entre guías de la persiana más 1 cm."/>
    <s v="La medida exterior entre guías menos 1 cm."/>
    <s v="La medida interior más 22 mm."/>
    <m/>
    <s v="b"/>
  </r>
  <r>
    <x v="1"/>
    <n v="14"/>
    <x v="13"/>
    <n v="44"/>
    <s v="Cuestionario persianas 3"/>
    <n v="3"/>
    <s v="Voy a colocar una persiana que tiene el cajón de obra, utilizaré:"/>
    <s v="Una cinta pequeña"/>
    <s v="Una cinta stil"/>
    <s v="Una cinta grande"/>
    <m/>
    <s v="c"/>
  </r>
  <r>
    <x v="1"/>
    <n v="14"/>
    <x v="13"/>
    <n v="44"/>
    <s v="Cuestionario persianas 3"/>
    <n v="4"/>
    <s v="La cinta llamada stil:"/>
    <s v="Es una cinta grande"/>
    <s v="Es una cinta pequeña"/>
    <s v="Es una cuerda"/>
    <m/>
    <s v="b"/>
  </r>
  <r>
    <x v="1"/>
    <n v="14"/>
    <x v="13"/>
    <n v="44"/>
    <s v="Cuestionario persianas 3"/>
    <n v="5"/>
    <s v="La guía de embutir colocada en las guías de las persianas de aluminio sirve:"/>
    <s v="Solamente para evitar el frío"/>
    <s v="Para evitar ruidos"/>
    <s v="Para evitar ruidos y frío"/>
    <m/>
    <s v="c"/>
  </r>
  <r>
    <x v="1"/>
    <n v="14"/>
    <x v="13"/>
    <n v="44"/>
    <s v="Cuestionario persianas 3"/>
    <n v="6"/>
    <s v="Tengo que cortar las lamas de una persiana de aluminio y me dicen que entre guías la distancia es de 800 mm. ¿A cuanto cortarán las lamas?:"/>
    <s v="800 mm."/>
    <s v="790 mm."/>
    <s v="822 mm."/>
    <m/>
    <s v="b"/>
  </r>
  <r>
    <x v="1"/>
    <n v="14"/>
    <x v="13"/>
    <n v="44"/>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4"/>
    <x v="13"/>
    <n v="44"/>
    <s v="Cuestionario persianas 3"/>
    <n v="8"/>
    <s v="Tengo una ventana de aluminio en mi casa que no tiene persiana y con el tiempo decido ponerla, para ello deberé entre otras cosas:"/>
    <s v="Colocar un cajón de obra"/>
    <s v="Colocar una cinta grande"/>
    <s v="Colocar una cinta stil"/>
    <m/>
    <s v="c"/>
  </r>
  <r>
    <x v="1"/>
    <n v="14"/>
    <x v="13"/>
    <n v="44"/>
    <s v="Cuestionario persianas 3"/>
    <n v="9"/>
    <s v="El eje de las persianas enrollables, normalmente es un hexágono cuyo diámetro es de:"/>
    <s v="55 mm"/>
    <s v="65 mm"/>
    <s v="60 mm"/>
    <m/>
    <s v="c"/>
  </r>
  <r>
    <x v="1"/>
    <n v="14"/>
    <x v="13"/>
    <n v="44"/>
    <s v="Cuestionario persianas 3"/>
    <n v="10"/>
    <s v="En las persianas monoblock el eje hexagonal tiene un diámetro de:"/>
    <s v="45 mm"/>
    <s v="60 mm"/>
    <s v="50 mm"/>
    <m/>
    <s v="a"/>
  </r>
  <r>
    <x v="1"/>
    <n v="14"/>
    <x v="13"/>
    <n v="44"/>
    <s v="Cuestionario persianas 3"/>
    <n v="11"/>
    <s v="La función del burlete es:"/>
    <s v="Que no se produzcan ruidos"/>
    <s v="Facilitar la bajada y subida de la persiana"/>
    <s v="Bloquear la persiana"/>
    <m/>
    <s v="a"/>
  </r>
  <r>
    <x v="1"/>
    <n v="14"/>
    <x v="13"/>
    <n v="44"/>
    <s v="Cuestionario persianas 3"/>
    <n v="12"/>
    <s v="Tengo una cinta de persiana que mide 5 metros:"/>
    <s v="Podré colocar una persiana en una ventana"/>
    <s v="Podré colocar una persiana en una puerta"/>
    <s v="Podré colocar una persiana en una puerta y una ventana"/>
    <m/>
    <s v="a"/>
  </r>
  <r>
    <x v="1"/>
    <n v="14"/>
    <x v="13"/>
    <n v="44"/>
    <s v="Cuestionario persianas 3"/>
    <n v="13"/>
    <s v="Las persianas de celosía:"/>
    <s v="permiten un oscurecimiento total"/>
    <s v="Puede ser abatible"/>
    <s v="Se puede enrollar"/>
    <m/>
    <s v="b"/>
  </r>
  <r>
    <x v="1"/>
    <n v="14"/>
    <x v="13"/>
    <n v="44"/>
    <s v="Cuestionario persianas 3"/>
    <n v="14"/>
    <s v="Las persianas enrollables:"/>
    <s v="Permiten un oscurecimiento total"/>
    <s v="Pueden ser abatibles"/>
    <s v="Solamente permiten un accionamiento manual"/>
    <m/>
    <s v="a"/>
  </r>
  <r>
    <x v="1"/>
    <n v="14"/>
    <x v="13"/>
    <n v="44"/>
    <s v="Cuestionario persianas 3"/>
    <n v="15"/>
    <s v="El tirante metálico en una persiana enrollable:"/>
    <s v="Sustituye a la cinta para enganchar al eje de la persiana"/>
    <s v="Solamente se ponen dos"/>
    <s v="Es metálico muy grueso"/>
    <m/>
    <s v="a"/>
  </r>
  <r>
    <x v="1"/>
    <n v="14"/>
    <x v="13"/>
    <n v="44"/>
    <s v="Cuestionario persianas 3"/>
    <n v="16"/>
    <s v="El capialzado es:"/>
    <s v="Una tapa"/>
    <s v="El conjunto donde se recoge la persiana"/>
    <s v="La guía de salida de la persiana"/>
    <m/>
    <s v="b"/>
  </r>
  <r>
    <x v="1"/>
    <n v="14"/>
    <x v="13"/>
    <n v="44"/>
    <s v="Cuestionario persianas 3"/>
    <n v="17"/>
    <s v="La persiana de celosía:"/>
    <s v="Se recoge con cintas"/>
    <s v="Va encastrada en un bastidor"/>
    <s v="No se puede graduar la luz"/>
    <m/>
    <s v="b"/>
  </r>
  <r>
    <x v="1"/>
    <n v="14"/>
    <x v="13"/>
    <n v="44"/>
    <s v="Cuestionario persianas 3"/>
    <n v="18"/>
    <s v="El sensor solar o crepuscular se instalará:"/>
    <s v="Uno por persiana"/>
    <s v="Uno para varias persianas"/>
    <s v="Es indiferente"/>
    <m/>
    <s v="a"/>
  </r>
  <r>
    <x v="1"/>
    <n v="14"/>
    <x v="13"/>
    <n v="44"/>
    <s v="Cuestionario persianas 3"/>
    <n v="19"/>
    <s v="La tapa de los recogedores de cinta puede ser:"/>
    <s v="Solamente planas"/>
    <s v="Solamente curvas"/>
    <s v="Las curvas las pondremos en paredes estrechas"/>
    <m/>
    <s v="c"/>
  </r>
  <r>
    <x v="1"/>
    <n v="14"/>
    <x v="13"/>
    <n v="44"/>
    <s v="Cuestionario persianas 3"/>
    <n v="20"/>
    <s v="En una persiana con motor el movimiento se realiza mediante:"/>
    <s v="Un soporte con rodamientos"/>
    <s v="Una corona de tracción"/>
    <s v="Mediante el eje"/>
    <m/>
    <s v="b"/>
  </r>
  <r>
    <x v="1"/>
    <n v="14"/>
    <x v="13"/>
    <n v="44"/>
    <s v="Cuestionario persianas 3"/>
    <n v="21"/>
    <s v="Los soportes donde se apoyan los ejes de las conteras de las persianas puede ser:"/>
    <s v="Fijos"/>
    <s v="Con rodamientos"/>
    <s v="Con rodamientos o fijos"/>
    <m/>
    <s v="c"/>
  </r>
  <r>
    <x v="1"/>
    <n v="14"/>
    <x v="13"/>
    <n v="44"/>
    <s v="Cuestionario persianas 3"/>
    <n v="22"/>
    <s v="La persiana alicantina la podemos cortar con tronzadora o serrucho:"/>
    <s v="Enrollándola"/>
    <s v="Desenrollándola"/>
    <s v="La respuesta a y fijándola con cinta"/>
    <m/>
    <s v="c"/>
  </r>
  <r>
    <x v="1"/>
    <n v="14"/>
    <x v="13"/>
    <n v="44"/>
    <s v="Cuestionario persianas 3"/>
    <n v="23"/>
    <s v="Los tornillos que fijan la cinta de la persiana sobre el eje:"/>
    <s v="Tienen toda la longitud roscada"/>
    <s v="Tienen toda la longitud lisa"/>
    <s v="Tienen parte de la longitud roscada"/>
    <m/>
    <s v="c"/>
  </r>
  <r>
    <x v="1"/>
    <n v="14"/>
    <x v="13"/>
    <n v="44"/>
    <s v="Cuestionario persianas 3"/>
    <n v="24"/>
    <s v="Cuando sujetamos la cinta al eje mediante los tornillos de fijación:"/>
    <s v="Deberemos de darle una vuelta al eje con la cinta"/>
    <s v="Deberemos de darle varias vueltas con la cinta"/>
    <s v="No hay que darle vueltas a la cinta"/>
    <m/>
    <s v="b"/>
  </r>
  <r>
    <x v="1"/>
    <n v="14"/>
    <x v="13"/>
    <n v="44"/>
    <s v="Cuestionario persianas 3"/>
    <n v="25"/>
    <s v="El tirante metálico se introduce en las ranuras del eje metálico:"/>
    <s v="Por presión"/>
    <s v="Girando"/>
    <s v="Estrechándolo"/>
    <m/>
    <s v="c"/>
  </r>
  <r>
    <x v="1"/>
    <n v="19"/>
    <x v="7"/>
    <n v="45"/>
    <s v="Test doc admon"/>
    <n v="1"/>
    <s v="Los documentos administrativos denominados &quot;de transmisión&quot; se definen por:"/>
    <s v="Acreditar hechos o actos jurídicos."/>
    <s v="Comunicar la existencia de actos o hechos."/>
    <s v="Emitir valoraciones técnicas."/>
    <m/>
    <s v="b"/>
  </r>
  <r>
    <x v="1"/>
    <n v="19"/>
    <x v="7"/>
    <n v="45"/>
    <s v="Test doc admon"/>
    <n v="2"/>
    <s v="Cuando emisor y destinatario pertenecen a distintas Administraciones Públicas, el documento de transmisión se considera:"/>
    <s v="Interno."/>
    <s v="Externo."/>
    <s v="De constancia."/>
    <m/>
    <s v="b"/>
  </r>
  <r>
    <x v="1"/>
    <n v="19"/>
    <x v="7"/>
    <n v="45"/>
    <s v="Test doc admon"/>
    <n v="3"/>
    <s v="¿Cuál de los siguientes documentos sirve para poner en conocimiento de los ciudadanos hechos o circunstancias de un procedimiento administrativo?"/>
    <s v="Notificación."/>
    <s v="Publicación."/>
    <s v="Comunicación."/>
    <m/>
    <s v="c"/>
  </r>
  <r>
    <x v="1"/>
    <n v="19"/>
    <x v="7"/>
    <n v="45"/>
    <s v="Test doc admon"/>
    <n v="4"/>
    <s v="Los documentos administrativos &quot;de constancia&quot; tienen como finalidad principal:"/>
    <s v="Acreditar actos, hechos o efectos."/>
    <s v="Asesorar a órganos administrativos."/>
    <s v="Comunicar actos administrativos."/>
    <m/>
    <s v="a"/>
  </r>
  <r>
    <x v="1"/>
    <n v="19"/>
    <x v="7"/>
    <n v="45"/>
    <s v="Test doc admon"/>
    <n v="5"/>
    <s v="¿Qué documento acredita hechos, juicios o acuerdos, como los de reuniones de órganos colegiados?"/>
    <s v="Certificado."/>
    <s v="Comunicación."/>
    <s v="Acta."/>
    <m/>
    <s v="c"/>
  </r>
  <r>
    <x v="1"/>
    <n v="19"/>
    <x v="7"/>
    <n v="45"/>
    <s v="Test doc admon"/>
    <n v="6"/>
    <s v="Un certificado tiene como función:"/>
    <s v="Declarar la voluntad administrativa."/>
    <s v="Dar fe de un hecho o del contenido de un documento."/>
    <s v="Emitir valoraciones técnicas."/>
    <m/>
    <s v="b"/>
  </r>
  <r>
    <x v="1"/>
    <n v="19"/>
    <x v="7"/>
    <n v="45"/>
    <s v="Test doc admon"/>
    <n v="7"/>
    <s v="¿Cómo se denomina generalmente a los documentos administrativos &quot;de juicio&quot;?"/>
    <s v="Certificados."/>
    <s v="Actas."/>
    <s v="Informes."/>
    <m/>
    <s v="c"/>
  </r>
  <r>
    <x v="1"/>
    <n v="19"/>
    <x v="7"/>
    <n v="45"/>
    <s v="Test doc admon"/>
    <n v="8"/>
    <s v="¿Qué tipo de documento comunica al interesado información que afecta a sus derechos o intereses, sin constituir una resolución?"/>
    <s v="Acta."/>
    <s v="Notificación."/>
    <s v="Certificado."/>
    <m/>
    <s v="b"/>
  </r>
  <r>
    <x v="1"/>
    <n v="19"/>
    <x v="7"/>
    <n v="45"/>
    <s v="Test doc admon"/>
    <n v="9"/>
    <s v="Un informe facultativo implica que:"/>
    <s v="Obliga a la Administración a seguir su contenido."/>
    <s v="Siempre debe ser emitido por otra Administración."/>
    <s v="No es obligatorio solicitarlo."/>
    <m/>
    <s v="c"/>
  </r>
  <r>
    <x v="1"/>
    <n v="19"/>
    <x v="7"/>
    <n v="45"/>
    <s v="Test doc admon"/>
    <n v="10"/>
    <s v="Los informes vinculantes se diferencian de los no vinculantes porque:"/>
    <s v="Son siempre internos."/>
    <s v="Contienen elementos técnicos."/>
    <s v="Obligan al órgano administrativo a resolver conforme a su contenido."/>
    <m/>
    <s v="c"/>
  </r>
  <r>
    <x v="1"/>
    <n v="19"/>
    <x v="7"/>
    <n v="45"/>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9"/>
    <x v="7"/>
    <n v="45"/>
    <s v="Test doc admon"/>
    <n v="12"/>
    <s v="En procedimientos iniciados a solicitud del interesado, la notificación se practica:"/>
    <s v="Siempre en papel."/>
    <s v="Por el medio señalado por el interesado, salvo obligación de relación electrónica."/>
    <s v="Solo mediante sede electrónica."/>
    <m/>
    <s v="b"/>
  </r>
  <r>
    <x v="1"/>
    <n v="19"/>
    <x v="7"/>
    <n v="45"/>
    <s v="Test doc admon"/>
    <n v="13"/>
    <s v="El rechazo de una notificación por el interesado implica que:"/>
    <s v="Se publica siempre en BOE."/>
    <s v="Se archiva el procedimiento."/>
    <s v="Se da por efectuado el trámite dejando constancia en el expediente."/>
    <m/>
    <s v="c"/>
  </r>
  <r>
    <x v="1"/>
    <n v="19"/>
    <x v="7"/>
    <n v="45"/>
    <s v="Test doc admon"/>
    <n v="14"/>
    <s v="Para que el segundo intento de notificación en papel sea válido, debe cumplirse:"/>
    <s v="Que ambos se realicen en la mañana."/>
    <s v="Que sean en días consecutivos."/>
    <s v="Que exista una diferencia de al menos tres horas entre ambos intentos."/>
    <m/>
    <s v="c"/>
  </r>
  <r>
    <x v="1"/>
    <n v="19"/>
    <x v="7"/>
    <n v="45"/>
    <s v="Test doc admon"/>
    <n v="15"/>
    <s v="La notificación electrónica se entiende practicada cuando:"/>
    <s v="Se envía el aviso."/>
    <s v="Se registra en el archivo electrónico."/>
    <s v="El interesado accede al contenido de la notificación."/>
    <m/>
    <s v="c"/>
  </r>
  <r>
    <x v="1"/>
    <n v="19"/>
    <x v="7"/>
    <n v="45"/>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9"/>
    <x v="7"/>
    <n v="45"/>
    <s v="Test doc admon"/>
    <n v="17"/>
    <s v="La función principal del archivo administrativo es:"/>
    <s v="Centralizar los expedientes en papel."/>
    <s v="Garantizar la conservación como prueba, testimonio y memoria histórica de su contenido."/>
    <s v="Facilitar la notificación electrónica."/>
    <m/>
    <s v="b"/>
  </r>
  <r>
    <x v="1"/>
    <n v="19"/>
    <x v="7"/>
    <n v="45"/>
    <s v="Test doc admon"/>
    <n v="18"/>
    <s v="Entre las funciones del archivo se encuentra:"/>
    <s v="Digitalizar los expedientes obligatoriamente."/>
    <s v="Certificar documentos."/>
    <s v="Recoger, custodiar y servir la documentación a ciencia y comunidad."/>
    <s v="Emitir informes vinculantes."/>
    <s v="c"/>
  </r>
  <r>
    <x v="1"/>
    <n v="19"/>
    <x v="7"/>
    <n v="45"/>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9"/>
    <x v="7"/>
    <n v="45"/>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9"/>
    <x v="7"/>
    <n v="45"/>
    <s v="Test doc admon"/>
    <n v="21"/>
    <s v="La notificación infructuosa requiere publicación obligatoria en:"/>
    <s v="La sede electrónica."/>
    <s v="El tablón de edictos municipal."/>
    <s v="El Boletín Oficial del Estado."/>
    <m/>
    <s v="c"/>
  </r>
  <r>
    <x v="1"/>
    <n v="19"/>
    <x v="7"/>
    <n v="45"/>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9"/>
    <x v="7"/>
    <n v="45"/>
    <s v="Test doc admon"/>
    <n v="23"/>
    <s v="Las medidas de seguridad de los soportes documentales deben garantizar:"/>
    <s v="Que solo se permita acceso físico."/>
    <s v="La eliminación automática de duplicados."/>
    <s v="Autenticidad, integridad, confidencialidad y protección, según ENS."/>
    <m/>
    <s v="c"/>
  </r>
  <r>
    <x v="1"/>
    <n v="19"/>
    <x v="7"/>
    <n v="45"/>
    <s v="Test doc admon"/>
    <n v="24"/>
    <s v="La eliminación de documentos electrónicos del archivo solo puede realizarse:"/>
    <s v="Cuando finalice el año natural."/>
    <s v="Según instrucción del responsable del archivo."/>
    <s v="Mediante autorización según normativa aplicable."/>
    <m/>
    <s v="c"/>
  </r>
  <r>
    <x v="1"/>
    <n v="19"/>
    <x v="7"/>
    <n v="45"/>
    <s v="Test doc admon"/>
    <n v="25"/>
    <s v="La compulsa NO equivale a:"/>
    <s v="Verificar correspondencia entre copia y original."/>
    <s v="Autenticar la fidelidad de la copia."/>
    <s v="Otorgar a la copia el mismo valor legal que una copia auténtica."/>
    <m/>
    <s v="c"/>
  </r>
  <r>
    <x v="1"/>
    <n v="20"/>
    <x v="14"/>
    <n v="45"/>
    <s v="Test serv. soc. com. albergue y c. amparo"/>
    <n v="1"/>
    <s v="¿Cuál es la ley que regula el Sistema Publico de Servicios Sociales en Aragón ¿"/>
    <s v="Ley 9/2005 de 30 de julio"/>
    <s v="Ley 5/2009 de 30 de junio"/>
    <s v="Ley 5/2009 de 30 de julio"/>
    <s v="Ley 9/2005 de 30 de junio"/>
    <s v="b"/>
  </r>
  <r>
    <x v="1"/>
    <n v="20"/>
    <x v="14"/>
    <n v="45"/>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20"/>
    <x v="14"/>
    <n v="45"/>
    <s v="Test serv. soc. com. albergue y c. amparo"/>
    <n v="3"/>
    <s v="¿En qué área del Ayuntamiento de Zaragoza se enmarca la competencia en los Servicios Sociales Comunitarios?"/>
    <s v="Area de Política"/>
    <s v="Area de Servicios Sociales"/>
    <s v="Area Social"/>
    <s v="Area de Política Social"/>
    <s v="d"/>
  </r>
  <r>
    <x v="1"/>
    <n v="20"/>
    <x v="14"/>
    <n v="45"/>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20"/>
    <x v="14"/>
    <n v="45"/>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20"/>
    <x v="14"/>
    <n v="45"/>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20"/>
    <x v="14"/>
    <n v="45"/>
    <s v="Test serv. soc. com. albergue y c. amparo"/>
    <n v="8"/>
    <s v="Con carácter general cuál es el tiempo de estancia en el Albergue"/>
    <s v="una semana al mes"/>
    <s v="cuatro días cada dos meses"/>
    <s v="seis días cada tres meses"/>
    <s v="quince días cada cuatro meses"/>
    <s v="c"/>
  </r>
  <r>
    <x v="1"/>
    <n v="20"/>
    <x v="14"/>
    <n v="45"/>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20"/>
    <x v="14"/>
    <n v="45"/>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20"/>
    <x v="14"/>
    <n v="45"/>
    <s v="Test serv. soc. com. albergue y c. amparo"/>
    <n v="11"/>
    <s v="¿Cuál de estos espacios o modalidades de estancia no es del Albergue Municipal?"/>
    <s v="Casa Abierta"/>
    <s v="Módulos Familiares"/>
    <s v="Módulos Individuales"/>
    <s v="Módulos de Inserción"/>
    <s v="c"/>
  </r>
  <r>
    <x v="1"/>
    <n v="20"/>
    <x v="14"/>
    <n v="45"/>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20"/>
    <x v="14"/>
    <n v="45"/>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20"/>
    <x v="14"/>
    <n v="45"/>
    <s v="Test serv. soc. com. albergue y c. amparo"/>
    <n v="14"/>
    <s v="La estancia en los Módulos de Inserción o Familiares podrá prolongarse hasta:"/>
    <s v="tres meses"/>
    <s v="cuatro meses"/>
    <s v="seis meses"/>
    <s v="diez meses"/>
    <s v="c"/>
  </r>
  <r>
    <x v="1"/>
    <n v="20"/>
    <x v="14"/>
    <n v="45"/>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20"/>
    <x v="14"/>
    <n v="45"/>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20"/>
    <x v="14"/>
    <n v="45"/>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20"/>
    <x v="14"/>
    <n v="45"/>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20"/>
    <x v="14"/>
    <n v="45"/>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20"/>
    <x v="14"/>
    <n v="45"/>
    <s v="Test serv. soc. com. albergue y c. amparo"/>
    <n v="20"/>
    <s v="Una vez que se conceda una plaza ¿Cuánto tiempo tendrá la persona para ingresar?"/>
    <s v="5 días"/>
    <s v="10 días"/>
    <s v="15 días"/>
    <s v="20 días"/>
    <s v="b"/>
  </r>
  <r>
    <x v="1"/>
    <n v="20"/>
    <x v="14"/>
    <n v="45"/>
    <s v="Test serv. soc. com. albergue y c. amparo"/>
    <n v="22"/>
    <s v="El horario de apertura y cierre de la Casa de Amparo es:"/>
    <s v="De 7:00 a 21:00"/>
    <s v="De 8:00 a 22:00"/>
    <s v="De 9:00 a 21:00"/>
    <s v="De 10:00 a 22:00"/>
    <s v="b"/>
  </r>
  <r>
    <x v="1"/>
    <n v="20"/>
    <x v="14"/>
    <n v="45"/>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20"/>
    <x v="14"/>
    <n v="45"/>
    <s v="Test serv. soc. com. albergue y c. amparo"/>
    <n v="24"/>
    <s v="Como referencia general, el horario de limpieza de las habitaciones será desde la hora del desayuno hasta las"/>
    <n v="0.45833333333333331"/>
    <n v="0.47916666666666669"/>
    <n v="0.5"/>
    <n v="0.52083333333333337"/>
    <s v="b"/>
  </r>
  <r>
    <x v="1"/>
    <n v="20"/>
    <x v="14"/>
    <n v="45"/>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6"/>
    <x v="15"/>
    <n v="46"/>
    <s v="Test Ascensores"/>
    <n v="1"/>
    <s v="¿Dónde se ubican los elementos de seguridad de final de recorrido en un ascensor electromecánico selectiva en bajada?"/>
    <s v="En todas las plantas"/>
    <s v="En la parte superior del recorrido"/>
    <s v="En el foso"/>
    <m/>
    <s v="a"/>
  </r>
  <r>
    <x v="1"/>
    <n v="16"/>
    <x v="15"/>
    <n v="46"/>
    <s v="Test Ascensores"/>
    <n v="2"/>
    <s v="¿Qué efecto tiene el presionar el botón rojo de la botonera de inspección o mantenimiento?"/>
    <s v="Enclavar el ascensor"/>
    <s v="Interrumpe la maniobra del ascensor"/>
    <s v="Interrumpe la maniobra del ascensor, anulando cualquier llamada"/>
    <m/>
    <s v="c"/>
  </r>
  <r>
    <x v="1"/>
    <n v="16"/>
    <x v="15"/>
    <n v="46"/>
    <s v="Test Ascensores"/>
    <n v="3"/>
    <s v="¿Dónde se sitúa el limitador de velocidad?"/>
    <s v="En la parte superior del hueco"/>
    <s v="En el cuarto de máquinas"/>
    <s v="Ambas respuestas son correctas"/>
    <m/>
    <s v="c"/>
  </r>
  <r>
    <x v="1"/>
    <n v="16"/>
    <x v="15"/>
    <n v="46"/>
    <s v="Test Ascensores"/>
    <n v="4"/>
    <s v="De los siguientes ascensores ¿Cuál está en desuso?"/>
    <s v="Los eléctricos por arrollamiento"/>
    <s v="Los hidráulicos de acción indirecta"/>
    <s v="Los hidráulicos de acción directa"/>
    <m/>
    <s v="a"/>
  </r>
  <r>
    <x v="1"/>
    <n v="16"/>
    <x v="15"/>
    <n v="46"/>
    <s v="Test Ascensores"/>
    <n v="5"/>
    <s v="¿Cómo se denomina al sistema que la cabina para el transporte de personas asciende o desciende a una velocidad máxima de 0,15m/s?"/>
    <s v="Ascensor"/>
    <s v="Montacargas"/>
    <s v="Elevador"/>
    <m/>
    <s v="a"/>
  </r>
  <r>
    <x v="1"/>
    <n v="16"/>
    <x v="15"/>
    <n v="46"/>
    <s v="Test Ascensores"/>
    <n v="6"/>
    <s v="¿Cuál será el coeficiente mínimo de los cables de suspensión en un ascensor electromecánico?"/>
    <n v="10"/>
    <n v="12"/>
    <n v="14"/>
    <m/>
    <s v="b"/>
  </r>
  <r>
    <x v="1"/>
    <n v="16"/>
    <x v="15"/>
    <n v="46"/>
    <s v="Test Ascensores"/>
    <n v="7"/>
    <s v="¿Cómo se desbloquea el botón stop de la botonera de inspección o mantenimiento?"/>
    <s v="Girando un cuarto de vuelta"/>
    <s v="Volviendo a apretar"/>
    <s v="Sacándolo hacia afuera"/>
    <m/>
    <s v="a"/>
  </r>
  <r>
    <x v="1"/>
    <n v="16"/>
    <x v="15"/>
    <n v="46"/>
    <s v="Test Ascensores"/>
    <n v="8"/>
    <s v="¿Para qué sirve el conjunto de acuñamiento?"/>
    <s v="Para impedir la caída de la cabina ante una rotura de los cables de suspensión"/>
    <s v="Para impedir la llegada del ascensor al fondo del foso"/>
    <s v="Para impedir el choque con el forjado"/>
    <m/>
    <s v="a"/>
  </r>
  <r>
    <x v="1"/>
    <n v="16"/>
    <x v="15"/>
    <n v="46"/>
    <s v="Test Ascensores"/>
    <n v="9"/>
    <s v="¿Qué alimentación suelen tener los motores de los grupos tractores de los ascensores por adherencia?"/>
    <s v="Corriente continua"/>
    <s v="Corriente alterna monofásica"/>
    <s v="Corriente alterna trifásica"/>
    <m/>
    <s v="c"/>
  </r>
  <r>
    <x v="1"/>
    <n v="16"/>
    <x v="15"/>
    <n v="46"/>
    <s v="Test 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6"/>
    <x v="15"/>
    <n v="46"/>
    <s v="Test Ascensores"/>
    <n v="11"/>
    <s v="¿Qué tipo de puertas de cabina debe tener un ascensor electromecánico de dos velocidades con maniobra selectiva subida y bajada?"/>
    <s v="Manuales"/>
    <s v="De guillotina"/>
    <s v="Automáticas"/>
    <m/>
    <s v="c"/>
  </r>
  <r>
    <x v="1"/>
    <n v="16"/>
    <x v="15"/>
    <n v="46"/>
    <s v="Test Ascensores"/>
    <n v="12"/>
    <s v="En un rescate de personas en un ascensor electromecánico ¿hacia dónde se mueve la cabina si está entre 2 plantas?"/>
    <s v="Hacia la planta inmediata"/>
    <s v="Hacia arriba"/>
    <s v="Hacia abajo"/>
    <m/>
    <s v="a"/>
  </r>
  <r>
    <x v="1"/>
    <n v="16"/>
    <x v="15"/>
    <n v="46"/>
    <s v="Test Ascensores"/>
    <n v="13"/>
    <s v="¿Cuál es la distancia máxima a la que puede estar colocado el cuarto de máquinas en un ascensor hidráulico?"/>
    <s v="10 metros"/>
    <s v="15 metros"/>
    <s v="20 metros"/>
    <m/>
    <s v="b"/>
  </r>
  <r>
    <x v="1"/>
    <n v="16"/>
    <x v="15"/>
    <n v="46"/>
    <s v="Test 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6"/>
    <x v="15"/>
    <n v="46"/>
    <s v="Test Ascensores"/>
    <n v="15"/>
    <s v="¿Qué se utiliza para montacargas industriales, elevación de vehículos o transporte de pasajeros?"/>
    <s v="Ascensores con grupo reductor"/>
    <s v="Ascensores sin grupo reductor"/>
    <s v="Ambas respuestas son correctas"/>
    <m/>
    <s v="a"/>
  </r>
  <r>
    <x v="1"/>
    <n v="16"/>
    <x v="15"/>
    <n v="46"/>
    <s v="Test Ascensores"/>
    <n v="16"/>
    <s v="¿Cómo se denomina al hueco existente por debajo del nivel de parada inferior en un ascensor hidráulico?"/>
    <s v="Foso"/>
    <s v="Planta baja rasante"/>
    <s v="Cuarto de máquinas"/>
    <m/>
    <s v="a"/>
  </r>
  <r>
    <x v="1"/>
    <n v="16"/>
    <x v="15"/>
    <n v="46"/>
    <s v="Test Ascensores"/>
    <n v="17"/>
    <s v="¿Cómo se denomina el elemento dispuesto a plomo en la parte inferior de la cabina?"/>
    <s v="Armadura o estribos"/>
    <s v="Camerín"/>
    <s v="Guardapiés"/>
    <m/>
    <s v="c"/>
  </r>
  <r>
    <x v="1"/>
    <n v="16"/>
    <x v="15"/>
    <n v="46"/>
    <s v="Test Ascensores"/>
    <n v="18"/>
    <s v="En un rescate de personas en un ascensor hidráulico, ¿hacia dónde se mueve la cabina si está entre 2 plantas?"/>
    <s v="Hacia la más cercana"/>
    <s v="Hacia la inmediata inferior"/>
    <s v="Hacia la inmediata superior"/>
    <m/>
    <s v="b"/>
  </r>
  <r>
    <x v="1"/>
    <n v="16"/>
    <x v="15"/>
    <n v="46"/>
    <s v="Test 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6"/>
    <x v="15"/>
    <n v="46"/>
    <s v="Test Ascensores"/>
    <n v="20"/>
    <s v="¿Qué ascensores se emplean para el transporte de pasajeros en edificios de gran altura?"/>
    <s v="Los ascensores con engranajes"/>
    <s v="Los ascensores sin engranajes"/>
    <s v="Ambas respuestas son correctas"/>
    <m/>
    <s v="b"/>
  </r>
  <r>
    <x v="1"/>
    <n v="16"/>
    <x v="15"/>
    <n v="46"/>
    <s v="Test 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6"/>
    <x v="15"/>
    <n v="46"/>
    <s v="Test 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6"/>
    <x v="15"/>
    <n v="46"/>
    <s v="Test Ascensores"/>
    <n v="23"/>
    <s v="¿Qué tipos de ascensor existen dependiendo del sistema de tracción?"/>
    <s v="Eléctricos, hidráulicos y electromecánicos"/>
    <s v="Eléctricos, hidráulicos y de husillo"/>
    <s v="Eléctricos e hidráulicos"/>
    <m/>
    <s v="b"/>
  </r>
  <r>
    <x v="1"/>
    <n v="16"/>
    <x v="15"/>
    <n v="46"/>
    <s v="Test 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6"/>
    <x v="15"/>
    <n v="46"/>
    <s v="Test Ascensores"/>
    <n v="25"/>
    <s v="¿Qué ascensores requieren que el hueco de ascensor no participe en la protección contra incendios?"/>
    <s v="Los ascensores hidráulicos de impulsión directa"/>
    <s v="Los ascensores panorámicos"/>
    <s v="Los ascensores inclinados"/>
    <m/>
    <s v="b"/>
  </r>
  <r>
    <x v="1"/>
    <n v="16"/>
    <x v="15"/>
    <n v="46"/>
    <s v="Test Ascensores"/>
    <n v="26"/>
    <s v="¿Cómo pueden ser las puertas de planta o embarque de un ascensor?"/>
    <s v="De corredera"/>
    <s v="Batientes o de guillotina"/>
    <s v="Ambas respuestas son correctas"/>
    <m/>
    <s v="c"/>
  </r>
  <r>
    <x v="1"/>
    <n v="16"/>
    <x v="15"/>
    <n v="46"/>
    <s v="Test Ascensores"/>
    <n v="27"/>
    <s v="¿Qué limitador de velocidad es más silencioso, aún a velocidades elevadas, motivo por el cuál es más utilizado?"/>
    <s v="Limitador de velocidad centrífuga"/>
    <s v="Limitador de velocidad oscilante"/>
    <s v="Ambas respuestas son correctas"/>
    <m/>
    <s v="a"/>
  </r>
  <r>
    <x v="1"/>
    <n v="16"/>
    <x v="15"/>
    <n v="46"/>
    <s v="Test Ascensores"/>
    <n v="28"/>
    <s v="¿Cuándo son obligatorios los cables de compensación?"/>
    <s v="En todos los ascensores"/>
    <s v="En los edificios de gran altura y gran peso de cables"/>
    <s v="En todos los ascensores eléctricos"/>
    <m/>
    <s v="b"/>
  </r>
  <r>
    <x v="1"/>
    <n v="16"/>
    <x v="15"/>
    <n v="46"/>
    <s v="Test Ascensores"/>
    <n v="29"/>
    <s v="Según el código técnico de la Edificación ¿Qué carga mínima deben de soportar los ascensores de emergencias?"/>
    <s v="Una carga mínima de 530 Kg"/>
    <s v="Una carga mínima de 600 Kg"/>
    <s v="Una carga mínima de 630 Kg"/>
    <m/>
    <s v="c"/>
  </r>
  <r>
    <x v="1"/>
    <n v="16"/>
    <x v="15"/>
    <n v="46"/>
    <s v="Test 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6"/>
    <x v="15"/>
    <n v="46"/>
    <s v="Test Ascensores"/>
    <n v="31"/>
    <s v="¿Cuántos elementos de seguridad de final de recorrido tiene un ascensor hidráulico selectiva en subida y bajada?"/>
    <s v="Uno"/>
    <s v="Dos"/>
    <s v="Cuatro"/>
    <m/>
    <s v="b"/>
  </r>
  <r>
    <x v="1"/>
    <n v="16"/>
    <x v="15"/>
    <n v="46"/>
    <s v="Test Ascensores"/>
    <n v="32"/>
    <s v="¿Cómo se denomina al aparato cuya cabina para el transporte de personas asciende o desciende a una velocidad máxima de 0,15m/s?"/>
    <s v="Ascensor"/>
    <s v="Montacargas"/>
    <s v="Elevador"/>
    <m/>
    <s v="c"/>
  </r>
  <r>
    <x v="1"/>
    <n v="16"/>
    <x v="15"/>
    <n v="46"/>
    <s v="Test Ascensores"/>
    <n v="33"/>
    <s v="¿Cuál es el tipo de grupo de tracción más utilizado en los montacoches?"/>
    <s v="Hidráulico"/>
    <s v="Por adherencia"/>
    <s v="Por tambor de arrollamiento"/>
    <m/>
    <s v="a"/>
  </r>
  <r>
    <x v="1"/>
    <n v="16"/>
    <x v="15"/>
    <n v="46"/>
    <s v="Test Ascensores"/>
    <n v="34"/>
    <s v="¿Cómo puede ser el volante de inercia de los ascensores por adherencia?"/>
    <s v="Fijos"/>
    <s v="Desmontables"/>
    <s v="Ambas respuestas son correctas"/>
    <m/>
    <s v="c"/>
  </r>
  <r>
    <x v="1"/>
    <n v="16"/>
    <x v="15"/>
    <n v="46"/>
    <s v="Test Ascensores"/>
    <n v="35"/>
    <s v="¿Qué velocidad mínima tiene un ascensor?"/>
    <s v="0´15 metros por segundo"/>
    <s v="0´63 metros por segundo"/>
    <s v="1 metro por segundo"/>
    <m/>
    <s v="b"/>
  </r>
  <r>
    <x v="1"/>
    <n v="16"/>
    <x v="15"/>
    <n v="46"/>
    <s v="Test Ascensores"/>
    <n v="36"/>
    <s v="¿Cómo pueden ser los paracaídas de un ascensor?"/>
    <s v="Instantáneos"/>
    <s v="Progresivos"/>
    <s v="Ambas respuestas son correctas"/>
    <m/>
    <s v="c"/>
  </r>
  <r>
    <x v="1"/>
    <n v="16"/>
    <x v="15"/>
    <n v="46"/>
    <s v="Test Ascensores"/>
    <n v="37"/>
    <s v="¿Cuál debe ser el peso del contrapeso en un ascensor?"/>
    <s v="El peso de cabina más en 50% de la carga"/>
    <s v="El peso de cabina más en 40% de la carga"/>
    <s v="El peso de cabina"/>
    <m/>
    <s v="a"/>
  </r>
  <r>
    <x v="1"/>
    <n v="16"/>
    <x v="15"/>
    <n v="46"/>
    <s v="Test Ascensores"/>
    <n v="38"/>
    <s v="¿Cuál de los siguientes elementos no pertenece al equipo hidráulico de un ascensor hidráulico?"/>
    <s v="Cilindros y pistones"/>
    <s v="Motor eléctrico de corriente alterna"/>
    <s v="Bomba impulsora de aceite y válvulas reguladoras"/>
    <m/>
    <s v="a"/>
  </r>
  <r>
    <x v="1"/>
    <n v="16"/>
    <x v="15"/>
    <n v="46"/>
    <s v="Test Ascensores"/>
    <n v="39"/>
    <s v="Entre las velocidades expuestas ¿Cuál es la más frecuente en la los montacoches?"/>
    <s v="Entre 0´1 y 0´6 metros por segundo"/>
    <s v="Entre 0´6 y 1 metro por segundo"/>
    <s v="Entre 1 y 1´5 metros por segundo"/>
    <m/>
    <s v="a"/>
  </r>
  <r>
    <x v="1"/>
    <n v="16"/>
    <x v="15"/>
    <n v="46"/>
    <s v="Test Ascensores"/>
    <n v="40"/>
    <s v="¿Qué activa el paracaídas?"/>
    <s v="La bajada excesiva de la cabina"/>
    <s v="El limitador de velocidad"/>
    <s v="El reductor"/>
    <m/>
    <s v="b"/>
  </r>
  <r>
    <x v="1"/>
    <n v="16"/>
    <x v="15"/>
    <n v="46"/>
    <s v="Test Ascensores"/>
    <n v="41"/>
    <s v="¿Cómo pueden ser los amortiguadores de foso de un ascensor electromecánico?"/>
    <s v="Hidráulicos o neumáticos"/>
    <s v="Muelles o hidráulicos"/>
    <s v="Muelles o neumáticos"/>
    <m/>
    <s v="b"/>
  </r>
  <r>
    <x v="1"/>
    <n v="16"/>
    <x v="15"/>
    <n v="46"/>
    <s v="Test Ascensores"/>
    <n v="43"/>
    <s v="En un ascensor hidráulico de impulsión directa, ¿dónde está el gran pistón?"/>
    <s v="Anclado a todo el hueco del ascensor"/>
    <s v="Anclado al techo de la cabina mediante una polea"/>
    <s v="En un foso por debajo de la planta baja"/>
    <m/>
    <s v="c"/>
  </r>
  <r>
    <x v="1"/>
    <n v="16"/>
    <x v="15"/>
    <n v="46"/>
    <s v="Test Ascensores"/>
    <n v="44"/>
    <s v="Los ascensores hidráulicos..."/>
    <s v="Solo tienen cables de tracción cuando la tracción es indirecta"/>
    <s v="Solo tienen cables de tracción cuando la tracción es directa"/>
    <s v="Siempre tienen cables de tracción"/>
    <m/>
    <s v="a"/>
  </r>
  <r>
    <x v="1"/>
    <n v="16"/>
    <x v="15"/>
    <n v="46"/>
    <s v="Test Ascensores"/>
    <n v="45"/>
    <s v="De los siguientes tipos de ascensores ¿Cuál posee polea tractora?"/>
    <s v="Los de adherencia"/>
    <s v="Los hidráulicos de acción directa"/>
    <s v="Los electromecánicos de acción indirecta"/>
    <m/>
    <s v="a"/>
  </r>
  <r>
    <x v="1"/>
    <n v="16"/>
    <x v="15"/>
    <n v="46"/>
    <s v="Test Ascensores"/>
    <n v="46"/>
    <s v="El limitador de velocidad de un ascensor..."/>
    <s v="Provoca la actuación del paracaídas"/>
    <s v="Ordena la parada de la cabina cuando esta supera un límite de velocidad preestablecido"/>
    <s v="Ambas respuestas son correctas"/>
    <m/>
    <s v="c"/>
  </r>
  <r>
    <x v="1"/>
    <n v="16"/>
    <x v="15"/>
    <n v="46"/>
    <s v="Test Ascensores"/>
    <n v="47"/>
    <s v="¿Qué elemento del ascensor tiene la función de generar la tensión necesaria para producir en la polea un esfuerzo?"/>
    <s v="El reductor"/>
    <s v="La polea de desvío"/>
    <s v="El contrapeso"/>
    <m/>
    <s v="c"/>
  </r>
  <r>
    <x v="1"/>
    <n v="16"/>
    <x v="15"/>
    <n v="46"/>
    <s v="Test Ascensores"/>
    <n v="48"/>
    <s v="¿Qué tipos de puerta de rellano existen hoy en día?"/>
    <s v="Abatibles y correderas"/>
    <s v="Semiautomáticas y automáticas"/>
    <s v="Manuales y automáticas"/>
    <m/>
    <s v="b"/>
  </r>
  <r>
    <x v="1"/>
    <n v="16"/>
    <x v="15"/>
    <n v="46"/>
    <s v="Test Ascensores"/>
    <n v="49"/>
    <s v="En un ascensor hidráulico de impulsión indirecta, ¿dónde está el pistón?"/>
    <s v="A nivel la primera planta"/>
    <s v="Anclado longitudinalmente al hueco del ascensor"/>
    <s v="En el foso del hueco del ascensor"/>
    <m/>
    <s v="a"/>
  </r>
  <r>
    <x v="1"/>
    <n v="16"/>
    <x v="15"/>
    <n v="46"/>
    <s v="Test Ascensores"/>
    <n v="50"/>
    <s v="En los ascensores hidráulicos ¿Cómo será el pistón en función de la forma en que se accione?"/>
    <s v="Lateral o central"/>
    <s v="Impulsión directa o indirecta"/>
    <s v="De pistón enterrado o apoyado"/>
    <m/>
    <s v="b"/>
  </r>
  <r>
    <x v="1"/>
    <n v="15"/>
    <x v="16"/>
    <n v="47"/>
    <s v="Test Alarmas"/>
    <n v="1"/>
    <s v="¿Es más eficiente un infrarrojo que un magnético para detectar?"/>
    <s v="Depende del caso a proteger"/>
    <s v="Sí, por ser de tecnología más avanzada"/>
    <s v="Sólo en áreas cerradas"/>
    <m/>
    <s v="a"/>
  </r>
  <r>
    <x v="1"/>
    <n v="15"/>
    <x v="16"/>
    <n v="47"/>
    <s v="Test Alarmas"/>
    <n v="2"/>
    <s v="¿Cuáles son las funciones principales de una central receptora de una alarma?"/>
    <s v="Control, comprobación y transmisión"/>
    <s v="Detección y transmisión"/>
    <s v="Detección, neutralización y transmisión"/>
    <m/>
    <s v="a"/>
  </r>
  <r>
    <x v="1"/>
    <n v="15"/>
    <x v="16"/>
    <n v="47"/>
    <s v="Test Alarmas"/>
    <n v="3"/>
    <s v="¿Qué se usa para proteger un panel vidriado?"/>
    <s v="Un detector magnético"/>
    <s v="Un detector de rotura de vidrios"/>
    <s v="Un detector de movimiento"/>
    <m/>
    <s v="b"/>
  </r>
  <r>
    <x v="1"/>
    <n v="15"/>
    <x v="16"/>
    <n v="47"/>
    <s v="Test Alarmas"/>
    <n v="4"/>
    <s v="¿Se debe instalar siempre sirenas en los sistemas contra robo?"/>
    <s v="Sólo si el sistema no está monitoreado"/>
    <s v="Si"/>
    <s v="Son de uso optativo"/>
    <m/>
    <s v="b"/>
  </r>
  <r>
    <x v="1"/>
    <n v="15"/>
    <x v="16"/>
    <n v="47"/>
    <s v="Test 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6"/>
    <n v="47"/>
    <s v="Test Alarmas"/>
    <n v="6"/>
    <s v="Un detector de rotura de vidrio..."/>
    <s v="Detecta la deformación del cristal"/>
    <s v="Analiza el sonido de la rotura del cristal"/>
    <s v="Detecta el movimiento del vidrio"/>
    <m/>
    <s v="b"/>
  </r>
  <r>
    <x v="1"/>
    <n v="15"/>
    <x v="16"/>
    <n v="47"/>
    <s v="Test 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6"/>
    <n v="47"/>
    <s v="Test Alarmas"/>
    <n v="8"/>
    <s v="Dos infrarrojos en serie protegiendo la misma área..."/>
    <s v="No se pueden colocar"/>
    <s v="Aumentan la seguridad ante falsas alarmas"/>
    <s v="Aumentan la seguridad ante un robo"/>
    <m/>
    <s v="c"/>
  </r>
  <r>
    <x v="1"/>
    <n v="15"/>
    <x v="16"/>
    <n v="47"/>
    <s v="Test Alarmas"/>
    <n v="9"/>
    <s v="¿Dónde debe estar la ubicación del panel de control de una alarma?"/>
    <s v="En un área protegida por el propio sistema"/>
    <s v="En el comienzo de la red de detectores"/>
    <s v="En el centro de la red de detectores"/>
    <m/>
    <s v="a"/>
  </r>
  <r>
    <x v="1"/>
    <n v="15"/>
    <x v="16"/>
    <n v="47"/>
    <s v="Test Alarmas"/>
    <n v="10"/>
    <s v="¿Cuántas personas como mínimo, deberán ocuparse de una central de alarmas?"/>
    <s v="Dos por turno"/>
    <s v="Uno por turno"/>
    <s v="Tres en total"/>
    <m/>
    <s v="a"/>
  </r>
  <r>
    <x v="1"/>
    <n v="15"/>
    <x v="16"/>
    <n v="47"/>
    <s v="Test Alarmas"/>
    <n v="11"/>
    <s v="¿Qué detecta un sensor iónico?"/>
    <s v="Humo"/>
    <s v="Calor"/>
    <s v="Temperatura"/>
    <m/>
    <s v="a"/>
  </r>
  <r>
    <x v="1"/>
    <n v="15"/>
    <x v="16"/>
    <n v="47"/>
    <s v="Test 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6"/>
    <n v="47"/>
    <s v="Test Alarmas"/>
    <n v="13"/>
    <s v="¿Qué se usa para detectar la apertura de una ventana de cristal?"/>
    <s v="Un detector de rotura de vidrios"/>
    <s v="Un detector magnético"/>
    <s v="Un detector de movimiento"/>
    <m/>
    <s v="b"/>
  </r>
  <r>
    <x v="1"/>
    <n v="15"/>
    <x v="16"/>
    <n v="47"/>
    <s v="Test Alarmas"/>
    <n v="14"/>
    <s v="El panel de alarma de un sistema cableado,"/>
    <s v="Envía señal codificada a las sirenas"/>
    <s v="Recibe la señal de los elementos de detección y la procesa"/>
    <s v="Envía señal codificada a los infrarrojos"/>
    <m/>
    <s v="b"/>
  </r>
  <r>
    <x v="1"/>
    <n v="15"/>
    <x v="16"/>
    <n v="47"/>
    <s v="Test Alarmas"/>
    <n v="15"/>
    <s v="¿Cuáles son los elementos de un plan de seguridad?"/>
    <s v="Medios humanos, mecánicos y organizativos"/>
    <s v="Datos registro, estudio y confección del plan"/>
    <s v="Medios humanos, técnicos y organizativos"/>
    <m/>
    <s v="c"/>
  </r>
  <r>
    <x v="1"/>
    <n v="15"/>
    <x v="16"/>
    <n v="47"/>
    <s v="Test Alarmas"/>
    <n v="16"/>
    <s v="¿Qué detectan los infrarrojos?"/>
    <s v="Movimiento de personas u objetos"/>
    <s v="Variaciones de temperatura a través de un patrón de haces"/>
    <s v="Los rayos infrarrojos reflejados en el intruso"/>
    <m/>
    <s v="b"/>
  </r>
  <r>
    <x v="1"/>
    <n v="15"/>
    <x v="16"/>
    <n v="47"/>
    <s v="Test 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6"/>
    <n v="47"/>
    <s v="Test Alarmas"/>
    <n v="18"/>
    <s v="Un infrarrojo en un área cerrada..."/>
    <s v="No detecta el movimiento en un ambiente contiguo"/>
    <s v="Detecta el movimiento en un ambiente contiguo"/>
    <s v="Depende de su rango de alcance"/>
    <m/>
    <s v="a"/>
  </r>
  <r>
    <x v="1"/>
    <n v="15"/>
    <x v="16"/>
    <n v="47"/>
    <s v="Test Alarmas"/>
    <n v="19"/>
    <s v="¿Qué elementos consta una barrera infrarroja?"/>
    <s v="Una unidad"/>
    <s v="Dos unidades"/>
    <s v="Dos unidades y un módulo de control"/>
    <m/>
    <s v="b"/>
  </r>
  <r>
    <x v="1"/>
    <n v="15"/>
    <x v="16"/>
    <n v="47"/>
    <s v="Test Alarmas"/>
    <n v="20"/>
    <s v="¿Qué es un butrón?"/>
    <s v="Un agujero en la pared"/>
    <s v="Un sistema de acceso no permitido"/>
    <s v="Una entrada en una zona de seguridad"/>
    <m/>
    <s v="a"/>
  </r>
  <r>
    <x v="1"/>
    <n v="15"/>
    <x v="16"/>
    <n v="47"/>
    <s v="Test Alarmas"/>
    <n v="21"/>
    <s v="¿Qué se puede conectar en un panel del sistema de alarmas?"/>
    <s v="Sólo detectores normalmente cerrado"/>
    <s v="Sólo detectores normalmente abierto"/>
    <s v="Una combinación de ambos"/>
    <m/>
    <s v="c"/>
  </r>
  <r>
    <x v="1"/>
    <n v="15"/>
    <x v="16"/>
    <n v="47"/>
    <s v="Test 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6"/>
    <n v="47"/>
    <s v="Test Alarmas"/>
    <n v="23"/>
    <s v="Un panel microprocesador para alarma de robo..."/>
    <s v="No está preparada para incluir detectores de incendio"/>
    <s v="Puede incluir detectores de incendio"/>
    <s v="No debe incluir detectores de incendio"/>
    <m/>
    <s v="b"/>
  </r>
  <r>
    <x v="1"/>
    <n v="15"/>
    <x v="16"/>
    <n v="47"/>
    <s v="Test Alarmas"/>
    <n v="24"/>
    <s v="¿Qué se usa en carpintería de madera?"/>
    <s v="Un detector magnético precableado"/>
    <s v="Un detector magnético de embutir"/>
    <s v="Depende de las características de la puerta"/>
    <m/>
    <s v="c"/>
  </r>
  <r>
    <x v="1"/>
    <n v="15"/>
    <x v="16"/>
    <n v="47"/>
    <s v="Test Alarmas"/>
    <n v="25"/>
    <s v="La seguridad total y completa no existe..."/>
    <s v="Si es ejercida por un cuerpo especializado, si"/>
    <b v="1"/>
    <b v="0"/>
    <m/>
    <s v="b"/>
  </r>
  <r>
    <x v="1"/>
    <n v="15"/>
    <x v="16"/>
    <n v="47"/>
    <s v="Test Alarmas"/>
    <n v="26"/>
    <s v="¿A qué elementos afectan las variaciones de temperatura ambiente?"/>
    <s v="Los detectores infrarrojos"/>
    <s v="Las barreras infrarrojas"/>
    <s v="Los detectores magnéticos"/>
    <m/>
    <s v="a"/>
  </r>
  <r>
    <x v="1"/>
    <n v="15"/>
    <x v="16"/>
    <n v="47"/>
    <s v="Test 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6"/>
    <n v="47"/>
    <s v="Test Alarmas"/>
    <n v="28"/>
    <s v="¿Cómo es la conexión de dos o más detectores magnéticos NC en un mismo circuito cableado?"/>
    <s v="Se realiza en serie"/>
    <s v="Se realiza en paralelo"/>
    <s v="No debe realizar esta conexión"/>
    <m/>
    <s v="a"/>
  </r>
  <r>
    <x v="1"/>
    <n v="15"/>
    <x v="16"/>
    <n v="47"/>
    <s v="Test Alarmas"/>
    <n v="29"/>
    <s v="La clave de activación y la de desactivación del mismo usuario..."/>
    <s v="Son iguales"/>
    <s v="Son distintas"/>
    <s v="Deben ser distintas"/>
    <m/>
    <s v="a"/>
  </r>
  <r>
    <x v="1"/>
    <n v="15"/>
    <x v="16"/>
    <n v="47"/>
    <s v="Test 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6"/>
    <n v="47"/>
    <s v="Test Alarmas"/>
    <n v="31"/>
    <s v="¿Qué elementos es conveniente conectar en una misma zona?"/>
    <s v="Un infrarrojo y un magnético"/>
    <s v="Un infrarrojo y un detector de rotura de vidrios"/>
    <s v="Solo un dispositivo"/>
    <m/>
    <s v="c"/>
  </r>
  <r>
    <x v="1"/>
    <n v="15"/>
    <x v="16"/>
    <n v="47"/>
    <s v="Test Alarmas"/>
    <n v="32"/>
    <s v="¿Cuál de los que se citan, forman parte de los elementos pasivos contra la intrusión?"/>
    <s v="Reja"/>
    <s v="Puerta cortafuego"/>
    <s v="Torno de acceso"/>
    <m/>
    <s v="a"/>
  </r>
  <r>
    <x v="1"/>
    <n v="15"/>
    <x v="16"/>
    <n v="47"/>
    <s v="Test Alarmas"/>
    <n v="33"/>
    <s v="¿Qué puede detectar un detector magnético puede?"/>
    <s v="Cierre, pero no apertura de puerta"/>
    <s v="Apertura, pero no cierre de puerta"/>
    <s v="Apertura y cierre de puerta"/>
    <m/>
    <s v="c"/>
  </r>
  <r>
    <x v="1"/>
    <n v="15"/>
    <x v="16"/>
    <n v="47"/>
    <s v="Test Alarmas"/>
    <n v="34"/>
    <s v="¿Se pueden colocar magnéticos e infrarrojos en la misma zona?"/>
    <s v="Si, siempre que protejan la misma área"/>
    <s v="No"/>
    <s v="Solo si el panel no se monitorea"/>
    <m/>
    <s v="b"/>
  </r>
  <r>
    <x v="1"/>
    <n v="15"/>
    <x v="16"/>
    <n v="47"/>
    <s v="Test Alarmas"/>
    <n v="35"/>
    <s v="La protección de polígonos industriales se fundamenta:"/>
    <s v="En el control perimetral"/>
    <s v="En el control de accesos y en las rondas a realizar"/>
    <s v="En tener personal suficientemente capacitado y entrenado"/>
    <m/>
    <s v="b"/>
  </r>
  <r>
    <x v="1"/>
    <n v="15"/>
    <x v="16"/>
    <n v="47"/>
    <s v="Test Alarmas"/>
    <n v="36"/>
    <s v="¿Qué permite un sistema de alarma monitoreable?"/>
    <s v="Ver la ubicación en forma remota de los usuarios"/>
    <s v="La recepción a distancia de eventos programados"/>
    <s v="Ver en un monitor cámaras de video"/>
    <m/>
    <s v="b"/>
  </r>
  <r>
    <x v="1"/>
    <n v="15"/>
    <x v="16"/>
    <n v="47"/>
    <s v="Test Alarmas"/>
    <n v="37"/>
    <s v="¿Cómo pueden ser los riesgos en las cosas, según su naturaleza?"/>
    <s v="Fortuitos y controlados"/>
    <s v="Naturales y provocados"/>
    <s v="De primer grado y segundo grado"/>
    <m/>
    <s v="b"/>
  </r>
  <r>
    <x v="1"/>
    <n v="15"/>
    <x v="16"/>
    <n v="47"/>
    <s v="Test Alarmas"/>
    <n v="38"/>
    <s v="¿Qué detecta una barrera infrarroja?"/>
    <s v="El movimiento en un área"/>
    <s v="El paso de un intruso por una línea específica"/>
    <s v="La combinación del movimiento en un área y el paso de un intruso por una línea específica"/>
    <m/>
    <s v="b"/>
  </r>
  <r>
    <x v="1"/>
    <n v="15"/>
    <x v="16"/>
    <n v="47"/>
    <s v="Test Alarmas"/>
    <n v="39"/>
    <s v="¿A qué se debe generalmente cuando un detector magnético genera una posible falsa alarma?"/>
    <s v="A un error de diseño, instalación o usuario"/>
    <s v="Fallas esperables del sensor"/>
    <s v="Ambas respuestas son correctas"/>
    <m/>
    <s v="a"/>
  </r>
  <r>
    <x v="1"/>
    <n v="15"/>
    <x v="16"/>
    <n v="47"/>
    <s v="Test 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6"/>
    <n v="47"/>
    <s v="Test 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6"/>
    <n v="47"/>
    <s v="Test Alarmas"/>
    <n v="42"/>
    <s v="¿Qué se consideran elementos pasivos característicos de un control de acceso?"/>
    <s v="Los tornos"/>
    <s v="Los terminales de identificación antropométrica"/>
    <s v="Los terminales de identificación biométrica"/>
    <m/>
    <s v="a"/>
  </r>
  <r>
    <x v="1"/>
    <n v="15"/>
    <x v="16"/>
    <n v="47"/>
    <s v="Test Alarmas"/>
    <n v="43"/>
    <s v="¿Qué se utiliza para proteger eficazmente una vivienda?"/>
    <s v="Detectores infrarrojos"/>
    <s v="Detectores magnéticos"/>
    <s v="Una combinación adecuada"/>
    <m/>
    <s v="c"/>
  </r>
  <r>
    <x v="1"/>
    <n v="15"/>
    <x v="16"/>
    <n v="47"/>
    <s v="Test Alarmas"/>
    <n v="44"/>
    <s v="¿Qué función cumplen los elementos de detección?"/>
    <s v="Transmiten la señal de alarma"/>
    <s v="Producen una alarma"/>
    <s v="Detectan un cambio de estado en un área o apertura"/>
    <m/>
    <s v="c"/>
  </r>
  <r>
    <x v="1"/>
    <n v="15"/>
    <x v="16"/>
    <n v="47"/>
    <s v="Test Alarmas"/>
    <n v="45"/>
    <s v="Uno de los motivos más usuales de alarmas falsas es:"/>
    <s v="El sistema informático"/>
    <s v="Las inclemencias meteorológicas"/>
    <s v="La falta de personal"/>
    <m/>
    <s v="b"/>
  </r>
  <r>
    <x v="1"/>
    <n v="15"/>
    <x v="16"/>
    <n v="47"/>
    <s v="Test Alarmas"/>
    <n v="46"/>
    <s v="Dos infrarrojos en paralelo protegiendo la misma área..."/>
    <s v="No se pueden colocar"/>
    <s v="Aumentan la seguridad ante falsas alarmas"/>
    <s v="Aumentan la seguridad ante un robo"/>
    <m/>
    <s v="b"/>
  </r>
  <r>
    <x v="1"/>
    <n v="15"/>
    <x v="16"/>
    <n v="47"/>
    <s v="Test Alarmas"/>
    <n v="47"/>
    <s v="La teoría esférica de la protección es:"/>
    <s v="La empleada para la protección de vehículos blindados"/>
    <s v="La que se usa para proteger a todos los niveles"/>
    <s v="La que se utiliza para proteger a los VIPS"/>
    <m/>
    <s v="b"/>
  </r>
  <r>
    <x v="1"/>
    <n v="15"/>
    <x v="16"/>
    <n v="47"/>
    <s v="Test Alarmas"/>
    <n v="48"/>
    <s v="¿Cómo se alimenta un sistema de alarma estándar?"/>
    <s v="De batería, con red opcional"/>
    <s v="Con red y batería opcional"/>
    <s v="Con red y batería"/>
    <m/>
    <s v="c"/>
  </r>
  <r>
    <x v="1"/>
    <n v="15"/>
    <x v="16"/>
    <n v="47"/>
    <s v="Test Alarmas"/>
    <n v="49"/>
    <s v="La sirena exterior en un sistema de alarma..."/>
    <s v="No debe ser de baja potencia"/>
    <s v="Debe ser piezoeléctrica"/>
    <s v="Tiene un dispositivo anti-desarme"/>
    <m/>
    <s v="c"/>
  </r>
  <r>
    <x v="1"/>
    <n v="15"/>
    <x v="16"/>
    <n v="47"/>
    <s v="Test 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7"/>
    <x v="17"/>
    <n v="48"/>
    <s v="Test Imagen 1 2022"/>
    <n v="1"/>
    <s v="En un retroproyector la transparencia se coloca:"/>
    <s v="Entre la lámpara y la lente fresnell"/>
    <s v="Entre el espejo y la pantalla"/>
    <s v="Entre la lente fresnell y la lente y el espejo del cabezal"/>
    <m/>
    <s v="c"/>
  </r>
  <r>
    <x v="1"/>
    <n v="17"/>
    <x v="17"/>
    <n v="48"/>
    <s v="Test Imagen 1 2022"/>
    <n v="2"/>
    <s v="Podemos proyectar un libro físico por medio de un:"/>
    <s v="Cañón"/>
    <s v="El proyector de opacos"/>
    <s v="El ordenador"/>
    <m/>
    <s v="b"/>
  </r>
  <r>
    <x v="1"/>
    <n v="17"/>
    <x v="17"/>
    <n v="48"/>
    <s v="Test Imagen 1 2022"/>
    <n v="3"/>
    <s v="Son tipos de proyectores de vídeo:"/>
    <s v="El TRC y el JVC"/>
    <s v="El LCD y el DLP"/>
    <s v="El LED y PLASMA"/>
    <m/>
    <s v="b"/>
  </r>
  <r>
    <x v="1"/>
    <n v="17"/>
    <x v="17"/>
    <n v="48"/>
    <s v="Test Imagen 1 2022"/>
    <n v="4"/>
    <s v="En un proyector de imágenes que función realiza el ZOOM."/>
    <s v="Enfoca la imagen"/>
    <s v="Agranda la imagen"/>
    <s v="Ajusta la imagen al tamaño deseado."/>
    <m/>
    <s v="c"/>
  </r>
  <r>
    <x v="1"/>
    <n v="17"/>
    <x v="17"/>
    <n v="48"/>
    <s v="Test Imagen 1 2022"/>
    <n v="5"/>
    <s v="Cuál de los siguientes elementos es un soporte óptico para imágenes dinámicas."/>
    <s v="El disco duro de un ordenador."/>
    <s v="El DVD"/>
    <s v="Ambos"/>
    <m/>
    <s v="b"/>
  </r>
  <r>
    <x v="1"/>
    <n v="17"/>
    <x v="17"/>
    <n v="48"/>
    <s v="Test Imagen 1 2022"/>
    <n v="6"/>
    <s v="Para enviar señal de vídeo compuesto necesitamos un cable :"/>
    <s v="De un conductor activo y malla, a ser posible coaxial."/>
    <s v="De al menos dos conductores activos y malla"/>
    <s v="De al menos tres hilos y malla."/>
    <m/>
    <s v="a"/>
  </r>
  <r>
    <x v="1"/>
    <n v="17"/>
    <x v="17"/>
    <n v="48"/>
    <s v="Test Imagen 1 2022"/>
    <n v="7"/>
    <s v="Que otro nombre recibe el “ Euroconector”"/>
    <s v="El SUB-15"/>
    <s v="El SRD-25"/>
    <s v="El SCART"/>
    <m/>
    <s v="c"/>
  </r>
  <r>
    <x v="1"/>
    <n v="17"/>
    <x v="17"/>
    <n v="48"/>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7"/>
    <x v="17"/>
    <n v="48"/>
    <s v="Test Imagen 1 2022"/>
    <n v="9"/>
    <s v="Una resolución de imagen de 1024 x 768 píxeles corresponde al sistema."/>
    <s v="HD"/>
    <s v="4K"/>
    <s v="XGA"/>
    <m/>
    <s v="c"/>
  </r>
  <r>
    <x v="1"/>
    <n v="17"/>
    <x v="17"/>
    <n v="48"/>
    <s v="Test Imagen 1 2022"/>
    <n v="10"/>
    <s v="Qué tipo de corrección trapezoidal incluye el menú de los proyectores de vídeo."/>
    <s v="Corrección vertical"/>
    <s v="Corrección angular"/>
    <s v="Corrección transversal"/>
    <m/>
    <s v="a"/>
  </r>
  <r>
    <x v="1"/>
    <n v="17"/>
    <x v="17"/>
    <n v="48"/>
    <s v="Test Imagen 1 2022"/>
    <n v="11"/>
    <s v="Cuanto más lejos pongamos el proyector de la pantalla:"/>
    <s v="Más nítida será la imagen"/>
    <s v="Tendremos menor rango de zoom."/>
    <s v="Se distingue con mayor facilidad cada píxel."/>
    <m/>
    <s v="c"/>
  </r>
  <r>
    <x v="1"/>
    <n v="17"/>
    <x v="17"/>
    <n v="48"/>
    <s v="Test Imagen 1 2022"/>
    <n v="12"/>
    <s v="Los conectores VGA transmiten señal de:"/>
    <s v="Luminancia y cromitancia"/>
    <s v="Vídeo compuesto"/>
    <s v="RGB"/>
    <m/>
    <s v="c"/>
  </r>
  <r>
    <x v="1"/>
    <n v="17"/>
    <x v="17"/>
    <n v="48"/>
    <s v="Test Imagen 1 2022"/>
    <n v="13"/>
    <s v="Qué aparato está indicado para proyectar soportes de acetato:"/>
    <s v="El vídeo compuesto"/>
    <s v="El proyector de opacos"/>
    <s v="El retroproyector"/>
    <m/>
    <s v="c"/>
  </r>
  <r>
    <x v="1"/>
    <n v="17"/>
    <x v="17"/>
    <n v="48"/>
    <s v="Test Imagen 1 2022"/>
    <n v="14"/>
    <s v="En un aparato de proyección que se apaga primero"/>
    <s v="El ventilador"/>
    <s v="La lámpara"/>
    <s v="Ambos se apagan simultáneamente"/>
    <m/>
    <s v="b"/>
  </r>
  <r>
    <x v="1"/>
    <n v="17"/>
    <x v="17"/>
    <n v="48"/>
    <s v="Test Imagen 1 2022"/>
    <n v="15"/>
    <s v="Si queremos trasladar un proyector de una sala a otra en un carro o mesa de ruedas"/>
    <s v="La lámpara debe estar apagada."/>
    <s v="La lámpara debe estar próxima a la tª ambiente"/>
    <s v="Hay que meterlo en su caja para protegerlo de golpes."/>
    <m/>
    <s v="b"/>
  </r>
  <r>
    <x v="1"/>
    <n v="17"/>
    <x v="17"/>
    <n v="48"/>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7"/>
    <x v="17"/>
    <n v="48"/>
    <s v="Test Imagen 1 2022"/>
    <n v="17"/>
    <s v="Qué sistema envía las señales de audio y vídeo digitales sin comprimir"/>
    <s v="EL S-VIDEO"/>
    <s v="El HDMI"/>
    <s v="El USB"/>
    <m/>
    <s v="b"/>
  </r>
  <r>
    <x v="1"/>
    <n v="17"/>
    <x v="17"/>
    <n v="48"/>
    <s v="Test Imagen 1 2022"/>
    <n v="18"/>
    <s v="Que conector puede transportar señales de RGB y vídeo compuesto a la vez."/>
    <s v="El SUB-15"/>
    <s v="El VGA"/>
    <s v="El euroconector."/>
    <m/>
    <s v="c"/>
  </r>
  <r>
    <x v="1"/>
    <n v="17"/>
    <x v="17"/>
    <n v="48"/>
    <s v="Test Imagen 1 2022"/>
    <n v="19"/>
    <s v="Qué sistema de imagen para televisión se utiliza en España:"/>
    <s v="PAL"/>
    <s v="TDT"/>
    <s v="NTCS"/>
    <m/>
    <s v="a"/>
  </r>
  <r>
    <x v="1"/>
    <n v="17"/>
    <x v="17"/>
    <n v="48"/>
    <s v="Test Imagen 1 2022"/>
    <n v="20"/>
    <s v="Las siglas RGB significa:"/>
    <s v="Récord Gain Blaster"/>
    <s v="Señal de luminancia y cromitancia, en inglés."/>
    <s v="Rojo, verde y azul, en inglés."/>
    <m/>
    <s v="c"/>
  </r>
  <r>
    <x v="1"/>
    <n v="17"/>
    <x v="17"/>
    <n v="48"/>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7"/>
    <x v="17"/>
    <n v="48"/>
    <s v="Test Imagen 1 2022"/>
    <n v="22"/>
    <s v="Si tenemos 3 conectores RCA cual conectaremos a la salida de vídeo."/>
    <s v="El más pequeño"/>
    <s v="El blanco"/>
    <s v="El amarillo"/>
    <m/>
    <s v="c"/>
  </r>
  <r>
    <x v="1"/>
    <n v="17"/>
    <x v="17"/>
    <n v="48"/>
    <s v="Test Imagen 1 2022"/>
    <n v="23"/>
    <s v="Qué tipo de señal puede transmitir un único conector RCA"/>
    <s v="Luminancia"/>
    <s v="Vídeo compuesto"/>
    <s v="RGB"/>
    <m/>
    <s v="b"/>
  </r>
  <r>
    <x v="1"/>
    <n v="17"/>
    <x v="17"/>
    <n v="48"/>
    <s v="Test Imagen 1 2022"/>
    <n v="24"/>
    <s v="Para transmitir señal de sonido se puede utilizar:"/>
    <s v="Conector S-Video"/>
    <s v="RS-232"/>
    <s v="EUROCONECTOR"/>
    <m/>
    <s v="c"/>
  </r>
  <r>
    <x v="1"/>
    <n v="17"/>
    <x v="17"/>
    <n v="48"/>
    <s v="Test Imagen 1 2022"/>
    <n v="25"/>
    <s v="A los parámetros del tipo ¾ ó 9/16 , que acompañan a las características de una imagen o vídeo se le llama:"/>
    <s v="Relación de aspecto"/>
    <s v="Tamaño de la imagen"/>
    <s v="Proporción de dimensiones"/>
    <m/>
    <s v="a"/>
  </r>
  <r>
    <x v="1"/>
    <n v="17"/>
    <x v="17"/>
    <n v="49"/>
    <s v="Test Imagen 2 2022"/>
    <n v="1"/>
    <s v="El mecanismo que aporta la imagen propiamente dicha a un proyector de video se llama:"/>
    <s v="Iluminante"/>
    <s v="Diapositiva"/>
    <s v="Motor de imagen"/>
    <m/>
    <s v="c"/>
  </r>
  <r>
    <x v="1"/>
    <n v="17"/>
    <x v="17"/>
    <n v="49"/>
    <s v="Test Imagen 2 2022"/>
    <n v="2"/>
    <s v="Son elementos fungibles de un proyector"/>
    <s v="El filtro de polvo"/>
    <s v="El ventilador"/>
    <s v="Ambos son correctos"/>
    <m/>
    <s v="a"/>
  </r>
  <r>
    <x v="1"/>
    <n v="17"/>
    <x v="17"/>
    <n v="49"/>
    <s v="Test Imagen 2 2022"/>
    <n v="3"/>
    <s v="Entre los tipos de iluminantes para proyectores podemos encontrar:"/>
    <s v="Lámparas halógenas, de descarga, LED y LASER"/>
    <s v="Lámparas halógenas, de inducción, LED y LASER"/>
    <s v="Todo tipo de lámparas, LED y LASER."/>
    <m/>
    <s v="a"/>
  </r>
  <r>
    <x v="1"/>
    <n v="17"/>
    <x v="17"/>
    <n v="49"/>
    <s v="Test Imagen 2 2022"/>
    <n v="4"/>
    <s v="El motor de imagen DLP está basado en:"/>
    <s v="Pantalla de cristal liquido"/>
    <s v="En rueda de colores"/>
    <s v="En microespejos"/>
    <m/>
    <s v="c"/>
  </r>
  <r>
    <x v="1"/>
    <n v="17"/>
    <x v="17"/>
    <n v="49"/>
    <s v="Test Imagen 2 2022"/>
    <n v="5"/>
    <s v="¿Qué inconveniente puede dar el sistema DLP simple:"/>
    <s v="El “efecto arcoíris”"/>
    <s v="El “efecto deslumbramiento axial”"/>
    <s v="El “efecto mariposa”"/>
    <m/>
    <s v="a"/>
  </r>
  <r>
    <x v="1"/>
    <n v="17"/>
    <x v="17"/>
    <n v="49"/>
    <s v="Test Imagen 2 2022"/>
    <n v="6"/>
    <s v="¿Qué ventaja fundamental tiene un proyector LED con respecto a uno de lámpara de halogenuro?:"/>
    <s v="Mayor nitidez de la imagen"/>
    <s v="Mejor resolución"/>
    <s v="Encendido y apagado instantáneo"/>
    <m/>
    <s v="c"/>
  </r>
  <r>
    <x v="1"/>
    <n v="17"/>
    <x v="17"/>
    <n v="49"/>
    <s v="Test Imagen 2 2022"/>
    <n v="7"/>
    <s v="¿Qué iluminante tiene mayor duración?"/>
    <s v="Las lámparas de halogenuros metálicos"/>
    <s v="El láser azul"/>
    <s v="Las lámparas de xenón"/>
    <m/>
    <s v="b"/>
  </r>
  <r>
    <x v="1"/>
    <n v="17"/>
    <x v="17"/>
    <n v="49"/>
    <s v="Test Imagen 2 2022"/>
    <n v="8"/>
    <s v="¿Se puede conectar un proyector con entrada VGA a un ordenador con salida HDMI?"/>
    <s v="Sí, mediante un adaptador"/>
    <s v="Sí, pero necesitamos un decodificador de señal con alimentación a la red."/>
    <s v="No, son incompatibles."/>
    <m/>
    <s v="a"/>
  </r>
  <r>
    <x v="1"/>
    <n v="17"/>
    <x v="17"/>
    <n v="49"/>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7"/>
    <x v="17"/>
    <n v="49"/>
    <s v="Test Imagen 2 2022"/>
    <n v="10"/>
    <s v="Para la trasmisión de sonido digital puede utilizarse:"/>
    <s v="Cable coaxial con conectores RCA"/>
    <s v="Fibra óptica"/>
    <s v="Ambas son correctas"/>
    <m/>
    <s v="c"/>
  </r>
  <r>
    <x v="1"/>
    <n v="17"/>
    <x v="17"/>
    <n v="49"/>
    <s v="Test Imagen 2 2022"/>
    <n v="11"/>
    <s v="Para colocar un proyector de video es imprescindible."/>
    <s v="Que el eje de proyección esté perpendicular a la pantalla"/>
    <s v="Que esté en posición horizontal"/>
    <s v="Que tenga espacio suficiente alrededor para que pueda ventilar"/>
    <m/>
    <s v="c"/>
  </r>
  <r>
    <x v="1"/>
    <n v="17"/>
    <x v="17"/>
    <n v="49"/>
    <s v="Test Imagen 2 2022"/>
    <n v="12"/>
    <s v="Para realizar una proyección desde detrás de la pantalla, ¿qué parámetros de la imagen tenemos que cambiar?:"/>
    <s v="Invertir la imagen verticalmente"/>
    <s v="Invertir la imagen horizontalmente"/>
    <s v="Ambas operaciones a la vez."/>
    <m/>
    <s v="b"/>
  </r>
  <r>
    <x v="1"/>
    <n v="17"/>
    <x v="17"/>
    <n v="49"/>
    <s v="Test Imagen 2 2022"/>
    <n v="13"/>
    <s v="¿En un video proyector en desde qué tecla elegiremos la entrada de imagen que queremos proyectar?"/>
    <s v="La tecla MENU"/>
    <s v="La tecla SOURCE"/>
    <s v="La tecla HOME"/>
    <m/>
    <s v="b"/>
  </r>
  <r>
    <x v="1"/>
    <n v="17"/>
    <x v="17"/>
    <n v="49"/>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7"/>
    <x v="17"/>
    <n v="49"/>
    <s v="Test Imagen 2 2022"/>
    <n v="15"/>
    <s v="Que nos indica la expresión 16:9 si hablamos de una imagen"/>
    <s v="El factor de aumento del zoom"/>
    <s v="La resolución de la imagen"/>
    <s v="La relación de aspecto"/>
    <m/>
    <s v="c"/>
  </r>
  <r>
    <x v="1"/>
    <n v="17"/>
    <x v="17"/>
    <n v="49"/>
    <s v="Test Imagen 2 2022"/>
    <n v="16"/>
    <s v="El soporte de vídeo digital más extendido fue:"/>
    <s v="DVD"/>
    <s v="VHS"/>
    <s v="BLU-RAY"/>
    <m/>
    <s v="a"/>
  </r>
  <r>
    <x v="1"/>
    <n v="17"/>
    <x v="17"/>
    <n v="49"/>
    <s v="Test Imagen 2 2022"/>
    <n v="17"/>
    <s v="Un conector tipo DIN de cuatro contactos lo debemos conectar a la salida de:"/>
    <s v="S-video"/>
    <s v="HDMI"/>
    <s v="Audio 2.0"/>
    <m/>
    <s v="a"/>
  </r>
  <r>
    <x v="1"/>
    <n v="17"/>
    <x v="17"/>
    <n v="49"/>
    <s v="Test Imagen 2 2022"/>
    <n v="18"/>
    <s v="Cuál de estos tipos de archivos permite almacenar imágenes dinámicas"/>
    <s v="JPG"/>
    <s v="PPS"/>
    <s v="MOV"/>
    <m/>
    <s v="c"/>
  </r>
  <r>
    <x v="1"/>
    <n v="17"/>
    <x v="17"/>
    <n v="49"/>
    <s v="Test Imagen 2 2022"/>
    <n v="19"/>
    <s v="Cuál de estas resoluciones aporta mayor número de pixeles en pantalla:"/>
    <s v="XGA"/>
    <s v="SVGA"/>
    <s v="HD"/>
    <m/>
    <s v="c"/>
  </r>
  <r>
    <x v="1"/>
    <n v="17"/>
    <x v="17"/>
    <n v="49"/>
    <s v="Test Imagen 2 2022"/>
    <n v="20"/>
    <s v="¿Qué formato tiene en una línea horizontal 3840 pixeles:"/>
    <s v="FULL HD"/>
    <s v="4K"/>
    <s v="8K"/>
    <m/>
    <s v="b"/>
  </r>
  <r>
    <x v="1"/>
    <n v="17"/>
    <x v="17"/>
    <n v="49"/>
    <s v="Test Imagen 2 2022"/>
    <n v="21"/>
    <s v="¿Cuál de estas extensiones de archivos no corresponden a un archivo de video?"/>
    <s v="AML"/>
    <s v="MP4"/>
    <s v="MOV"/>
    <m/>
    <s v="a"/>
  </r>
  <r>
    <x v="1"/>
    <n v="17"/>
    <x v="17"/>
    <n v="49"/>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7"/>
    <x v="17"/>
    <n v="49"/>
    <s v="Test Imagen 2 2022"/>
    <n v="23"/>
    <s v="¿Que mantenimiento periodico debe tener un proyector de video?"/>
    <s v="Periodico ninguno, solo cambiar la lampara cuando se funda o agote"/>
    <s v="Limpiar la lente exclusivamente"/>
    <s v="Limpiar la lente, los filtros y salidas de aire"/>
    <m/>
    <s v="c"/>
  </r>
  <r>
    <x v="1"/>
    <n v="17"/>
    <x v="17"/>
    <n v="49"/>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7"/>
    <x v="17"/>
    <n v="49"/>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8"/>
    <x v="18"/>
    <n v="50"/>
    <s v="Simulacro informatica"/>
    <n v="1"/>
    <s v="En Calc, ¿qué sucederá si escribimos en una celda 7/0?"/>
    <s v="Realizará la operación"/>
    <s v="Dará un error del tipo #¡DIV/0! Ya que no se puede dividir entre 0"/>
    <s v="Dará un error del tipo REF"/>
    <s v="Ninguna de las anteriores"/>
    <s v="d"/>
  </r>
  <r>
    <x v="1"/>
    <n v="18"/>
    <x v="18"/>
    <n v="50"/>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8"/>
    <x v="18"/>
    <n v="50"/>
    <s v="Simulacro informatica"/>
    <n v="3"/>
    <s v="En Writer, ¿con que extensión se guarda por defecto un documento?"/>
    <s v="Xlsx"/>
    <s v="Doc"/>
    <s v="Odt"/>
    <s v="Ninguna de las anteriores"/>
    <s v="c"/>
  </r>
  <r>
    <x v="1"/>
    <n v="18"/>
    <x v="18"/>
    <n v="50"/>
    <s v="Simulacro informatica"/>
    <n v="4"/>
    <s v="En Writer, la combinación de teclas ALT+C, ¿qué acción realiza?"/>
    <s v="Corta el texto seleccionado"/>
    <s v="Copia el texto seleccionado"/>
    <s v="Pega el texto copiado o cortado previamente"/>
    <s v="Ninguna de las anteriores"/>
    <s v="d"/>
  </r>
  <r>
    <x v="1"/>
    <n v="18"/>
    <x v="18"/>
    <n v="50"/>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8"/>
    <x v="18"/>
    <n v="50"/>
    <s v="Simulacro informatica"/>
    <n v="6"/>
    <s v="Para cerrar todas las ventanas abiertas (habiendo más de una abierta) de Calc o de Writer:"/>
    <s v="Pulsamos Alt+f4"/>
    <s v="Pulsamos Control+q"/>
    <s v="Pulsamos Control+c"/>
    <s v="Ninguna de las anteriores"/>
    <s v="b"/>
  </r>
  <r>
    <x v="1"/>
    <n v="18"/>
    <x v="18"/>
    <n v="50"/>
    <s v="Simulacro informatica"/>
    <n v="7"/>
    <s v="Para abrir el menú de ayuda en Calc, pulsaremos"/>
    <s v="Pulsamos F2"/>
    <s v="Pulsamos F1"/>
    <s v="Pulsamos Help-Ayúdame"/>
    <s v="Ninguna de las anteriores"/>
    <s v="b"/>
  </r>
  <r>
    <x v="1"/>
    <n v="18"/>
    <x v="18"/>
    <n v="50"/>
    <s v="Simulacro informatica"/>
    <n v="8"/>
    <s v="Al final de la ventana de Calc (hoja de cálculo de Open Office) se encuentra la barra de estado, ¿qué operación matemática aparece por?"/>
    <s v="Resta."/>
    <s v="Multiplicación."/>
    <s v="Suma."/>
    <s v="Suma y multiplicación."/>
    <s v="c"/>
  </r>
  <r>
    <x v="1"/>
    <n v="18"/>
    <x v="18"/>
    <n v="50"/>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8"/>
    <x v="18"/>
    <n v="50"/>
    <s v="Simulacro informatica"/>
    <n v="10"/>
    <s v="¿Qué combinación de teclas permite cerrar Internet Explorer?"/>
    <s v="ALT + F3"/>
    <s v="CNTRL + F3"/>
    <s v="ALT + F4"/>
    <s v="ALT + CNTRL + F2"/>
    <s v="c"/>
  </r>
  <r>
    <x v="1"/>
    <n v="18"/>
    <x v="18"/>
    <n v="50"/>
    <s v="Simulacro informatica"/>
    <n v="11"/>
    <s v="¿Cuál es la extensión por defecto que utiliza el programa Calc de OpenOffice?"/>
    <s v="Xls"/>
    <s v="Xlsx"/>
    <s v="Ods"/>
    <s v="Dos"/>
    <s v="c"/>
  </r>
  <r>
    <x v="1"/>
    <n v="18"/>
    <x v="18"/>
    <n v="50"/>
    <s v="Simulacro informatica"/>
    <n v="12"/>
    <s v="Para buscar una frase exacta en google:"/>
    <s v="Utilizaremos el comodín *"/>
    <s v="La entrecomillaremos"/>
    <s v="No se puede"/>
    <s v="La escribiremos con el parámetro –OnlyExactResult"/>
    <s v="b"/>
  </r>
  <r>
    <x v="1"/>
    <n v="18"/>
    <x v="18"/>
    <n v="50"/>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8"/>
    <x v="18"/>
    <n v="50"/>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8"/>
    <x v="18"/>
    <n v="50"/>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8"/>
    <x v="18"/>
    <n v="50"/>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8"/>
    <x v="18"/>
    <n v="50"/>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8"/>
    <x v="18"/>
    <n v="50"/>
    <s v="Simulacro informatica"/>
    <n v="18"/>
    <s v="La calidad de la impresión se mide en:"/>
    <s v="Cms"/>
    <s v="Ppp"/>
    <s v="Docs"/>
    <s v="Ninguna de las anteriores"/>
    <s v="b"/>
  </r>
  <r>
    <x v="1"/>
    <n v="18"/>
    <x v="18"/>
    <n v="50"/>
    <s v="Simulacro informatica"/>
    <n v="19"/>
    <s v="El gramaje es:"/>
    <s v="El peso de una hoja de papel en un centímetro cuadrado"/>
    <s v="El peso de una hoja de papel en un metro cuadrado"/>
    <s v="El peso de una hoja de papel en un kilómetro cuadrado"/>
    <s v="Ninguna de las anteriores"/>
    <s v="b"/>
  </r>
  <r>
    <x v="1"/>
    <n v="18"/>
    <x v="18"/>
    <n v="50"/>
    <s v="Simulacro informatica"/>
    <n v="20"/>
    <s v="El tamaño del papel A3 es:"/>
    <s v="420 x 594 mm"/>
    <s v="297 x 420 mm"/>
    <s v="297 x 210 mm"/>
    <s v="Ninguna de las anteriores"/>
    <s v="b"/>
  </r>
  <r>
    <x v="1"/>
    <n v="18"/>
    <x v="18"/>
    <n v="51"/>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8"/>
    <x v="18"/>
    <n v="51"/>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8"/>
    <x v="18"/>
    <n v="51"/>
    <s v="Test SO"/>
    <n v="3"/>
    <s v="¿Qué componente del hardware es conocido a menudo como el &quot;cerebro&quot; de la computadora?"/>
    <s v="La Memoria RAM"/>
    <s v="La CPU (Central Processing Unit)"/>
    <s v="El Disco Duro (HDD)"/>
    <s v="La Tarjeta de Red"/>
    <s v="b"/>
  </r>
  <r>
    <x v="1"/>
    <n v="18"/>
    <x v="18"/>
    <n v="51"/>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8"/>
    <x v="18"/>
    <n v="51"/>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8"/>
    <x v="18"/>
    <n v="51"/>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8"/>
    <x v="18"/>
    <n v="51"/>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8"/>
    <x v="18"/>
    <n v="51"/>
    <s v="Test SO"/>
    <n v="8"/>
    <s v="Además del Disco Duro (HDD), ¿qué otro tipo de unidad de almacenamiento está reemplazando al HDD en muchos casos?"/>
    <s v="CDROM"/>
    <s v="Unidad flash USB"/>
    <s v="Unidades de estado sólido (SSD)"/>
    <s v="Memoria RAM"/>
    <s v="c"/>
  </r>
  <r>
    <x v="1"/>
    <n v="18"/>
    <x v="18"/>
    <n v="51"/>
    <s v="Test SO"/>
    <n v="9"/>
    <s v="Cuando se inicia un programa, ¿dónde carga el SO los archivos que lee del disco duro para su ejecución?"/>
    <s v="En el Escritorio"/>
    <s v="En un periférico de salida"/>
    <s v="En la CPU"/>
    <s v="En la Memoria RAM"/>
    <s v="d"/>
  </r>
  <r>
    <x v="1"/>
    <n v="18"/>
    <x v="18"/>
    <n v="51"/>
    <s v="Test SO"/>
    <n v="10"/>
    <s v="¿Cuáles son los dos conceptos importantes que utilizan los sistemas operativos para almacenar información?"/>
    <s v="Ventanas e íconos."/>
    <s v="Barras de tareas y Menús."/>
    <s v="Directorio/Carpeta y Fichero/Archivo."/>
    <s v="CPU y RAM."/>
    <s v="c"/>
  </r>
  <r>
    <x v="1"/>
    <n v="18"/>
    <x v="18"/>
    <n v="51"/>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8"/>
    <x v="18"/>
    <n v="51"/>
    <s v="Test SO"/>
    <n v="12"/>
    <s v="¿Qué representa la estructura nombre.extensión en un fichero?"/>
    <s v="El nombre del sistema operativo."/>
    <s v="El tipo de dato incluido en el fichero."/>
    <s v="El nombre del periférico que lo creó."/>
    <s v="La ubicación del fichero en la memoria RAM."/>
    <s v="b"/>
  </r>
  <r>
    <x v="1"/>
    <n v="18"/>
    <x v="18"/>
    <n v="51"/>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8"/>
    <x v="18"/>
    <n v="51"/>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8"/>
    <x v="18"/>
    <n v="51"/>
    <s v="Test SO"/>
    <n v="15"/>
    <s v="¿Cuál de los siguientes NO es un ejemplo de periférico habitual?"/>
    <s v="Ratón"/>
    <s v="Unidad flash USB"/>
    <s v="Tarjeta de red"/>
    <s v="La Placa Base (Motherboard)"/>
    <s v="d"/>
  </r>
  <r>
    <x v="1"/>
    <n v="18"/>
    <x v="18"/>
    <n v="51"/>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8"/>
    <x v="18"/>
    <n v="51"/>
    <s v="Test SO"/>
    <n v="17"/>
    <s v="Dentro de un entorno gráfico, ¿cómo se llama el área principal que se ve al iniciar sesión y donde se pueden colocar accesos directos?"/>
    <s v="Barra de tareas"/>
    <s v="Ventana"/>
    <s v="Menú"/>
    <s v="Escritorio"/>
    <s v="d"/>
  </r>
  <r>
    <x v="1"/>
    <n v="18"/>
    <x v="18"/>
    <n v="51"/>
    <s v="Test SO"/>
    <n v="18"/>
    <s v="¿Qué elemento del entorno gráfico muestra las aplicaciones abiertas y permite cambiar entre ellas?"/>
    <s v="El Ícono"/>
    <s v="El Menú Desplegable"/>
    <s v="La Barra de tareas"/>
    <s v="La Ventana"/>
    <s v="c"/>
  </r>
  <r>
    <x v="1"/>
    <n v="18"/>
    <x v="18"/>
    <n v="51"/>
    <s v="Test SO"/>
    <n v="19"/>
    <s v="¿Qué componente del entorno gráfico representa gráficamente una aplicación o archivo y se abre generalmente con un doble clic?"/>
    <s v="El Gestor de archivos"/>
    <s v="La Ventana"/>
    <s v="El Ícono"/>
    <s v="La CPU"/>
    <s v="c"/>
  </r>
  <r>
    <x v="1"/>
    <n v="18"/>
    <x v="18"/>
    <n v="51"/>
    <s v="Test SO"/>
    <n v="20"/>
    <s v="¿Cuál de las siguientes opciones es un Sistema Operativo (SO) destinado a teléfonos inteligentes (smartphones)?"/>
    <s v="Windows 11"/>
    <s v="SUSE"/>
    <s v="Monterey"/>
    <s v="iOS"/>
    <s v="d"/>
  </r>
  <r>
    <x v="1"/>
    <n v="18"/>
    <x v="18"/>
    <n v="52"/>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8"/>
    <x v="18"/>
    <n v="52"/>
    <s v="Test ofimatica basica"/>
    <n v="2"/>
    <s v="¿Aproximadamente en qué década comenzó a desarrollarse la Ofimática con la inclusión de microprocesadores en equipos de oficina?"/>
    <s v="La década de los 90."/>
    <s v="La década de los 70."/>
    <s v="La década del 2000."/>
    <s v="La década de los 80."/>
    <s v="b"/>
  </r>
  <r>
    <x v="1"/>
    <n v="18"/>
    <x v="18"/>
    <n v="52"/>
    <s v="Test ofimatica basica"/>
    <n v="3"/>
    <s v="La técnica centrada en la creación, edición, formateo y almacenamiento de documentos escritos se denomina:"/>
    <s v="Base de datos."/>
    <s v="Hojas de cálculo."/>
    <s v="Procesamiento de textos."/>
    <s v="Programas de presentación."/>
    <s v="c"/>
  </r>
  <r>
    <x v="1"/>
    <n v="18"/>
    <x v="18"/>
    <n v="52"/>
    <s v="Test ofimatica basica"/>
    <n v="4"/>
    <s v="¿Cuál es el software especializado, fundamental para la realización de cálculos matemáticos y la elaboración de gráficos?"/>
    <s v="Procesamiento de textos."/>
    <s v="Hojas de cálculo."/>
    <s v="Calendario / Agenda."/>
    <s v="Programas de presentación."/>
    <s v="b"/>
  </r>
  <r>
    <x v="1"/>
    <n v="18"/>
    <x v="18"/>
    <n v="52"/>
    <s v="Test ofimatica basica"/>
    <n v="5"/>
    <s v="¿Cuál es el componente de la suite ofimática LibreOffice especializado en hojas de cálculo?"/>
    <s v="Writer."/>
    <s v="Impress."/>
    <s v="Calc."/>
    <s v="Base."/>
    <s v="c"/>
  </r>
  <r>
    <x v="1"/>
    <n v="18"/>
    <x v="18"/>
    <n v="52"/>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8"/>
    <x v="18"/>
    <n v="52"/>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8"/>
    <x v="18"/>
    <n v="52"/>
    <s v="Test ofimatica basica"/>
    <n v="8"/>
    <s v="¿Qué tipo de licencia tiene LibreOffice?"/>
    <s v="Pago perpetuo."/>
    <s v="Pago mensual."/>
    <s v="Gratuita y software libre."/>
    <s v="Gratuita pero código propietario."/>
    <s v="c"/>
  </r>
  <r>
    <x v="1"/>
    <n v="18"/>
    <x v="18"/>
    <n v="52"/>
    <s v="Test ofimatica basica"/>
    <n v="9"/>
    <s v="¿Cuál de los siguientes es un componente principal de Microsoft Office (suite local)?"/>
    <s v="Sheets."/>
    <s v="Calc."/>
    <s v="Word."/>
    <s v="Slides."/>
    <s v="c"/>
  </r>
  <r>
    <x v="1"/>
    <n v="18"/>
    <x v="18"/>
    <n v="52"/>
    <s v="Test ofimatica basica"/>
    <n v="10"/>
    <s v="Si un programa permite gestionar el tiempo, recordar citas y computar tiempos dedicados a tareas, se clasifica como:"/>
    <s v="Base de datos."/>
    <s v="Sintaxis y reconocimiento de voz."/>
    <s v="Calendario / Agenda."/>
    <s v="Procesador de textos."/>
    <s v="c"/>
  </r>
  <r>
    <x v="1"/>
    <n v="18"/>
    <x v="18"/>
    <n v="52"/>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8"/>
    <x v="18"/>
    <n v="52"/>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8"/>
    <x v="18"/>
    <n v="52"/>
    <s v="Test ofimatica basica"/>
    <n v="13"/>
    <s v="¿Qué suite ofimática de código propietario se ejecuta en local y es muy popular, incluyendo componentes como Word y Excel?"/>
    <s v="Libreoffice."/>
    <s v="Google Docs / Workspace."/>
    <s v="WPS Office."/>
    <s v="Microsoft Office."/>
    <s v="d"/>
  </r>
  <r>
    <x v="1"/>
    <n v="18"/>
    <x v="18"/>
    <n v="52"/>
    <s v="Test ofimatica basica"/>
    <n v="14"/>
    <s v="Google Workspace (antes G Suite) es un ejemplo de suite ofimática basada completamente en:"/>
    <s v="Instalación y ejecución en local."/>
    <s v="Código abierto y gratuita."/>
    <s v="La nube."/>
    <s v="Código propietario y pago perpetuo."/>
    <s v="c"/>
  </r>
  <r>
    <x v="1"/>
    <n v="18"/>
    <x v="18"/>
    <n v="52"/>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8"/>
    <x v="18"/>
    <n v="52"/>
    <s v="Test ofimatica basica"/>
    <n v="16"/>
    <s v="¿Cuál de los siguientes NO es un componente principal de LibreOffice?"/>
    <s v="Writer."/>
    <s v="Calc."/>
    <s v="PowerPoint."/>
    <s v="Impress."/>
    <s v="c"/>
  </r>
  <r>
    <x v="1"/>
    <n v="18"/>
    <x v="18"/>
    <n v="52"/>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8"/>
    <x v="18"/>
    <n v="52"/>
    <s v="Test ofimatica basica"/>
    <n v="18"/>
    <s v="¿En qué sistemas operativos puede instalarse y ejecutarse la suite LibreOffice?"/>
    <s v="Solo Windows y macOS."/>
    <s v="Solo sistemas con navegador Web."/>
    <s v="Únicamente Linux."/>
    <s v="Windows, macOS, Linux."/>
    <s v="d"/>
  </r>
  <r>
    <x v="1"/>
    <n v="18"/>
    <x v="18"/>
    <n v="53"/>
    <s v="Test writter"/>
    <n v="1"/>
    <s v="¿Qué es LibreOffice Writer?"/>
    <s v="Una aplicación de hoja de cálculo."/>
    <s v="Un gestor de bases de datos."/>
    <s v="Un procesador de textos."/>
    <s v="Una herramienta de diseño gráfico."/>
    <s v="c"/>
  </r>
  <r>
    <x v="1"/>
    <n v="18"/>
    <x v="18"/>
    <n v="53"/>
    <s v="Test writter"/>
    <n v="2"/>
    <s v="¿Cuál es el formato predeterminado nativo para guardar documentos en LibreOffice Writer?"/>
    <s v=".docx."/>
    <s v=".pdf."/>
    <s v=".ott."/>
    <s v=".odt."/>
    <s v="d"/>
  </r>
  <r>
    <x v="1"/>
    <n v="18"/>
    <x v="18"/>
    <n v="53"/>
    <s v="Test writter"/>
    <n v="3"/>
    <s v="¿Qué atajo de teclado se utiliza para Guardar documento?"/>
    <s v="Ctrl + O."/>
    <s v="Ctrl + G."/>
    <s v="Ctrl + U."/>
    <s v="Ctrl + S."/>
    <s v="b"/>
  </r>
  <r>
    <x v="1"/>
    <n v="18"/>
    <x v="18"/>
    <n v="53"/>
    <s v="Test writter"/>
    <n v="4"/>
    <s v="En el entorno de Writer, ¿qué componente muestra información como el número de página, el idioma y la cantidad de palabras?"/>
    <s v="La Barra de Menú."/>
    <s v="El Área de Trabajo."/>
    <s v="La Barra de Estado."/>
    <s v="La Barra lateral."/>
    <s v="c"/>
  </r>
  <r>
    <x v="1"/>
    <n v="18"/>
    <x v="18"/>
    <n v="53"/>
    <s v="Test writter"/>
    <n v="5"/>
    <s v="Si deseas crear un documento que sirva como plantilla reutilizable, ¿qué formato debes utilizar al guardarlo?"/>
    <s v="ODF Text Document (.odt)."/>
    <s v="ODF Text Document Template (.ott)."/>
    <s v="Rich Text Format (.rtf)."/>
    <s v="Portable Document Format (.pdf)."/>
    <s v="b"/>
  </r>
  <r>
    <x v="1"/>
    <n v="18"/>
    <x v="18"/>
    <n v="53"/>
    <s v="Test writter"/>
    <n v="6"/>
    <s v="¿Qué atajo de teclado se utiliza para aplicar el formato Negrita?"/>
    <s v="Ctrl + I."/>
    <s v="Ctrl + S."/>
    <s v="Ctrl + N."/>
    <s v="Ctrl + M."/>
    <s v="c"/>
  </r>
  <r>
    <x v="1"/>
    <n v="18"/>
    <x v="18"/>
    <n v="53"/>
    <s v="Test writter"/>
    <n v="7"/>
    <s v="¿Qué opción de formato de texto incluye la alineación, el espaciado y la sangría?"/>
    <s v="Formato de Carácter."/>
    <s v="Formato de Texto."/>
    <s v="Formato de Lista."/>
    <s v="Formato de Párrafo."/>
    <s v="d"/>
  </r>
  <r>
    <x v="1"/>
    <n v="18"/>
    <x v="18"/>
    <n v="53"/>
    <s v="Test writter"/>
    <n v="8"/>
    <s v="¿Qué atajo de teclado permite acceder directamente a la ayuda de LibreOffice Writer?"/>
    <s v="F7."/>
    <s v="F1."/>
    <s v="F11."/>
    <s v="Ctrl + P."/>
    <s v="b"/>
  </r>
  <r>
    <x v="1"/>
    <n v="18"/>
    <x v="18"/>
    <n v="53"/>
    <s v="Test writter"/>
    <n v="9"/>
    <s v="¿Cuál es el proceso correcto para insertar una imagen desde un archivo?"/>
    <s v="Insertar &gt; Imagen."/>
    <s v="Insertar &gt; Foto."/>
    <s v="Archivo &gt; Abrir."/>
    <s v="Formato &gt; Imágenes."/>
    <s v="a"/>
  </r>
  <r>
    <x v="1"/>
    <n v="18"/>
    <x v="18"/>
    <n v="53"/>
    <s v="Test writter"/>
    <n v="10"/>
    <s v="Si necesitas ajustar la orientación de la página de modo que la anchura sea mayor que la altura, ¿qué orientación debes seleccionar?"/>
    <s v="Vertical (Retrato)."/>
    <s v="Carta."/>
    <s v="Horizontal (Paisaje)."/>
    <s v="A4."/>
    <s v="c"/>
  </r>
  <r>
    <x v="1"/>
    <n v="18"/>
    <x v="18"/>
    <n v="53"/>
    <s v="Test writter"/>
    <n v="11"/>
    <s v="¿Qué tipo de lista utiliza viñetas (puntos) en lugar de números y es ideal para elementos donde la secuencia no es relevante?"/>
    <s v="Listas ordenadas."/>
    <s v="Listas no numeradas o no ordenadas."/>
    <s v="Listas secuenciales."/>
    <s v="Listas multinivel."/>
    <s v="b"/>
  </r>
  <r>
    <x v="1"/>
    <n v="18"/>
    <x v="18"/>
    <n v="53"/>
    <s v="Test writter"/>
    <n v="12"/>
    <s v="¿Qué tipo de estilo de LibreOffice Writer controla el tamaño, la orientación y los márgenes del documento?"/>
    <s v="Estilos de párrafo."/>
    <s v="Estilos de carácter."/>
    <s v="Estilos de página."/>
    <s v="Estilos de tabla."/>
    <s v="c"/>
  </r>
  <r>
    <x v="1"/>
    <n v="18"/>
    <x v="18"/>
    <n v="53"/>
    <s v="Test writter"/>
    <n v="13"/>
    <s v="¿Cuál de estas opciones de exportación es adecuada para su uso en la web?"/>
    <s v="Exportar a PDF."/>
    <s v="Exportar a EPUB."/>
    <s v="Exportar a HTML."/>
    <s v="Exportar a XML."/>
    <s v="c"/>
  </r>
  <r>
    <x v="1"/>
    <n v="18"/>
    <x v="18"/>
    <n v="53"/>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8"/>
    <x v="18"/>
    <n v="53"/>
    <s v="Test writter"/>
    <n v="15"/>
    <s v="Antes de crear un Sumario (Tabla de Contenido), ¿qué es fundamental asegurarse de aplicar al documento?"/>
    <s v="Efectos de texto."/>
    <s v="Estilos de Título."/>
    <s v="Sangría de párrafo."/>
    <s v="Campos de Fecha y Hora."/>
    <s v="b"/>
  </r>
  <r>
    <x v="1"/>
    <n v="18"/>
    <x v="18"/>
    <n v="53"/>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8"/>
    <x v="18"/>
    <n v="53"/>
    <s v="Test writter"/>
    <n v="17"/>
    <s v="¿Qué atajo de teclado se utiliza para la función Buscar y reemplazar?"/>
    <s v="Ctrl + A."/>
    <s v="Ctrl + B."/>
    <s v="Ctrl + S."/>
    <s v="Ctrl + Q."/>
    <s v="b"/>
  </r>
  <r>
    <x v="1"/>
    <n v="18"/>
    <x v="18"/>
    <n v="53"/>
    <s v="Test writter"/>
    <n v="18"/>
    <s v="¿Cuál de las opciones de ajuste de texto para imágenes coloca la imagen detrás del texto?"/>
    <s v="Ajustado."/>
    <s v="Predeterminado."/>
    <s v="Al fondo."/>
    <s v="En línea."/>
    <s v="c"/>
  </r>
  <r>
    <x v="1"/>
    <n v="18"/>
    <x v="18"/>
    <n v="53"/>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8"/>
    <x v="18"/>
    <n v="53"/>
    <s v="Test writter"/>
    <n v="20"/>
    <s v="¿Cuál de los siguientes es un tipo común de campo que se actualiza automáticamente en un documento?"/>
    <s v="Campos de Galería."/>
    <s v="Campos de Animación."/>
    <s v="Campos de Números de Página."/>
    <s v="Campos de Bordes."/>
    <s v="c"/>
  </r>
  <r>
    <x v="1"/>
    <n v="18"/>
    <x v="18"/>
    <n v="54"/>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8"/>
    <x v="18"/>
    <n v="54"/>
    <s v="Test calc"/>
    <n v="2"/>
    <s v="Durante la instalación de LibreOffice en Windows, ¿qué opción se debe seleccionar para una configuración estándar?"/>
    <s v="Instalación personalizada."/>
    <s v="Instalación portátil."/>
    <s v="Instalación típica."/>
    <s v="Modo de alto rendimiento."/>
    <s v="c"/>
  </r>
  <r>
    <x v="1"/>
    <n v="18"/>
    <x v="18"/>
    <n v="54"/>
    <s v="Test calc"/>
    <n v="3"/>
    <s v="Además de los menús comunes, ¿cuáles son los dos menús específicos que posee LibreOffice Calc?"/>
    <s v="Archivo y Editar."/>
    <s v="Hoja y Datos."/>
    <s v="Insertar y Formato."/>
    <s v="Ver y Ayuda."/>
    <s v="b"/>
  </r>
  <r>
    <x v="1"/>
    <n v="18"/>
    <x v="18"/>
    <n v="54"/>
    <s v="Test calc"/>
    <n v="4"/>
    <s v="En la Barra de Fórmulas, ¿qué componente muestra la referencia de la celda activa (ej. A1, B2) y se puede utilizar para nombrar rangos de celdas?"/>
    <s v="El Campo de Fórmula."/>
    <s v="El Botón de Función (fx)."/>
    <s v="La Caja de Nombre."/>
    <s v="El Área de la Hoja."/>
    <s v="c"/>
  </r>
  <r>
    <x v="1"/>
    <n v="18"/>
    <x v="18"/>
    <n v="54"/>
    <s v="Test calc"/>
    <n v="5"/>
    <s v="En el Área de la Hoja, ¿qué carácter utilizan los encabezados de las columnas?"/>
    <s v="Un carácter numérico que comienza en 1."/>
    <s v="Un carácter alfabético que comienza en A."/>
    <s v="Un carácter romano."/>
    <s v="Un carácter especial."/>
    <s v="b"/>
  </r>
  <r>
    <x v="1"/>
    <n v="18"/>
    <x v="18"/>
    <n v="54"/>
    <s v="Test calc"/>
    <n v="6"/>
    <s v="¿Cuál es la sintaxis utilizada para nombrar un conjunto de celdas (rango) en Calc?"/>
    <s v="&quot;Primera Celda, Última Celda&quot;."/>
    <s v="&quot;Primera Celda/Última Celda&quot;."/>
    <s v="&quot;Primera Celda + Última Celda&quot;."/>
    <s v="&quot;Primera Celda:Última Celda&quot;."/>
    <s v="d"/>
  </r>
  <r>
    <x v="1"/>
    <n v="18"/>
    <x v="18"/>
    <n v="54"/>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8"/>
    <x v="18"/>
    <n v="54"/>
    <s v="Test calc"/>
    <n v="8"/>
    <s v="¿Cuál de estas opciones es una de las cinco páginas que componen la Barra lateral de Calc?"/>
    <s v="Comentarios."/>
    <s v="Propiedades."/>
    <s v="Formulario."/>
    <s v="Revisión."/>
    <s v="b"/>
  </r>
  <r>
    <x v="1"/>
    <n v="18"/>
    <x v="18"/>
    <n v="54"/>
    <s v="Test calc"/>
    <n v="9"/>
    <s v="¿Qué atajo de teclado se utiliza en LibreOffice Calc para Guardar documento?"/>
    <s v="Ctrl + A."/>
    <s v="Ctrl + U."/>
    <s v="Ctrl + G."/>
    <s v="Ctrl + F4."/>
    <s v="c"/>
  </r>
  <r>
    <x v="1"/>
    <n v="18"/>
    <x v="18"/>
    <n v="54"/>
    <s v="Test calc"/>
    <n v="10"/>
    <s v="¿Cuál es el atajo de teclado específico para realizar un Pegado especial?"/>
    <s v="Ctrl + C."/>
    <s v="Ctrl + V."/>
    <s v="Ctrl + May + V."/>
    <s v="Ctrl + May + Alt + V."/>
    <s v="c"/>
  </r>
  <r>
    <x v="1"/>
    <n v="18"/>
    <x v="18"/>
    <n v="54"/>
    <s v="Test calc"/>
    <n v="11"/>
    <s v="¿Qué acción realiza el atajo de teclado Ctrl + 1?"/>
    <s v="Poner en Negrita."/>
    <s v="Abrir el diálogo de Formato Celda."/>
    <s v="Limpiar formato directo."/>
    <s v="Recalcular."/>
    <s v="b"/>
  </r>
  <r>
    <x v="1"/>
    <n v="18"/>
    <x v="18"/>
    <n v="54"/>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8"/>
    <x v="18"/>
    <n v="54"/>
    <s v="Test calc"/>
    <n v="13"/>
    <s v="En las Opciones Principales del Formato de Página, ¿qué elemento permite configurar el orden en que se imprimen las páginas?"/>
    <s v="Bordes."/>
    <s v="Encabezado."/>
    <s v="Hoja."/>
    <s v="Márgenes."/>
    <s v="c"/>
  </r>
  <r>
    <x v="1"/>
    <n v="18"/>
    <x v="18"/>
    <n v="54"/>
    <s v="Test calc"/>
    <n v="14"/>
    <s v="¿Cuál de los siguientes es un tipo común de Formato Condicional que se basa en el uso de flechas, semáforos o estrellas para indicar visualmente un valor?"/>
    <s v="Condición Simple."/>
    <s v="Escalas de Color."/>
    <s v="Iconos."/>
    <s v="Doble condición."/>
    <s v="c"/>
  </r>
  <r>
    <x v="1"/>
    <n v="18"/>
    <x v="18"/>
    <n v="54"/>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8"/>
    <x v="18"/>
    <n v="54"/>
    <s v="Test calc"/>
    <n v="16"/>
    <s v="¿Qué función se utiliza para bloquear filas en la parte superior o columnas en la parte izquierda de la hoja para que permanezcan visibles al desplazarse?"/>
    <s v="Ocultar."/>
    <s v="Ordenar."/>
    <s v="Inmovilizar."/>
    <s v="Fijar."/>
    <s v="c"/>
  </r>
  <r>
    <x v="1"/>
    <n v="18"/>
    <x v="18"/>
    <n v="54"/>
    <s v="Test calc"/>
    <n v="17"/>
    <s v="¿Qué tipo de filtro utiliza criterios específicos de filtrado?"/>
    <s v="Estándar."/>
    <s v="Filtro automático."/>
    <s v="Avanzado."/>
    <s v="Filtro de texto."/>
    <s v="c"/>
  </r>
  <r>
    <x v="1"/>
    <n v="18"/>
    <x v="18"/>
    <n v="54"/>
    <s v="Test calc"/>
    <n v="18"/>
    <s v="Por defecto, todas las celdas están bloqueadas, pero el bloqueo solo tiene efecto cuando..."/>
    <s v="...se ha activado la validación de datos."/>
    <s v="...se han aplicado formatos condicionales."/>
    <s v="...la hoja de cálculo está protegida."/>
    <s v="...se usa el atajo Ctrl + S."/>
    <s v="c"/>
  </r>
  <r>
    <x v="1"/>
    <n v="18"/>
    <x v="18"/>
    <n v="54"/>
    <s v="Test calc"/>
    <n v="19"/>
    <s v="¿Cuál es el formato de archivo predeterminado de LibreOffice Calc?"/>
    <s v="ODF Spreadsheet (.ods)"/>
    <s v="MS Excel (.xlsx)."/>
    <s v="Texto delimitado por comas (.csv)."/>
    <s v="Open Document Format (.xls)"/>
    <s v="a"/>
  </r>
  <r>
    <x v="1"/>
    <n v="18"/>
    <x v="18"/>
    <n v="54"/>
    <s v="Test calc"/>
    <n v="20"/>
    <s v="Según las fuentes, ¿con qué signo deben comenzar obligatoriamente las fórmulas en LibreOffice Calc?"/>
    <s v="#"/>
    <s v="@"/>
    <s v="="/>
    <s v="$"/>
    <s v="c"/>
  </r>
  <r>
    <x v="1"/>
    <n v="18"/>
    <x v="18"/>
    <n v="54"/>
    <s v="Test calc"/>
    <n v="21"/>
    <s v="La función en LibreOffice Calc específica para calcular la media aritmética es:"/>
    <s v="MEDIA"/>
    <s v="PROMEDIO"/>
    <s v="MEDIA.A"/>
    <s v="MEDIANA"/>
    <s v="b"/>
  </r>
  <r>
    <x v="1"/>
    <n v="18"/>
    <x v="18"/>
    <n v="54"/>
    <s v="Test calc"/>
    <n v="22"/>
    <s v="La función en LibreOffice Calc específica para enlazar cadenas de texto es:"/>
    <s v="CONCAT"/>
    <s v="CONCATENA"/>
    <s v="UNIRTEXTO"/>
    <s v="TEXTO"/>
    <s v="a"/>
  </r>
  <r>
    <x v="1"/>
    <n v="18"/>
    <x v="18"/>
    <n v="55"/>
    <s v="Test navegacion e internet"/>
    <n v="1"/>
    <s v="¿Qué siglas corresponden a un proveedor de servicios de Internet, una empresa que proporciona acceso a la red?"/>
    <s v="HTML"/>
    <s v="TCP/IP"/>
    <s v="ISP"/>
    <s v="URL"/>
    <s v="c"/>
  </r>
  <r>
    <x v="1"/>
    <n v="18"/>
    <x v="18"/>
    <n v="55"/>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8"/>
    <x v="18"/>
    <n v="55"/>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8"/>
    <x v="18"/>
    <n v="55"/>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8"/>
    <x v="18"/>
    <n v="55"/>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8"/>
    <x v="18"/>
    <n v="55"/>
    <s v="Test navegacion e internet"/>
    <n v="6"/>
    <s v="¿Cuál de los siguientes es mencionado como un ejemplo de navegador de tipo &quot;Open Source o Software Libre&quot;?"/>
    <s v="Google Chrome"/>
    <s v="Microsoft Edge"/>
    <s v="Mozilla Firefox"/>
    <s v="Safari"/>
    <s v="c"/>
  </r>
  <r>
    <x v="1"/>
    <n v="18"/>
    <x v="18"/>
    <n v="55"/>
    <s v="Test navegacion e internet"/>
    <n v="7"/>
    <s v="¿Qué significan las siglas URL?"/>
    <s v="Universal Resource Language"/>
    <s v="User Request Locator"/>
    <s v="Uniform Resource Locators"/>
    <s v="Ultimate Routing Layer"/>
    <s v="c"/>
  </r>
  <r>
    <x v="1"/>
    <n v="18"/>
    <x v="18"/>
    <n v="55"/>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8"/>
    <x v="18"/>
    <n v="55"/>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8"/>
    <x v="18"/>
    <n v="55"/>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8"/>
    <x v="18"/>
    <n v="55"/>
    <s v="Test navegacion e internet"/>
    <n v="11"/>
    <s v="¿Qué significan las siglas HTML?"/>
    <s v="Hosting and Transfer Management Logic"/>
    <s v="High Text Mobility Language"/>
    <s v="HyperText Markup Language"/>
    <s v="Hyperlink Transmission Memory Logic"/>
    <s v="c"/>
  </r>
  <r>
    <x v="1"/>
    <n v="18"/>
    <x v="18"/>
    <n v="55"/>
    <s v="Test navegacion e internet"/>
    <n v="12"/>
    <s v="¿Qué organización dedicada a la estandarización de tecnologías web gestiona el estándar HTML?"/>
    <s v="IANA"/>
    <s v="ICANN"/>
    <s v="World Wide Web Consortium (W3C)"/>
    <s v="Internet Explorer"/>
    <s v="c"/>
  </r>
  <r>
    <x v="1"/>
    <n v="18"/>
    <x v="18"/>
    <n v="55"/>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8"/>
    <x v="18"/>
    <n v="55"/>
    <s v="Test navegacion e internet"/>
    <n v="14"/>
    <s v="¿A qué nos referimos con, Archivo, Editar, Ver y Ayuda?"/>
    <s v="Zoom"/>
    <s v="Menús"/>
    <s v="Descargas"/>
    <s v="Barra de navegación"/>
    <s v="b"/>
  </r>
  <r>
    <x v="1"/>
    <n v="18"/>
    <x v="18"/>
    <n v="55"/>
    <s v="Test navegacion e internet"/>
    <n v="15"/>
    <s v="¿Qué elemento utiliza Firefox para guardar los enlaces de aquellas páginas web consideradas de mayor interés para visitarlas en el futuro?"/>
    <s v="Historial"/>
    <s v="Extensiones"/>
    <s v="Contraseñas"/>
    <s v="Marcadores o Bookmarks"/>
    <s v="d"/>
  </r>
  <r>
    <x v="1"/>
    <n v="18"/>
    <x v="18"/>
    <n v="55"/>
    <s v="Test navegacion e internet"/>
    <n v="16"/>
    <s v="¿A qué panel del navegador podemos acceder para ver la referencia de todos los sitios web visitados?"/>
    <s v="Descargas"/>
    <s v="Marcadores"/>
    <s v="Historial"/>
    <s v="Ventanas emergentes"/>
    <s v="c"/>
  </r>
  <r>
    <x v="1"/>
    <n v="18"/>
    <x v="18"/>
    <n v="55"/>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8"/>
    <x v="18"/>
    <n v="55"/>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8"/>
    <x v="18"/>
    <n v="55"/>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8"/>
    <x v="18"/>
    <n v="55"/>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8"/>
    <x v="18"/>
    <n v="55"/>
    <s v="Test navegacion e internet"/>
    <n v="21"/>
    <s v="¿Qué NO identifica una cookie?"/>
    <s v="Una combinación de computadora-navegador-usuario."/>
    <s v="El nombre de usuario introducido."/>
    <s v="A una persona."/>
    <s v="La actividad previa del navegador."/>
    <s v="c"/>
  </r>
  <r>
    <x v="1"/>
    <n v="18"/>
    <x v="18"/>
    <n v="55"/>
    <s v="Test navegacion e internet"/>
    <n v="22"/>
    <s v="¿Cómo se le denomina al servidor informático especializado en la búsqueda de información en la web?"/>
    <s v="Protocolo TCP/IP"/>
    <s v="Buscador de Internet o motor de búsqueda"/>
    <s v="Cliente de correo en nube"/>
    <s v="ISP"/>
    <s v="b"/>
  </r>
  <r>
    <x v="1"/>
    <n v="18"/>
    <x v="18"/>
    <n v="55"/>
    <s v="Test navegacion e internet"/>
    <n v="23"/>
    <s v="¿Qué técnicas utilizan los buscadores de Internet para recopilar datos?"/>
    <s v="Uso de Zoom y Menús."/>
    <s v="Empleo de Acuse de recibo y Archivos Adjuntos."/>
    <s v="Rastreo y la indexación de páginas."/>
    <s v="Uso de Marcadores y Extensiones."/>
    <s v="c"/>
  </r>
  <r>
    <x v="1"/>
    <n v="18"/>
    <x v="18"/>
    <n v="55"/>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8"/>
    <x v="18"/>
    <n v="55"/>
    <s v="Test navegacion e internet"/>
    <n v="25"/>
    <s v="¿Qué sintaxis se utiliza en la búsqueda avanzada de Google para buscar una frase de forma &quot;Exacta&quot;?"/>
    <s v="libreoffice OR zaragoza"/>
    <s v="site:zaragoza.es"/>
    <s v="filetype:odt"/>
    <s v="&quot;Curso de LibreOffice&quot;"/>
    <s v="d"/>
  </r>
  <r>
    <x v="1"/>
    <n v="18"/>
    <x v="18"/>
    <n v="55"/>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8"/>
    <x v="18"/>
    <n v="55"/>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8"/>
    <x v="18"/>
    <n v="55"/>
    <s v="Test navegacion e internet"/>
    <n v="28"/>
    <s v="¿Cuál de los siguientes es un ejemplo de Cliente de correo de Escritorio?"/>
    <s v="Google Gmail"/>
    <s v="Yahoo Mail"/>
    <s v="Mozilla Thunderbird"/>
    <s v="Microsoft Hotmail"/>
    <s v="c"/>
  </r>
  <r>
    <x v="1"/>
    <n v="18"/>
    <x v="18"/>
    <n v="55"/>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8"/>
    <x v="18"/>
    <n v="55"/>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8"/>
    <x v="18"/>
    <n v="56"/>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8"/>
    <x v="18"/>
    <n v="56"/>
    <s v="Fotocopiadoras"/>
    <n v="2"/>
    <s v="¿Cómo funciona un escáner para capturar la imagen de un documento?"/>
    <s v="Inyección de tinta."/>
    <s v="Matriz de puntos."/>
    <s v="Electrotomográfico."/>
    <s v="Electrofotográfico."/>
    <s v="d"/>
  </r>
  <r>
    <x v="1"/>
    <n v="18"/>
    <x v="18"/>
    <n v="56"/>
    <s v="Fotocopiadoras"/>
    <n v="3"/>
    <s v="En el sistema de color CMYK, la 'K' se utiliza para designar el color ..."/>
    <s v="Rojo"/>
    <s v="Ciank"/>
    <s v="Negro"/>
    <s v="Azul"/>
    <s v="c"/>
  </r>
  <r>
    <x v="1"/>
    <n v="18"/>
    <x v="18"/>
    <n v="56"/>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8"/>
    <x v="18"/>
    <n v="56"/>
    <s v="Fotocopiadoras"/>
    <n v="5"/>
    <s v="El tóner, comúnmente llamado &quot;tinta seca&quot;, está compuesto principalmente por pigmentos y otro material que se funde para fijar el tóner. ¿Cuál es este material?"/>
    <s v="Agua."/>
    <s v="Acero."/>
    <s v="Goma."/>
    <s v="Plástico."/>
    <s v="d"/>
  </r>
  <r>
    <x v="1"/>
    <n v="18"/>
    <x v="18"/>
    <n v="56"/>
    <s v="Fotocopiadoras"/>
    <n v="6"/>
    <s v="¿Qué permite el Alimentador Automático de Documentos (AAD)?"/>
    <s v="Pasar documentos al fusor."/>
    <s v="Es el Convertidor Analógico-Digital (ADC)."/>
    <s v="Proyectar el haz de láser."/>
    <s v="Gestionar el papel con los originales a copiar."/>
    <s v="d"/>
  </r>
  <r>
    <x v="1"/>
    <n v="18"/>
    <x v="18"/>
    <n v="56"/>
    <s v="Fotocopiadoras"/>
    <n v="7"/>
    <s v="¿Cuál es la función que permite leer y reconocer el texto de un original en papel?"/>
    <s v="RRO"/>
    <s v="ORC (object reader control)"/>
    <s v="OCR"/>
    <s v="ODR"/>
    <s v="c"/>
  </r>
  <r>
    <x v="1"/>
    <n v="18"/>
    <x v="18"/>
    <n v="56"/>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8"/>
    <x v="18"/>
    <n v="56"/>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8"/>
    <x v="18"/>
    <n v="56"/>
    <s v="Fotocopiadoras"/>
    <n v="10"/>
    <s v="Según la norma ISO Serie A, ¿qué formato de papel (210 × 297 mm) se considera el tamaño estándar para informes y facturas?"/>
    <s v="Es un A3"/>
    <s v="Es un A4"/>
    <s v="Es formato ANSI"/>
    <s v="No existe este tamaño"/>
    <s v="b"/>
  </r>
  <r>
    <x v="1"/>
    <n v="18"/>
    <x v="18"/>
    <n v="56"/>
    <s v="Fotocopiadoras"/>
    <n v="11"/>
    <s v="¿Qué función de las impresoras multifunción permite poner límites a la impresión?"/>
    <s v="Gestión de cuotas"/>
    <s v="Gestión de usuarios y cuotas"/>
    <s v="Gestión de tiempo"/>
    <s v="Seguridad basada en roles"/>
    <s v="b"/>
  </r>
  <r>
    <x v="1"/>
    <n v="18"/>
    <x v="18"/>
    <n v="56"/>
    <s v="Fotocopiadoras"/>
    <n v="12"/>
    <s v="¿Qué rango de gramaje (peso del papel) suelen soportar las impresoras multifunción modernas?"/>
    <s v="20 gr/m²"/>
    <s v="80 gr/m²"/>
    <s v="100 gr/m²"/>
    <s v="Todas son correctas"/>
    <s v="b"/>
  </r>
  <r>
    <x v="1"/>
    <n v="18"/>
    <x v="18"/>
    <n v="56"/>
    <s v="Fotocopiadoras"/>
    <n v="13"/>
    <s v="¿Cuál es la función principal de la bandeja de salida?"/>
    <s v="Almacenar el papel entrante"/>
    <s v="Recoger las copias grapadas"/>
    <s v="Alimentar el escaner"/>
    <s v="Recoger los trabajos impresos"/>
    <s v="d"/>
  </r>
  <r>
    <x v="1"/>
    <n v="18"/>
    <x v="18"/>
    <n v="56"/>
    <s v="Fotocopiadoras"/>
    <n v="14"/>
    <s v="¿Por qué algunas bandejas de salida pueden desplazar la salida de papel unos milímetros?"/>
    <s v="Para alimentar a la siguiente bandeja"/>
    <s v="Para airear el papel y evitar atascos"/>
    <s v="Para separar trabajos"/>
    <s v="Todas son correctas"/>
    <s v="c"/>
  </r>
  <r>
    <x v="1"/>
    <n v="18"/>
    <x v="18"/>
    <n v="56"/>
    <s v="Fotocopiadoras"/>
    <n v="15"/>
    <s v="¿Qué es un Finisher (Finalizador) en una impresora multifunción?"/>
    <s v="Alimenta a las bandejas de salida."/>
    <s v="Añadir funcionalidades a la impresora."/>
    <s v="Alimentar documentos."/>
    <s v="Finalizar el proceso de escaneo."/>
    <s v="b"/>
  </r>
  <r>
    <x v="1"/>
    <n v="18"/>
    <x v="18"/>
    <n v="56"/>
    <s v="Fotocopiadoras"/>
    <n v="16"/>
    <s v="¿Cuál es tamaño doble de papel A4?"/>
    <s v="A3."/>
    <s v="A8."/>
    <s v="A2."/>
    <s v="A5."/>
    <s v="a"/>
  </r>
  <r>
    <x v="1"/>
    <n v="21"/>
    <x v="19"/>
    <n v="57"/>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21"/>
    <x v="19"/>
    <n v="57"/>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21"/>
    <x v="19"/>
    <n v="57"/>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21"/>
    <x v="19"/>
    <n v="57"/>
    <s v="Test centros civicos"/>
    <n v="4"/>
    <s v="¿Cuáles de estos servicios no se prestan desde los Centros Cívicos?"/>
    <s v="Servicios permanentes"/>
    <s v="Servicios itinerantes"/>
    <s v="Cesión de espacios"/>
    <m/>
    <s v="b"/>
  </r>
  <r>
    <x v="1"/>
    <n v="21"/>
    <x v="19"/>
    <n v="57"/>
    <s v="Test centros civicos"/>
    <n v="5"/>
    <s v="¿Cuál de estas actuaciones o servicios no se prestarán desde los servicios permanentes del Centro Cívico?"/>
    <s v="Centros Municipales de Servicios Sociales"/>
    <s v="Centros Municipales de tiempo libre y ludotecas"/>
    <s v="Albergue Municipal"/>
    <m/>
    <s v="c"/>
  </r>
  <r>
    <x v="1"/>
    <n v="21"/>
    <x v="19"/>
    <n v="57"/>
    <s v="Test centros civicos"/>
    <n v="6"/>
    <s v="¿Quién tendrá prioridad en la cesión de espacios de Centros Cívicos?"/>
    <s v="Los Servicios Municipales"/>
    <s v="Las Juntas de Vecinos"/>
    <s v="Las asociaciones legalmente constituidas"/>
    <m/>
    <s v="a"/>
  </r>
  <r>
    <x v="1"/>
    <n v="21"/>
    <x v="19"/>
    <n v="57"/>
    <s v="Test centros civicos"/>
    <n v="7"/>
    <s v="¿Cuántos Centros Cívicos hay en la ciudad de Zaragoza?"/>
    <n v="20"/>
    <n v="22"/>
    <n v="25"/>
    <m/>
    <s v="b"/>
  </r>
  <r>
    <x v="1"/>
    <n v="21"/>
    <x v="19"/>
    <n v="57"/>
    <s v="Test centros civicos"/>
    <n v="8"/>
    <s v="¿Cuándo se inauguró el primer Centro Cívico en Zaragoza?"/>
    <n v="1980"/>
    <n v="1985"/>
    <n v="1990"/>
    <m/>
    <s v="b"/>
  </r>
  <r>
    <x v="1"/>
    <n v="21"/>
    <x v="19"/>
    <n v="57"/>
    <s v="Test centros civicos"/>
    <n v="9"/>
    <s v="¿Cuál de estos no es un Centro Cívico del Ayuntamiento de Zaragoza?"/>
    <s v="Centro Cívico Esquinas del Psiquiátrico"/>
    <s v="Centro Cívico Juslibol"/>
    <s v="Centro Cívico Casetas"/>
    <m/>
    <s v="c"/>
  </r>
  <r>
    <x v="1"/>
    <n v="21"/>
    <x v="19"/>
    <n v="57"/>
    <s v="Test centros civicos"/>
    <n v="10"/>
    <s v="¿Con qué personal cuenta el servicio gestor de los Centros Cívicos?"/>
    <s v="personal municipal de mantenimiento"/>
    <s v="electricistas"/>
    <s v="personal municipal del servicio de ayuda a domicilio"/>
    <m/>
    <s v="a"/>
  </r>
  <r>
    <x v="1"/>
    <n v="21"/>
    <x v="19"/>
    <n v="57"/>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21"/>
    <x v="19"/>
    <n v="57"/>
    <s v="Test centros civicos"/>
    <n v="12"/>
    <s v="¿Por quién es gestionada la red de Centros Cívicos Municipales?"/>
    <s v="Por el Ayuntamiento de Zaragoza"/>
    <s v="Por los Servicios Sociales Comunitarios"/>
    <s v="Por gestión concertada"/>
    <m/>
    <s v="a"/>
  </r>
  <r>
    <x v="1"/>
    <n v="21"/>
    <x v="19"/>
    <n v="57"/>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21"/>
    <x v="19"/>
    <n v="57"/>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21"/>
    <x v="19"/>
    <n v="57"/>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21"/>
    <x v="19"/>
    <n v="57"/>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21"/>
    <x v="19"/>
    <n v="57"/>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21"/>
    <x v="19"/>
    <n v="57"/>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21"/>
    <x v="19"/>
    <n v="57"/>
    <s v="Test centros civicos"/>
    <n v="19"/>
    <s v="¿Cuál será el Centro Cívico que se inaugurará este año 2026?"/>
    <s v="Centro Cívico de San Mateo"/>
    <s v="Centro Cívico de Arco Sur"/>
    <s v="Centro Cívico Vía Hispanidad"/>
    <m/>
    <s v="c"/>
  </r>
  <r>
    <x v="1"/>
    <n v="21"/>
    <x v="19"/>
    <n v="57"/>
    <s v="Test centros civicos"/>
    <n v="20"/>
    <s v="Dentro de las actividades socioculturales no podemos encontrar:"/>
    <s v="Talleres y cursos manuales o artísticos"/>
    <s v="Programas especiales (Navidad, Fiestas del Pilar…)"/>
    <s v="Programa de Halloween"/>
    <m/>
    <s v="c"/>
  </r>
  <r>
    <x v="1"/>
    <n v="22"/>
    <x v="20"/>
    <n v="58"/>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22"/>
    <x v="20"/>
    <n v="58"/>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22"/>
    <x v="20"/>
    <n v="58"/>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22"/>
    <x v="20"/>
    <n v="58"/>
    <s v="Tes centros publicos escolares"/>
    <n v="4"/>
    <s v="¿Por cuántos trabajadores está formada la Unidad de Colegios Públicos?"/>
    <n v="85"/>
    <n v="100"/>
    <n v="150"/>
    <n v="160"/>
    <s v="c"/>
  </r>
  <r>
    <x v="1"/>
    <n v="22"/>
    <x v="20"/>
    <n v="58"/>
    <s v="Tes centros publicos escolares"/>
    <n v="5"/>
    <s v="¿En cuantos Centros prestan sus servicios la plantilla de la Unidad de Colegios Públicos?"/>
    <n v="85"/>
    <n v="100"/>
    <n v="150"/>
    <n v="160"/>
    <s v="c"/>
  </r>
  <r>
    <x v="1"/>
    <n v="22"/>
    <x v="20"/>
    <n v="58"/>
    <s v="Tes centros publicos escolares"/>
    <n v="6"/>
    <s v="¿En qué calle se encuentra situado el centro administrativo de esta Unidad de Colegios Públicos?"/>
    <s v="Calle Miguel Servet 57"/>
    <s v="Calle Albareda 14"/>
    <s v="Calle Miguel Servet 27"/>
    <s v="Calle Albareda 24"/>
    <s v="a"/>
  </r>
  <r>
    <x v="1"/>
    <n v="22"/>
    <x v="20"/>
    <n v="58"/>
    <s v="Tes centros publicos escolares"/>
    <n v="7"/>
    <s v="¿Cuál de estos no es un Centro Escolar?"/>
    <s v="Centros Especiales"/>
    <s v="Escuelas Infantiles Municipales"/>
    <s v="Centro de Educación Infantil y Educación Primaria"/>
    <s v="Centro de Educación Primaria"/>
    <s v="a"/>
  </r>
  <r>
    <x v="1"/>
    <n v="22"/>
    <x v="20"/>
    <n v="58"/>
    <s v="Tes centros publicos escolares"/>
    <n v="8"/>
    <s v="¿Qué edad tienen que tener los niños que acuden a las Escuelas Infantiles Municipales?"/>
    <s v="De 3 a 24 meses"/>
    <s v="De 4 a 36 meses"/>
    <s v="De 6 a 24 meses"/>
    <s v="De 3 a 36 meses"/>
    <s v="b"/>
  </r>
  <r>
    <x v="1"/>
    <n v="22"/>
    <x v="20"/>
    <n v="58"/>
    <s v="Tes centros publicos escolares"/>
    <n v="9"/>
    <s v="¿Hasta que hora abren las Escuelas Infantiles?"/>
    <n v="0.64583333333333337"/>
    <n v="0.6875"/>
    <n v="0.70833333333333337"/>
    <n v="0.72916666666666663"/>
    <s v="b"/>
  </r>
  <r>
    <x v="1"/>
    <n v="22"/>
    <x v="20"/>
    <n v="58"/>
    <s v="Tes centros publicos escolares"/>
    <n v="10"/>
    <s v="¿Dónde está situado el Centro Coordinador de Escuelas Infantiles?"/>
    <s v="Calle Albareda nº3"/>
    <s v="Calle Cortesias nº1"/>
    <s v="Calle Miguel Servet nº4"/>
    <s v="Calle San Pablo nº10"/>
    <s v="b"/>
  </r>
  <r>
    <x v="1"/>
    <n v="22"/>
    <x v="20"/>
    <n v="58"/>
    <s v="Tes centros publicos escolares"/>
    <n v="11"/>
    <s v="¿A los Centros de Educación Infantil (CEI) pueden acudir niños de qué edad?"/>
    <s v="De 3 a 5 años"/>
    <s v="De 0 a 5 años"/>
    <s v="De 3 a 6 años"/>
    <s v="De 0 a 6 años"/>
    <s v="b"/>
  </r>
  <r>
    <x v="1"/>
    <n v="22"/>
    <x v="20"/>
    <n v="58"/>
    <s v="Tes centros publicos escolares"/>
    <n v="12"/>
    <s v="¿En la calle Sobrarbe nº4, que CEIP está situado?"/>
    <s v="Cándido Domingo"/>
    <s v="Doctor Azua"/>
    <s v="Fernández Vizarra"/>
    <s v="Gascón y Marín"/>
    <s v="a"/>
  </r>
  <r>
    <x v="1"/>
    <n v="22"/>
    <x v="20"/>
    <n v="58"/>
    <s v="Tes centros publicos escolares"/>
    <n v="13"/>
    <s v="¿Qué CEIP está situado en el Camino Juslibol s/n?"/>
    <s v="Gascón y Marín"/>
    <s v="Marcos Frechín"/>
    <s v="Lucien Briet"/>
    <s v="Margarita Salas"/>
    <s v="c"/>
  </r>
  <r>
    <x v="1"/>
    <n v="22"/>
    <x v="20"/>
    <n v="58"/>
    <s v="Tes centros publicos escolares"/>
    <n v="14"/>
    <s v="¿En que Calle está el CIP Parque Goya?"/>
    <s v="C/ El Coloso 5"/>
    <s v="C/ Balbino Orensanz 9"/>
    <s v="C/ Ibon de Astún 5"/>
    <s v="C/ el Tambor de Hojalata 6"/>
    <s v="a"/>
  </r>
  <r>
    <x v="1"/>
    <n v="22"/>
    <x v="20"/>
    <n v="58"/>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22"/>
    <x v="20"/>
    <n v="58"/>
    <s v="Tes centros publicos escolares"/>
    <n v="16"/>
    <s v="¿Hasta que edad pueden estar escolarizados los alumnos que acuden a los Centros de Educación Especial?"/>
    <s v="14 años"/>
    <s v="16 años"/>
    <s v="18 años"/>
    <s v="21 años"/>
    <s v="d"/>
  </r>
  <r>
    <x v="1"/>
    <n v="22"/>
    <x v="20"/>
    <n v="58"/>
    <s v="Tes centros publicos escolares"/>
    <n v="17"/>
    <s v="¿Cuál de estos no es un Centro de Educación Especial de la ciudad de Zaragoza?"/>
    <s v="Jean Piaget"/>
    <s v="Angel Riviere"/>
    <s v="Maria Soriano"/>
    <s v="San Jorge"/>
    <s v="d"/>
  </r>
  <r>
    <x v="1"/>
    <n v="22"/>
    <x v="20"/>
    <n v="58"/>
    <s v="Tes centros publicos escolares"/>
    <n v="18"/>
    <s v="¿El primer ciclo de los Centros de Educación Infantil que edades comprenden?"/>
    <s v="De 0 a 2"/>
    <s v="De 0 a 3"/>
    <s v="De 0 a 5"/>
    <s v="De 0 a 4"/>
    <s v="a"/>
  </r>
  <r>
    <x v="1"/>
    <n v="22"/>
    <x v="20"/>
    <n v="58"/>
    <s v="Tes centros publicos escolares"/>
    <n v="19"/>
    <s v="¿A Qué Departamento está adscrito la Unidad de Colegios Públicos?"/>
    <s v="Departamento de Educación y Cultura"/>
    <s v="Departamento Educacional"/>
    <s v="Departamento de Cultura, Educación y Turismo"/>
    <s v="Departamento de Cultura"/>
    <s v="c"/>
  </r>
  <r>
    <x v="1"/>
    <n v="22"/>
    <x v="20"/>
    <n v="58"/>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7"/>
    <x v="17"/>
    <n v="59"/>
    <s v="Test sonido 1 2022"/>
    <n v="1"/>
    <s v="Cuantos conductores activos tiene que tener un cable para línea balanceada mono."/>
    <s v="Dos"/>
    <s v="Tres"/>
    <s v="Dos y malla"/>
    <m/>
    <s v="a"/>
  </r>
  <r>
    <x v="1"/>
    <n v="17"/>
    <x v="17"/>
    <n v="59"/>
    <s v="Test sonido 1 2022"/>
    <n v="2"/>
    <s v="La longitud de onda del sonido de mide en"/>
    <s v="Decibelios"/>
    <s v="Hercios"/>
    <s v="Metros"/>
    <m/>
    <s v="c"/>
  </r>
  <r>
    <x v="1"/>
    <n v="17"/>
    <x v="17"/>
    <n v="59"/>
    <s v="Test sonido 1 2022"/>
    <n v="3"/>
    <s v="Un RCA es:"/>
    <s v="Un filtro para frecuencias graves."/>
    <s v="Un conector para señales de linea"/>
    <s v="Un conector para señales de micrófono"/>
    <m/>
    <s v="b"/>
  </r>
  <r>
    <x v="1"/>
    <n v="17"/>
    <x v="17"/>
    <n v="59"/>
    <s v="Test sonido 1 2022"/>
    <n v="4"/>
    <s v="Que micrófono necesita alimentación PHANTOM:"/>
    <s v="El Power Hight"/>
    <s v="El electrostático o de condensador"/>
    <s v="El de bobina móvil"/>
    <m/>
    <s v="b"/>
  </r>
  <r>
    <x v="1"/>
    <n v="17"/>
    <x v="17"/>
    <n v="59"/>
    <s v="Test sonido 1 2022"/>
    <n v="5"/>
    <s v="En una mesa de mezclas que función tiene el Panorámico o Balance."/>
    <s v="Enviar el sonido a L o R"/>
    <s v="Convertir una señal de linea a balanceada."/>
    <s v="Enviar la señal a los monitores"/>
    <m/>
    <s v="a"/>
  </r>
  <r>
    <x v="1"/>
    <n v="17"/>
    <x v="17"/>
    <n v="59"/>
    <s v="Test sonido 1 2022"/>
    <n v="6"/>
    <s v="La potencia nominal de un amplificador se mide en:"/>
    <s v="Decibelios de sonido"/>
    <s v="Vatios"/>
    <s v="Ohmios por vatio"/>
    <m/>
    <s v="b"/>
  </r>
  <r>
    <x v="1"/>
    <n v="17"/>
    <x v="17"/>
    <n v="59"/>
    <s v="Test sonido 1 2022"/>
    <n v="7"/>
    <s v="Que determina el numero de altavoces que podemos conectar a un amplificador."/>
    <s v="La impedancia equivalente de la carga total"/>
    <s v="La suma de potencias totales"/>
    <s v="La suma de los vatios"/>
    <m/>
    <s v="a"/>
  </r>
  <r>
    <x v="1"/>
    <n v="17"/>
    <x v="17"/>
    <n v="59"/>
    <s v="Test sonido 1 2022"/>
    <n v="8"/>
    <s v="Los sonidos agudos corresponden a:"/>
    <s v="Las frecuencias con mayor longitud de onda"/>
    <s v="Las frecuencias con menor longitud de onda"/>
    <s v="Las mayores amplitudes de honda"/>
    <m/>
    <s v="b"/>
  </r>
  <r>
    <x v="1"/>
    <n v="17"/>
    <x v="17"/>
    <n v="59"/>
    <s v="Test sonido 1 2022"/>
    <n v="9"/>
    <s v="Cual de estas extensiones no corresponde a un archivo digital de sonido:"/>
    <s v=".mx3"/>
    <s v=".wav"/>
    <s v=".ra"/>
    <m/>
    <s v="a"/>
  </r>
  <r>
    <x v="1"/>
    <n v="17"/>
    <x v="17"/>
    <n v="59"/>
    <s v="Test sonido 1 2022"/>
    <n v="10"/>
    <s v="Si en un amplificador pone “Tape ” que podemos conectar:"/>
    <s v="Un micrófono"/>
    <s v="Una salida de altavoz"/>
    <s v="Una entrada de línea"/>
    <m/>
    <s v="c"/>
  </r>
  <r>
    <x v="1"/>
    <n v="17"/>
    <x v="17"/>
    <n v="59"/>
    <s v="Test sonido 1 2022"/>
    <n v="11"/>
    <s v="La intensidad con que percibimos un sonido se mide en:"/>
    <s v="Vatios RHT"/>
    <s v="Vatios RMS"/>
    <s v="Ninguna es correcta"/>
    <m/>
    <s v="c"/>
  </r>
  <r>
    <x v="1"/>
    <n v="17"/>
    <x v="17"/>
    <n v="59"/>
    <s v="Test sonido 1 2022"/>
    <n v="12"/>
    <s v="En un equipo de sonido que debe encenderse lo ultimo:"/>
    <s v="La etapa de potencia."/>
    <s v="El interruptor general"/>
    <s v="La mesa de mezclas"/>
    <m/>
    <s v="a"/>
  </r>
  <r>
    <x v="1"/>
    <n v="17"/>
    <x v="17"/>
    <n v="59"/>
    <s v="Test sonido 1 2022"/>
    <n v="13"/>
    <s v="Son emisores de sonido de tipo radiación indirecta."/>
    <s v="Los monitores"/>
    <s v="Los de empotrar en el falso techo"/>
    <s v="Los exponenciales"/>
    <m/>
    <s v="c"/>
  </r>
  <r>
    <x v="1"/>
    <n v="17"/>
    <x v="17"/>
    <n v="59"/>
    <s v="Test sonido 1 2022"/>
    <n v="14"/>
    <s v="Son tipos de micrófonos:"/>
    <s v="Los de condensador"/>
    <s v="Los dinámicos"/>
    <s v="Ambos"/>
    <m/>
    <s v="c"/>
  </r>
  <r>
    <x v="1"/>
    <n v="17"/>
    <x v="17"/>
    <n v="59"/>
    <s v="Test sonido 1 2022"/>
    <n v="15"/>
    <s v="Un conector especifico para potencia en sonido es:"/>
    <s v="Speakon"/>
    <s v="JACK MONO"/>
    <s v="RCA"/>
    <m/>
    <s v="a"/>
  </r>
  <r>
    <x v="1"/>
    <n v="17"/>
    <x v="17"/>
    <n v="59"/>
    <s v="Test sonido 1 2022"/>
    <n v="16"/>
    <s v="Que es un DAT"/>
    <s v="Diversity Analogic Tape"/>
    <s v="Dijey Audio Tape"/>
    <s v="Digital Audio Tape"/>
    <m/>
    <s v="c"/>
  </r>
  <r>
    <x v="1"/>
    <n v="17"/>
    <x v="17"/>
    <n v="59"/>
    <s v="Test sonido 1 2022"/>
    <n v="17"/>
    <s v="Son tipos de ecualizadores"/>
    <s v="Los geométricos"/>
    <s v="Los paramétricos"/>
    <s v="Los dos anteriores"/>
    <m/>
    <s v="b"/>
  </r>
  <r>
    <x v="1"/>
    <n v="17"/>
    <x v="17"/>
    <n v="59"/>
    <s v="Test sonido 1 2022"/>
    <n v="18"/>
    <s v="Los amplificadores de megafonía además de las salidas para altavoz de baja impedancia pueden tener salidas para altavoces a:"/>
    <s v="70 w"/>
    <s v="100 v"/>
    <s v="230 v"/>
    <m/>
    <s v="b"/>
  </r>
  <r>
    <x v="1"/>
    <n v="17"/>
    <x v="17"/>
    <n v="59"/>
    <s v="Test sonido 1 2022"/>
    <n v="19"/>
    <s v="Si una onda sonora esta desfasada 180º con otra de las mismas características se dice que :"/>
    <s v="Teóricamente el sonido se anula."/>
    <s v="Están en resonancia"/>
    <s v="Están en fase"/>
    <m/>
    <s v="a"/>
  </r>
  <r>
    <x v="1"/>
    <n v="17"/>
    <x v="17"/>
    <n v="59"/>
    <s v="Test sonido 1 2022"/>
    <n v="20"/>
    <s v="Un cable de carga para un solo altavoz tiene:"/>
    <s v="Un conductor, malla y recubrimiento aislante"/>
    <s v="Dos conductores y recubrimiento aislante"/>
    <s v="Dos conductores, maya y recubrimiento aislante."/>
    <m/>
    <s v="b"/>
  </r>
  <r>
    <x v="1"/>
    <n v="17"/>
    <x v="17"/>
    <n v="59"/>
    <s v="Test sonido 1 2022"/>
    <n v="21"/>
    <s v="Si un reproductor de sonido tiene salida “5.1” quiere indicar:"/>
    <s v="La versión del aparato"/>
    <s v="Que tiene seis salidas"/>
    <s v="El tipo de conector a utilizar."/>
    <m/>
    <s v="b"/>
  </r>
  <r>
    <x v="1"/>
    <n v="17"/>
    <x v="17"/>
    <n v="59"/>
    <s v="Test sonido 1 2022"/>
    <n v="22"/>
    <s v="En los archivos MP3 la música esta:"/>
    <s v="Comprimida"/>
    <s v="Desfragmentada."/>
    <s v="Remasterizada"/>
    <m/>
    <s v="a"/>
  </r>
  <r>
    <x v="1"/>
    <n v="17"/>
    <x v="17"/>
    <n v="59"/>
    <s v="Test sonido 1 2022"/>
    <n v="23"/>
    <s v="Que conector tiene los contactos en tres puntas."/>
    <s v="XLR"/>
    <s v="RCA"/>
    <s v="JACK"/>
    <m/>
    <s v="a"/>
  </r>
  <r>
    <x v="1"/>
    <n v="17"/>
    <x v="17"/>
    <n v="59"/>
    <s v="Test sonido 1 2022"/>
    <n v="24"/>
    <s v="Qué altavoces tienen mayor rango de frecuencia de respuesta:"/>
    <s v="Los exponenciales"/>
    <s v="Las cajas acústicas"/>
    <s v="En ambos se tiene niveles muy similares, solo el fabricante crea pequeñas diferencias."/>
    <m/>
    <s v="b"/>
  </r>
  <r>
    <x v="1"/>
    <n v="17"/>
    <x v="17"/>
    <n v="59"/>
    <s v="Test sonido 1 2022"/>
    <n v="25"/>
    <s v="Para la emisión de avisos por megafonía la característica menos importante de equipo es:"/>
    <s v="La inteligibilidad"/>
    <s v="La potencia del amplificador"/>
    <s v="La distribución de los emisores"/>
    <m/>
    <s v="b"/>
  </r>
  <r>
    <x v="1"/>
    <n v="17"/>
    <x v="17"/>
    <n v="60"/>
    <s v="Test sonido 2 2022"/>
    <n v="1"/>
    <s v="¿Cuál de estos conectores está indicado para fibra óptica?"/>
    <s v="Toslink"/>
    <s v="Opticalconect"/>
    <s v="Optolink"/>
    <m/>
    <s v="a"/>
  </r>
  <r>
    <x v="1"/>
    <n v="17"/>
    <x v="17"/>
    <n v="60"/>
    <s v="Test sonido 2 2022"/>
    <n v="2"/>
    <s v="¿ Que inconveniente tiene aplicar mucha ganancia a un micrófono?"/>
    <s v="Hay riesgo de realimentación o “ acople”"/>
    <s v="Hay posibilidad de distorsión del sonido captado"/>
    <s v="Ambas son correctas"/>
    <m/>
    <s v="c"/>
  </r>
  <r>
    <x v="1"/>
    <n v="17"/>
    <x v="17"/>
    <n v="60"/>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7"/>
    <x v="17"/>
    <n v="60"/>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7"/>
    <x v="17"/>
    <n v="60"/>
    <s v="Test sonido 2 2022"/>
    <n v="5"/>
    <s v="Que señal eléctrica llega normalmente con mayor intensidad a la mesa de sonido:"/>
    <s v="la de micrófono dinámico"/>
    <s v="La de micrófono con phantom"/>
    <s v="La de línea"/>
    <m/>
    <s v="c"/>
  </r>
  <r>
    <x v="1"/>
    <n v="17"/>
    <x v="17"/>
    <n v="60"/>
    <s v="Test sonido 2 2022"/>
    <n v="6"/>
    <s v="Si la señal que llega a la mesa es débil, que mando debemos ajustar primero:"/>
    <s v="El máster o level del canal"/>
    <s v="La ganancia o trim del canal"/>
    <s v="El máster o level general"/>
    <m/>
    <s v="b"/>
  </r>
  <r>
    <x v="1"/>
    <n v="17"/>
    <x v="17"/>
    <n v="60"/>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7"/>
    <x v="17"/>
    <n v="60"/>
    <s v="Test sonido 2 2022"/>
    <n v="8"/>
    <s v="El tipo de ecualizador que tienen las mesas de mezclas se denomina:"/>
    <s v="Ecualizador gráfico"/>
    <s v="Ecualizador de directo"/>
    <s v="Ecualizador paramétrico"/>
    <m/>
    <s v="c"/>
  </r>
  <r>
    <x v="1"/>
    <n v="17"/>
    <x v="17"/>
    <n v="60"/>
    <s v="Test sonido 2 2022"/>
    <n v="9"/>
    <s v="¿ Puede ayudarnos un ecualizador a evitar realimentaciones o acoples?"/>
    <s v="No, solo dependen del volumen"/>
    <s v="Sí, eliminando ciertas frecuencias causantes del acoplamiento"/>
    <s v="Sí, eliminando las frecuencias más bajas y más altas"/>
    <m/>
    <s v="b"/>
  </r>
  <r>
    <x v="1"/>
    <n v="17"/>
    <x v="17"/>
    <n v="60"/>
    <s v="Test sonido 2 2022"/>
    <n v="10"/>
    <s v="Si queremos enviar la señal de una fuente sonora a un aparato ( un grabador por ejemplo), de forma independiente a la salida general o máster de una mesa de mezclas, a través de qué envío lo haremos."/>
    <s v="Aux"/>
    <s v="Phones"/>
    <s v="Return"/>
    <m/>
    <s v="a"/>
  </r>
  <r>
    <x v="1"/>
    <n v="17"/>
    <x v="17"/>
    <n v="60"/>
    <s v="Test sonido 2 2022"/>
    <n v="11"/>
    <s v="Un conector XLR 3 ( con tres puntas ), ¿puede utilizarse para soportar señal estéreo?"/>
    <s v="Sí"/>
    <s v="Siempre llevará señal estéreo"/>
    <s v="No"/>
    <m/>
    <s v="c"/>
  </r>
  <r>
    <x v="1"/>
    <n v="17"/>
    <x v="17"/>
    <n v="60"/>
    <s v="Test sonido 2 2022"/>
    <n v="12"/>
    <s v="Un conector jack de 6,35 mm con tres contactos, además de señal estéreo, ¿ se utiliza con otros fines que para llevar señal estéreo?"/>
    <s v="Sí, para llevar señal balanceada"/>
    <s v="Sí, para cascos con micrófono"/>
    <s v="No"/>
    <m/>
    <s v="a"/>
  </r>
  <r>
    <x v="1"/>
    <n v="17"/>
    <x v="17"/>
    <n v="60"/>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7"/>
    <x v="17"/>
    <n v="60"/>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7"/>
    <x v="17"/>
    <n v="60"/>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7"/>
    <x v="17"/>
    <n v="60"/>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7"/>
    <x v="17"/>
    <n v="60"/>
    <s v="Test sonido 2 2022"/>
    <n v="17"/>
    <s v="Un altavoz tipo “woofer” ¿qué tipo de frecuencias son las que mejor reproduce?"/>
    <s v="Las altas"/>
    <s v="Las medias y altas"/>
    <s v="Las bajas"/>
    <m/>
    <s v="c"/>
  </r>
  <r>
    <x v="1"/>
    <n v="17"/>
    <x v="17"/>
    <n v="60"/>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7"/>
    <x v="17"/>
    <n v="60"/>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7"/>
    <x v="17"/>
    <n v="60"/>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7"/>
    <x v="17"/>
    <n v="60"/>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7"/>
    <x v="17"/>
    <n v="60"/>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7"/>
    <x v="17"/>
    <n v="60"/>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7"/>
    <x v="17"/>
    <n v="60"/>
    <s v="Test sonido 2 2022"/>
    <n v="24"/>
    <s v="Un micrófono puede llevar para conexionar a la mesa de mezclas un conector de tipo:"/>
    <s v="Jack 6,35 mm"/>
    <s v="XLR3"/>
    <s v="Ambas son correctas"/>
    <m/>
    <s v="c"/>
  </r>
  <r>
    <x v="1"/>
    <n v="17"/>
    <x v="17"/>
    <n v="60"/>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7"/>
    <x v="17"/>
    <n v="61"/>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7"/>
    <x v="17"/>
    <n v="61"/>
    <s v="Test Instalaciones Audiovisuales"/>
    <n v="2"/>
    <s v="Existen 3 tipos de altavoces según el tono que reproducen: ¿Cuáles son?"/>
    <s v="Agudos, Driver. Graves, Woofer. Medios Tweeter."/>
    <s v="Agudos Tweeter. Medios Woofer. Graves Tweeter."/>
    <s v="Agudos Tweeter. Medios Driver. Graves Woofer."/>
    <m/>
    <s v="c"/>
  </r>
  <r>
    <x v="1"/>
    <n v="17"/>
    <x v="17"/>
    <n v="61"/>
    <s v="Test Instalaciones Audiovisuales"/>
    <n v="3"/>
    <s v="¿Qué otro nombre recibe el cable Euroconector?"/>
    <s v="Coaxial RC."/>
    <s v="Scart."/>
    <s v="Midi."/>
    <m/>
    <s v="b"/>
  </r>
  <r>
    <x v="1"/>
    <n v="17"/>
    <x v="17"/>
    <n v="61"/>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7"/>
    <x v="17"/>
    <n v="61"/>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7"/>
    <x v="17"/>
    <n v="61"/>
    <s v="Test Instalaciones Audiovisuales"/>
    <n v="6"/>
    <s v="¿Qué otra utilidad, además de transmitir vídeo y audio estéreo, puede tener el cable coaxial RF?"/>
    <s v="Cable de antena."/>
    <s v="Cable aislante."/>
    <s v="Transmisión de datos."/>
    <m/>
    <s v="a"/>
  </r>
  <r>
    <x v="1"/>
    <n v="17"/>
    <x v="17"/>
    <n v="61"/>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7"/>
    <x v="17"/>
    <n v="61"/>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7"/>
    <x v="17"/>
    <n v="61"/>
    <s v="Test Instalaciones Audiovisuales"/>
    <n v="9"/>
    <s v="El sonido no puede propagarse"/>
    <s v="En el hielo."/>
    <s v="En el vacío."/>
    <s v="En las rocas."/>
    <m/>
    <s v="b"/>
  </r>
  <r>
    <x v="1"/>
    <n v="17"/>
    <x v="17"/>
    <n v="61"/>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7"/>
    <x v="17"/>
    <n v="61"/>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7"/>
    <x v="17"/>
    <n v="61"/>
    <s v="Test Instalaciones Audiovisuales"/>
    <n v="12"/>
    <s v="Son cables de Video Digital:"/>
    <s v="DVI y Thunderbolt"/>
    <s v="HDMI y Scart."/>
    <s v="Firmwire y VGA."/>
    <m/>
    <s v="a"/>
  </r>
  <r>
    <x v="1"/>
    <n v="17"/>
    <x v="17"/>
    <n v="61"/>
    <s v="Test Instalaciones Audiovisuales"/>
    <n v="13"/>
    <s v="¿Qué significa que el sonido reverbera?"/>
    <s v="Que es un sonido estridente y molesto."/>
    <s v="Que es un sonido que rebota en distintos tipos de superficie."/>
    <s v="Que es un sonido que se vuelve audible al oído humano."/>
    <m/>
    <s v="b"/>
  </r>
  <r>
    <x v="1"/>
    <n v="17"/>
    <x v="17"/>
    <n v="61"/>
    <s v="Test Instalaciones Audiovisuales"/>
    <n v="14"/>
    <s v="¿Qué tipo de conector es este?"/>
    <s v="S/PDIF Coaxial."/>
    <s v="Jack Estéreo."/>
    <s v="Jack Mono."/>
    <m/>
    <s v="b"/>
  </r>
  <r>
    <x v="1"/>
    <n v="17"/>
    <x v="17"/>
    <n v="61"/>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7"/>
    <x v="17"/>
    <n v="61"/>
    <s v="Test Instalaciones Audiovisuales"/>
    <n v="16"/>
    <s v="¿Con qué se relaciona la amplitud del sonido?"/>
    <s v="Con el volumen."/>
    <s v="Con los decibelios."/>
    <s v="Con la potencia acústica."/>
    <m/>
    <s v="a"/>
  </r>
  <r>
    <x v="1"/>
    <n v="17"/>
    <x v="17"/>
    <n v="61"/>
    <s v="Test Instalaciones Audiovisuales"/>
    <n v="17"/>
    <s v="¿Qué mantenimiento periódico debe tener un proyector?"/>
    <s v="Ninguno. Sólo cambiar la lámpara cuando se funda o se agote."/>
    <s v="Simplemente la limpieza de la lente."/>
    <s v="Limpieza de la lente, el filtro, y las salidas de aire."/>
    <m/>
    <s v="c"/>
  </r>
  <r>
    <x v="1"/>
    <n v="17"/>
    <x v="17"/>
    <n v="61"/>
    <s v="Test Instalaciones Audiovisuales"/>
    <n v="18"/>
    <s v="Este dibujo corresponde a una conexión...:"/>
    <s v="Puerto USB"/>
    <s v="Mini HDMI."/>
    <s v="Mini VGA."/>
    <m/>
    <s v="b"/>
  </r>
  <r>
    <x v="1"/>
    <n v="17"/>
    <x v="17"/>
    <n v="61"/>
    <s v="Test Instalaciones Audiovisuales"/>
    <n v="19"/>
    <s v="¿Cuál de estos tipo de audio tiene peor calidad de sonido?"/>
    <s v="WAV."/>
    <s v="ALAC."/>
    <s v="MP3."/>
    <m/>
    <s v="c"/>
  </r>
  <r>
    <x v="1"/>
    <n v="17"/>
    <x v="17"/>
    <n v="61"/>
    <s v="Test Instalaciones Audiovisuales"/>
    <n v="20"/>
    <s v="En los cables RCA:"/>
    <s v="Rojo es el canal izquierdo y blanco es el canal derecho."/>
    <s v="Rojo es el canal derecho y blanco es el canal izquierdo."/>
    <s v="Es un tipo de cable balanceado."/>
    <m/>
    <s v="b"/>
  </r>
  <r>
    <x v="1"/>
    <n v="17"/>
    <x v="17"/>
    <n v="61"/>
    <s v="Test Instalaciones Audiovisuales"/>
    <n v="21"/>
    <s v="RAW, es un tipo de formato:"/>
    <s v="De imagen."/>
    <s v="De video."/>
    <s v="De audio."/>
    <m/>
    <s v="c"/>
  </r>
  <r>
    <x v="1"/>
    <n v="17"/>
    <x v="17"/>
    <n v="61"/>
    <s v="Test Instalaciones Audiovisuales"/>
    <n v="22"/>
    <s v="La intensidad del sonido se mide en:"/>
    <s v="Vatios."/>
    <s v="Decibelios."/>
    <s v="Hertzios."/>
    <m/>
    <s v="b"/>
  </r>
  <r>
    <x v="1"/>
    <n v="17"/>
    <x v="17"/>
    <n v="61"/>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7"/>
    <x v="17"/>
    <n v="61"/>
    <s v="Test Instalaciones Audiovisuales"/>
    <n v="24"/>
    <s v="¿Cuál de estos conectores de sonido está indicado para fibra óptica?"/>
    <s v="Toslink."/>
    <s v="Optolink."/>
    <s v="Opticalconect."/>
    <m/>
    <s v="a"/>
  </r>
  <r>
    <x v="1"/>
    <n v="17"/>
    <x v="17"/>
    <n v="61"/>
    <s v="Test Instalaciones Audiovisuales"/>
    <n v="25"/>
    <s v="Son formatos de video:"/>
    <s v="WMV, .MOV, MKV."/>
    <s v="AU, OPUS, WMV."/>
    <s v="OGG, FLAC, FLV."/>
    <m/>
    <s v="a"/>
  </r>
  <r>
    <x v="1"/>
    <n v="17"/>
    <x v="17"/>
    <n v="61"/>
    <s v="Test Instalaciones Audiovisuales"/>
    <n v="26"/>
    <s v="La característica por la cual los sonidos son agudos, graves o medios es:"/>
    <s v="El timbre."/>
    <s v="El tono."/>
    <s v="La intensidad."/>
    <m/>
    <s v="b"/>
  </r>
  <r>
    <x v="1"/>
    <n v="17"/>
    <x v="17"/>
    <n v="61"/>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7"/>
    <x v="17"/>
    <n v="61"/>
    <s v="Test Instalaciones Audiovisuales"/>
    <n v="28"/>
    <s v="Los amplificadores:"/>
    <s v="Se deben encender los últimos y apagar los primeros."/>
    <s v="Se deben encender los primeros y apagar los últimos."/>
    <s v="Se pueden encender indistintamente sin tener en cuenta el orden de encendido."/>
    <m/>
    <s v="a"/>
  </r>
  <r>
    <x v="1"/>
    <n v="17"/>
    <x v="17"/>
    <n v="61"/>
    <s v="Test Instalaciones Audiovisuales"/>
    <n v="29"/>
    <s v="¿Cuál es la cualidad que permite distinguir dos sonidos de igual frecuencia e intensidad emitidos por distintas fuentes?"/>
    <s v="Timbre."/>
    <s v="Tono."/>
    <s v="Amplitud."/>
    <m/>
    <s v="a"/>
  </r>
  <r>
    <x v="1"/>
    <n v="17"/>
    <x v="17"/>
    <n v="61"/>
    <s v="Test Instalaciones Audiovisuales"/>
    <n v="30"/>
    <s v="¿Qué tipos de mesa de sonido podemos encontrar"/>
    <s v="Analógicas y digitales."/>
    <s v="Analógicas, digitales y autoamplificadas."/>
    <s v="Analógicas, digitales y profesionales."/>
    <m/>
    <s v="b"/>
  </r>
  <r>
    <x v="1"/>
    <n v="17"/>
    <x v="17"/>
    <n v="61"/>
    <s v="Test Instalaciones Audiovisuales"/>
    <n v="31"/>
    <s v="¿Cuál de estos tres formatos no actúa sobre la compresión de audio afectando solamente a la de vídeo?"/>
    <s v="H.264."/>
    <s v="MKV."/>
    <s v="DIVX."/>
    <m/>
    <s v="c"/>
  </r>
  <r>
    <x v="1"/>
    <n v="17"/>
    <x v="17"/>
    <n v="61"/>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7"/>
    <x v="17"/>
    <n v="61"/>
    <s v="Test Instalaciones Audiovisuales"/>
    <n v="33"/>
    <s v="Son tipos de proyector:"/>
    <s v="DVL, MHL, DLP."/>
    <s v="DLP, LcoS, LED"/>
    <s v="MPG, DLP, Laser."/>
    <m/>
    <s v="b"/>
  </r>
  <r>
    <x v="1"/>
    <n v="17"/>
    <x v="17"/>
    <n v="61"/>
    <s v="Test Instalaciones Audiovisuales"/>
    <n v="34"/>
    <s v="¿Qué son los “master” en una mesa de sonido?"/>
    <s v="Son los controles de balanceo del sonido."/>
    <s v="Son los reguladores de ecualización de los auxiliares de entrada."/>
    <s v="Son los controles de salida directos a los altavoces."/>
    <m/>
    <s v="c"/>
  </r>
  <r>
    <x v="1"/>
    <n v="17"/>
    <x v="17"/>
    <n v="61"/>
    <s v="Test Instalaciones Audiovisuales"/>
    <n v="35"/>
    <s v="Tiene la función de transmitir la señal desde la fuente de sonido hasta los altavoces:"/>
    <s v="Los cables."/>
    <s v="El amplificador."/>
    <s v="La mesa de sonido."/>
    <m/>
    <s v="a"/>
  </r>
  <r>
    <x v="1"/>
    <n v="17"/>
    <x v="17"/>
    <n v="61"/>
    <s v="Test Instalaciones Audiovisuales"/>
    <n v="36"/>
    <s v="La interfaz HDMI que permite transmitir audio se denomina:"/>
    <s v="HDMI TRS."/>
    <s v="HDMI DLC."/>
    <s v="HDMI ARC."/>
    <m/>
    <s v="c"/>
  </r>
  <r>
    <x v="1"/>
    <n v="17"/>
    <x v="17"/>
    <n v="61"/>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7"/>
    <x v="17"/>
    <n v="61"/>
    <s v="Test Instalaciones Audiovisuales"/>
    <n v="38"/>
    <s v="En los proyectores, el sistema DLP está basado en:"/>
    <s v="Pantalla de cristal líquido."/>
    <s v="Rueda de colores."/>
    <s v="Microespejos."/>
    <m/>
    <s v="c"/>
  </r>
  <r>
    <x v="1"/>
    <n v="17"/>
    <x v="17"/>
    <n v="61"/>
    <s v="Test Instalaciones Audiovisuales"/>
    <n v="39"/>
    <s v="¿Cómo es el cable Video Componente?"/>
    <s v="Es un cable con un conector de 4 pines."/>
    <s v="3 conectores tipo RCA, verde, rojo, azul."/>
    <s v="Cable con 5 pines y una muesca para conectar en una única posición."/>
    <m/>
    <s v="b"/>
  </r>
  <r>
    <x v="1"/>
    <n v="17"/>
    <x v="17"/>
    <n v="61"/>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7"/>
    <x v="17"/>
    <n v="61"/>
    <s v="Test Instalaciones Audiovisuales"/>
    <n v="41"/>
    <s v="Según su construcción, son tipos de micrófono:"/>
    <s v="Analógicos y digitales."/>
    <s v="De mano e inhalámbricos."/>
    <s v="De condensador y dinámicos."/>
    <m/>
    <s v="c"/>
  </r>
  <r>
    <x v="1"/>
    <n v="17"/>
    <x v="17"/>
    <n v="61"/>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7"/>
    <x v="17"/>
    <n v="61"/>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7"/>
    <x v="17"/>
    <n v="61"/>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7"/>
    <x v="17"/>
    <n v="61"/>
    <s v="Test Instalaciones Audiovisuales"/>
    <n v="45"/>
    <s v="Si conectamos a un ordenador un equipo de sonido, mediante una cable toslink, en el propio equipo de audio para que funcione correctamente habrá que seleccionar:"/>
    <s v="Optical."/>
    <s v="AUX IN."/>
    <s v="Digital Out."/>
    <m/>
    <s v="a"/>
  </r>
  <r>
    <x v="1"/>
    <n v="17"/>
    <x v="17"/>
    <n v="61"/>
    <s v="Test Instalaciones Audiovisuales"/>
    <n v="46"/>
    <s v="Entre un ordenador y una pantalla, para transmitir imagen, entre otras, ¿qué tipos de conexiones inalámbricas pueden existir?"/>
    <s v="Intel Widi, Bluetooth, VDO.Ninja."/>
    <s v="Plex, Serviio, Wifi."/>
    <s v="Ambas son correctas."/>
    <m/>
    <s v="b"/>
  </r>
  <r>
    <x v="1"/>
    <n v="17"/>
    <x v="17"/>
    <n v="61"/>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7"/>
    <x v="17"/>
    <n v="61"/>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7"/>
    <x v="17"/>
    <n v="61"/>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7"/>
    <x v="17"/>
    <n v="61"/>
    <s v="Test Instalaciones Audiovisuales"/>
    <n v="50"/>
    <s v="Al conectar un sistema de audio a un ordenador, ¿en qué toma del ordenador habrá que conectarlo?:"/>
    <s v="En la toma Jack verde."/>
    <s v="En las tomas RCA."/>
    <s v="En la toma AUX IN del PC."/>
    <m/>
    <s v="a"/>
  </r>
  <r>
    <x v="0"/>
    <n v="1"/>
    <x v="0"/>
    <n v="62"/>
    <s v="0. Test 2024 TL Of. Mantenimiento"/>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3"/>
    <x v="2"/>
    <n v="62"/>
    <s v="0. Test 2024 TL Of. Mantenimiento"/>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3"/>
    <x v="2"/>
    <n v="62"/>
    <s v="0. Test 2024 TL Of. Mantenimiento"/>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2"/>
    <x v="1"/>
    <n v="62"/>
    <s v="0. Test 2024 TL Of. Mantenimiento"/>
    <n v="6"/>
    <s v="De acuerdo con el artículo 5 del Estatuto de Autonomía de Aragón, Aragón estructura su organización territorial en :"/>
    <s v="Municipios y provincias"/>
    <s v="Municipios, comarcas y provincias"/>
    <s v="Comarcas."/>
    <m/>
    <s v="b"/>
  </r>
  <r>
    <x v="0"/>
    <n v="2"/>
    <x v="1"/>
    <n v="62"/>
    <s v="0. Test 2024 TL Of. Mantenimiento"/>
    <n v="7"/>
    <s v="De acuerdo con el artículo 72.1 del Estatuto de Autonomía de Aragón, en materia de aguas que discurran íntegramente por su territorio corresponde a la Comunidad Autónoma la competencia:"/>
    <s v="Ejecutiva."/>
    <s v="Compartida."/>
    <s v="Exclusiva."/>
    <m/>
    <s v="c"/>
  </r>
  <r>
    <x v="0"/>
    <n v="6"/>
    <x v="5"/>
    <n v="62"/>
    <s v="0. Test 2024 TL Of. Mantenimiento"/>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11"/>
    <x v="10"/>
    <n v="62"/>
    <s v="0. Test 2024 TL Of. Mantenimiento"/>
    <n v="11"/>
    <s v="En unos baños del centro cívico hay un inodoro en el que no deja de caer agua. ¿Cuál puede ser la causa?"/>
    <s v="El mecanismo de llenado no cierra."/>
    <s v="El mecanismo de descarga está roto."/>
    <s v="Ambas pueden ser correctas."/>
    <m/>
    <s v="c"/>
  </r>
  <r>
    <x v="1"/>
    <n v="11"/>
    <x v="10"/>
    <n v="62"/>
    <s v="0. Test 2024 TL Of. Mantenimiento"/>
    <n v="12"/>
    <s v="Son roscas normalizadas usadas en fontanería las siguientes:"/>
    <s v="3/8, 1/2, 3/4 y 1 pulgada."/>
    <s v="2/3 y 4/3 de pulgada."/>
    <s v="Ambas son correctas."/>
    <m/>
    <s v="a"/>
  </r>
  <r>
    <x v="1"/>
    <n v="11"/>
    <x v="10"/>
    <n v="62"/>
    <s v="0. Test 2024 TL Of. Mantenimiento"/>
    <n v="13"/>
    <s v="La principal diferencia entre soldadura blanda y soldadura fuerte es:"/>
    <s v="La temperatura de fusión del material de aportación."/>
    <s v="El tiempo de curación de la soldadura."/>
    <s v="La blanda se emplea en cobre y la fuerte en acero."/>
    <m/>
    <s v="a"/>
  </r>
  <r>
    <x v="1"/>
    <n v="11"/>
    <x v="10"/>
    <n v="62"/>
    <s v="0. Test 2024 TL Of. Mantenimiento"/>
    <n v="14"/>
    <s v="Un fluxor para inodoro es:"/>
    <s v="Un sistema de descarga que no requiere de cisterna."/>
    <s v="Un sistema de descarga que requiere de cisterna."/>
    <s v="Un sistema de descarga que se puede instalar con cisterna o sin ella."/>
    <m/>
    <s v="a"/>
  </r>
  <r>
    <x v="1"/>
    <n v="17"/>
    <x v="17"/>
    <n v="62"/>
    <s v="0. Test 2024 TL Of. Mantenimiento"/>
    <n v="16"/>
    <s v="La mesa de sonido que se está utilizando sólo tiene un canal con alimentación phantom. Este canal lo reservaremos para:"/>
    <s v="Conectar un micrófono de condensador."/>
    <s v="Conectar un micrófono dinámico."/>
    <s v="Conectar un ordenador."/>
    <m/>
    <s v="a"/>
  </r>
  <r>
    <x v="1"/>
    <n v="18"/>
    <x v="18"/>
    <n v="62"/>
    <s v="0. Test 2024 TL Of. Mantenimiento"/>
    <n v="17"/>
    <s v="Una hoja de papel en formato din a3 mide:"/>
    <s v="210 x 297 mm."/>
    <s v="410 x 297 mm."/>
    <s v="420 x 297 mm."/>
    <m/>
    <s v="c"/>
  </r>
  <r>
    <x v="1"/>
    <n v="18"/>
    <x v="18"/>
    <n v="62"/>
    <s v="0. Test 2024 TL Of. Mantenimiento"/>
    <n v="18"/>
    <s v="En una fotocopiadora, los originales se colocan en el alimentador automático:"/>
    <s v="Boca abajo."/>
    <s v="Boca arriba."/>
    <s v="Da igual."/>
    <m/>
    <s v="b"/>
  </r>
  <r>
    <x v="1"/>
    <n v="25"/>
    <x v="21"/>
    <n v="62"/>
    <s v="0. Test 2024 TL Of. Mantenimiento"/>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25"/>
    <x v="21"/>
    <n v="62"/>
    <s v="0. Test 2024 TL Of. Mantenimiento"/>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27"/>
    <x v="22"/>
    <n v="62"/>
    <s v="0. Test 2024 TL Of. Mantenimiento"/>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9"/>
    <x v="23"/>
    <n v="62"/>
    <s v="0. Test 2024 TL Of. Mantenimiento"/>
    <n v="23"/>
    <s v="Son partes constructivas de un motor trifásico."/>
    <s v="Rótor y estator."/>
    <s v="Polea y cojinetes."/>
    <s v="Correa y ventilador"/>
    <m/>
    <s v="a"/>
  </r>
  <r>
    <x v="1"/>
    <n v="9"/>
    <x v="23"/>
    <n v="62"/>
    <s v="0. Test 2024 TL Of. Mantenimiento"/>
    <n v="24"/>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62"/>
    <s v="0. Test 2024 TL Of. Mantenimiento"/>
    <n v="25"/>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1"/>
    <x v="10"/>
    <n v="62"/>
    <s v="0. Test 2024 TL Of. Mantenimiento"/>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11"/>
    <x v="10"/>
    <n v="62"/>
    <s v="0. Test 2024 TL Of. Mantenimiento"/>
    <n v="28"/>
    <s v="Para facilitar el equilibrado el circuito hidráulico, los radiadores deben poseer :"/>
    <s v="Purgador y detentor"/>
    <s v="Detentor y llave."/>
    <s v="Tapón y llave."/>
    <m/>
    <s v="b"/>
  </r>
  <r>
    <x v="1"/>
    <n v="11"/>
    <x v="10"/>
    <n v="62"/>
    <s v="0. Test 2024 TL Of. Mantenimiento"/>
    <n v="29"/>
    <s v="Tiene por misión vencer las resistencias que ofrece el circuito al avance del agua por su interior."/>
    <s v="Caldera."/>
    <s v="Detentores,"/>
    <s v="Bomba circuladora."/>
    <m/>
    <s v="c"/>
  </r>
  <r>
    <x v="1"/>
    <n v="11"/>
    <x v="10"/>
    <n v="62"/>
    <s v="0. Test 2024 TL Of. Mantenimiento"/>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12"/>
    <x v="11"/>
    <n v="62"/>
    <s v="0. Test 2024 TL Of. Mantenimiento"/>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12"/>
    <x v="11"/>
    <n v="62"/>
    <s v="0. Test 2024 TL Of. Mantenimiento"/>
    <n v="32"/>
    <s v="Las herramientas más importantes para escoplear son:"/>
    <s v="Los cepillos de desbastar y los guillames."/>
    <s v="Los bastrenes y las cuchillas."/>
    <s v="Los formones, los escoplos y las gubias, así como también los mazos."/>
    <m/>
    <s v="c"/>
  </r>
  <r>
    <x v="1"/>
    <n v="12"/>
    <x v="11"/>
    <n v="62"/>
    <s v="0. Test 2024 TL Of. Mantenimiento"/>
    <n v="33"/>
    <s v="¿Cuál es el ángulo de filo más apropiado para las herramientas de escoplear?"/>
    <s v="45º."/>
    <s v="25º."/>
    <s v="75º."/>
    <m/>
    <s v="b"/>
  </r>
  <r>
    <x v="1"/>
    <n v="12"/>
    <x v="11"/>
    <n v="62"/>
    <s v="0. Test 2024 TL Of. Mantenimiento"/>
    <n v="34"/>
    <s v="El martillo consta de dos partes:"/>
    <s v="Una parte estrecha, llamada cotillo y una parte ancha llamada boca."/>
    <s v="Una parte ancha, llamada cotillo y una parte estrecha llamada boca."/>
    <s v="Una parte estrecha, llamada lumbrera y otra parte ancha llamada arma."/>
    <m/>
    <s v="b"/>
  </r>
  <r>
    <x v="1"/>
    <n v="13"/>
    <x v="12"/>
    <n v="62"/>
    <s v="0. Test 2024 TL Of. Mantenimiento"/>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13"/>
    <x v="12"/>
    <n v="62"/>
    <s v="0. Test 2024 TL Of. Mantenimiento"/>
    <n v="36"/>
    <s v="Qué elementos son los que componen el interior del cilindro de un bombillo:"/>
    <s v="Palanca retractora, palanca impulsora y diente."/>
    <s v="Resortes, pernos y contrapernos."/>
    <s v="Falleba, gozne y pestillo."/>
    <m/>
    <s v="b"/>
  </r>
  <r>
    <x v="1"/>
    <n v="14"/>
    <x v="13"/>
    <n v="62"/>
    <s v="0. Test 2024 TL Of. Mantenimiento"/>
    <n v="37"/>
    <s v="En una persiana enrollable, ¿cómo se llama la pieza que está enganchada a la contera y ayuda a recoger la cinta cuando la persiana baja? Tiene que contener el mismo ancho de la cinta"/>
    <s v="Polea."/>
    <s v="Eje."/>
    <s v="Guía de cinta."/>
    <m/>
    <s v="a"/>
  </r>
  <r>
    <x v="1"/>
    <n v="14"/>
    <x v="13"/>
    <n v="62"/>
    <s v="0. Test 2024 TL Of. Mantenimiento"/>
    <n v="38"/>
    <s v="Cómo se llaman las persianas, para exterior, que están hechas de listones de madera o PVC, dispuestos horizontalmente y unidos por una cuerda."/>
    <s v="De seguridad"/>
    <s v="Venecianas."/>
    <s v="Alicantinas."/>
    <m/>
    <s v="c"/>
  </r>
  <r>
    <x v="1"/>
    <n v="27"/>
    <x v="22"/>
    <n v="62"/>
    <s v="0. Test 2024 TL Of. Mantenimiento"/>
    <n v="39"/>
    <s v="A qué término corresponde la definición: “La capacidad intrínseca de una sustancia peligrosa o la potencialidad de una situación física para ocasionar daños a las personas, los bienes y al medio ambiente”."/>
    <s v="Daño."/>
    <s v="Peligro."/>
    <s v="Riesgo."/>
    <m/>
    <s v="b"/>
  </r>
  <r>
    <x v="1"/>
    <n v="27"/>
    <x v="22"/>
    <n v="62"/>
    <s v="0. Test 2024 TL Of. Mantenimiento"/>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10"/>
    <x v="9"/>
    <n v="62"/>
    <s v="0. Test 2024 TL Of. Mantenimiento"/>
    <n v="41"/>
    <s v="Dosificación en volumen de los morteros: se designan por la proporción, en volumen, de los componentes fundamentales. La proporción 1:1:5 estará compuesta por:"/>
    <s v="Cemento, cal y arena."/>
    <s v="Cemento, arena y cal."/>
    <s v="Cal, cemento y arena."/>
    <m/>
    <s v="a"/>
  </r>
  <r>
    <x v="1"/>
    <n v="10"/>
    <x v="9"/>
    <n v="62"/>
    <s v="0. Test 2024 TL Of. Mantenimiento"/>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10"/>
    <x v="9"/>
    <n v="62"/>
    <s v="0. Test 2024 TL Of. Mantenimiento"/>
    <n v="43"/>
    <s v="Las siglas CEM I-SR, se corresponden a un:"/>
    <s v="Cemento pórtland resistente a los sulfatos."/>
    <s v="Cemento pórtland con ceniza volante."/>
    <s v="Cemento puzolánico."/>
    <m/>
    <s v="a"/>
  </r>
  <r>
    <x v="1"/>
    <n v="12"/>
    <x v="11"/>
    <n v="62"/>
    <s v="0. Test 2024 TL Of. Mantenimiento"/>
    <n v="44"/>
    <s v="¿Qué es una segueta?"/>
    <s v="Es una herramienta para atornillar y ajustar piezas metálicas."/>
    <s v="Es una herramienta cuya función es pintar y señalizar."/>
    <s v="Es una herramienta cuya función es cortar o serrar."/>
    <m/>
    <s v="c"/>
  </r>
  <r>
    <x v="1"/>
    <n v="18"/>
    <x v="18"/>
    <n v="62"/>
    <s v="0. Test 2024 TL Of. Mantenimiento"/>
    <n v="45"/>
    <s v="Libre Office, hoja de cálculo (Calc). Las siglas f(x), ¿qué representa?"/>
    <s v="Asistente: Funciones."/>
    <s v="Asistente: suma."/>
    <s v="Asistente: Función."/>
    <m/>
    <s v="a"/>
  </r>
  <r>
    <x v="1"/>
    <n v="18"/>
    <x v="18"/>
    <n v="62"/>
    <s v="0. Test 2024 TL Of. Mantenimiento"/>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25"/>
    <x v="21"/>
    <n v="62"/>
    <s v="0. Test 2024 TL Of. Mantenimiento"/>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21"/>
    <x v="19"/>
    <n v="62"/>
    <s v="0. Test 2024 TL Of. Mantenimiento"/>
    <n v="48"/>
    <s v="En que dirección se ubica el Servicio de Centros Cívicos:"/>
    <s v="Casa Jiménez. Calle Albareda."/>
    <s v="Pº de La Mina, 9 / C/ Canalejas, 6."/>
    <s v="Edificio Seminario. Vía Hispanidad, 20."/>
    <m/>
    <s v="a"/>
  </r>
  <r>
    <x v="1"/>
    <n v="10"/>
    <x v="9"/>
    <n v="62"/>
    <s v="0. Test 2024 TL Of. Mantenimiento"/>
    <n v="49"/>
    <s v="La característica principal de un revestimiento exterior drenante es:"/>
    <s v="Que deja pasar los líquidos."/>
    <s v="Que impide que los líquidos pasen."/>
    <s v="Que tiene betún o semejanza con él."/>
    <m/>
    <s v="a"/>
  </r>
  <r>
    <x v="1"/>
    <n v="10"/>
    <x v="9"/>
    <n v="62"/>
    <s v="0. Test 2024 TL Of. Mantenimiento"/>
    <n v="50"/>
    <s v="Tabiquería interior con ladrillo hueco doble. Las medidas de la pieza serán:"/>
    <s v="De 7 cm. a 10 cm."/>
    <s v="De 2,5 cm. a 3 cm."/>
    <s v="De 4 cm. a 6 cm."/>
    <m/>
    <s v="a"/>
  </r>
  <r>
    <x v="0"/>
    <n v="4"/>
    <x v="3"/>
    <n v="63"/>
    <s v="0. Test 2024 CO Of. Mantenimiento"/>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5"/>
    <x v="4"/>
    <n v="63"/>
    <s v="0. Test 2024 CO Of. Mantenimiento"/>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2"/>
    <x v="1"/>
    <n v="63"/>
    <s v="0. Test 2024 CO Of. Mantenimiento"/>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1"/>
    <n v="12"/>
    <x v="11"/>
    <n v="63"/>
    <s v="0. Test 2024 CO Of. Mantenimiento"/>
    <n v="11"/>
    <s v="El gramil es una herramienta manual que se utiliza para trazar:"/>
    <s v="Bisectrices para realizar ingletes"/>
    <s v="Líneas paralelas."/>
    <s v="Ángulos de 90º."/>
    <m/>
    <s v="b"/>
  </r>
  <r>
    <x v="1"/>
    <n v="12"/>
    <x v="11"/>
    <n v="63"/>
    <s v="0. Test 2024 CO Of. Mantenimiento"/>
    <n v="12"/>
    <s v="Queremos hacer 2 agujeros redondos de 13 cm. de diámetro en un tablero de DM de 80 x 80 cm de medida y 10 mm. de espesor. ¿Qué herramienta es la más apropiada?:"/>
    <s v="Sierra de calar."/>
    <s v="Sierra circular."/>
    <s v="Sierra de cinta"/>
    <m/>
    <s v="a"/>
  </r>
  <r>
    <x v="1"/>
    <n v="12"/>
    <x v="11"/>
    <n v="63"/>
    <s v="0. Test 2024 CO Of. Mantenimiento"/>
    <n v="13"/>
    <s v="El ángulo de filo más apropiado para las herramientas de escoplear es de:"/>
    <s v="60º"/>
    <s v="45º"/>
    <s v="25º"/>
    <m/>
    <s v="c"/>
  </r>
  <r>
    <x v="1"/>
    <n v="13"/>
    <x v="12"/>
    <n v="63"/>
    <s v="0. Test 2024 CO Of. Mantenimiento"/>
    <n v="14"/>
    <s v="¿Cómo se denomina la parte de la cerraja que se aloja en el batidero cuando la puerta está cerrada?:"/>
    <s v="Pestillo."/>
    <s v="Bombillo."/>
    <s v="Cuadradillo."/>
    <m/>
    <s v="a"/>
  </r>
  <r>
    <x v="1"/>
    <n v="13"/>
    <x v="12"/>
    <n v="63"/>
    <s v="0. Test 2024 CO Of. Mantenimiento"/>
    <n v="15"/>
    <s v="Los cilindros de cierre o &quot;bombillos&quot; se sujetan a:"/>
    <s v="La manilla."/>
    <s v="La puerta."/>
    <s v="La testera de la cerraja"/>
    <m/>
    <s v="c"/>
  </r>
  <r>
    <x v="1"/>
    <n v="13"/>
    <x v="12"/>
    <n v="63"/>
    <s v="0. Test 2024 CO Of. Mantenimiento"/>
    <n v="16"/>
    <s v="¿Cómo se denomina al herraje manual que se emplea para el ajuste y cierre de una ventana de madera batiente?:"/>
    <s v="Fallebas, cremonas o españoletas."/>
    <s v="Cerrajas de ventana."/>
    <s v="Pasadores y pestillos."/>
    <m/>
    <s v="a"/>
  </r>
  <r>
    <x v="1"/>
    <n v="14"/>
    <x v="13"/>
    <n v="63"/>
    <s v="0. Test 2024 CO Of. Mantenimiento"/>
    <n v="17"/>
    <s v="Las partes de una persiana son:"/>
    <s v="Cinta, lamas, guía, cilindro o tambor, rodillos metálicos y topes"/>
    <s v="Lamas, pasadores o cerrojos, tapones, eje, recogedor, cinta."/>
    <s v="Las dos respuestas anteriores son correctas."/>
    <m/>
    <s v="c"/>
  </r>
  <r>
    <x v="1"/>
    <n v="26"/>
    <x v="24"/>
    <n v="63"/>
    <s v="0. Test 2024 CO Of. Mantenimiento"/>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27"/>
    <x v="22"/>
    <n v="63"/>
    <s v="0. Test 2024 CO Of. Mantenimiento"/>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27"/>
    <x v="22"/>
    <n v="63"/>
    <s v="0. Test 2024 CO Of. Mantenimiento"/>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10"/>
    <x v="9"/>
    <n v="63"/>
    <s v="0. Test 2024 CO Of. Mantenimiento"/>
    <n v="22"/>
    <s v="La plomada es un instrumento que se utiliza para:"/>
    <s v="Reforzar las estructuras de los edificios."/>
    <s v="Comprobar la verticalidad de un parámetro:"/>
    <s v="Calcular escalas en los planos."/>
    <m/>
    <s v="b"/>
  </r>
  <r>
    <x v="1"/>
    <n v="10"/>
    <x v="9"/>
    <n v="63"/>
    <s v="0. Test 2024 CO Of. Mantenimiento"/>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18"/>
    <x v="18"/>
    <n v="63"/>
    <s v="0. Test 2024 CO Of. Mantenimiento"/>
    <n v="25"/>
    <s v="Para guardar un archivo usando Open Office Writer, ¿qué opciones de menú?:"/>
    <s v="Archivo--- Guardar Como."/>
    <s v="Formato--- Texto."/>
    <s v="Archivo--- Documentos recientes"/>
    <m/>
    <s v="a"/>
  </r>
  <r>
    <x v="1"/>
    <n v="10"/>
    <x v="9"/>
    <n v="63"/>
    <s v="0. Test 2024 CO Of. Mantenimiento"/>
    <n v="26"/>
    <s v="¿Qué es un azulejo?:"/>
    <s v="Una pieza cerámica, generalmente azul."/>
    <s v="Una pieza cerámica de poco espesor con una cara vidriada."/>
    <s v="Una pieza cerámica de poco espesor con las dos caras vidriadas y sus medidas son divisibles por su grueso."/>
    <m/>
    <s v="b"/>
  </r>
  <r>
    <x v="1"/>
    <n v="9"/>
    <x v="23"/>
    <n v="63"/>
    <s v="0. Test 2024 CO Of. Mantenimiento"/>
    <n v="29"/>
    <s v="Si a un circuito eléctrico le aplicamos una potencia durante un tiempo, al cabo del mismo se habrá desarrollado un trabajo que lo podremos expresar en:"/>
    <s v="Kilovatioshora."/>
    <s v="Vatios."/>
    <s v="Newtons."/>
    <m/>
    <s v="a"/>
  </r>
  <r>
    <x v="1"/>
    <n v="9"/>
    <x v="23"/>
    <n v="63"/>
    <s v="0. Test 2024 CO Of. Mantenimiento"/>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17"/>
    <x v="17"/>
    <n v="63"/>
    <s v="0. Test 2024 CO Of. Mantenimiento"/>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17"/>
    <x v="17"/>
    <n v="63"/>
    <s v="0. Test 2024 CO Of. Mantenimiento"/>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25"/>
    <x v="21"/>
    <n v="63"/>
    <s v="0. Test 2024 CO Of. Mantenimiento"/>
    <n v="33"/>
    <s v="¿A qué Área de la Organización Municipal pertenece la Perrera (Centro Municipal de Protección Animal)?:"/>
    <s v="Al Área de Cultura, Educación y Turismo."/>
    <s v="Al Área de Políticas Sociales."/>
    <s v="Al Área de Medio Ambiente y Movilidad."/>
    <m/>
    <s v="c"/>
  </r>
  <r>
    <x v="1"/>
    <n v="11"/>
    <x v="10"/>
    <n v="63"/>
    <s v="0. Test 2024 CO Of. Mantenimiento"/>
    <n v="35"/>
    <s v="Según el HS4, en el armario o arqueta del contador general, ¿cuál es el primer elemento que hay que instalar?:"/>
    <s v="Una válvula antirretorno."/>
    <s v="El contador."/>
    <s v="La llave de corte general."/>
    <m/>
    <s v="c"/>
  </r>
  <r>
    <x v="1"/>
    <n v="11"/>
    <x v="10"/>
    <n v="63"/>
    <s v="0. Test 2024 CO Of. Mantenimiento"/>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11"/>
    <x v="10"/>
    <n v="63"/>
    <s v="0. Test 2024 CO Of. Mantenimiento"/>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25"/>
    <x v="21"/>
    <n v="63"/>
    <s v="0. Test 2024 CO Of. Mantenimiento"/>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26"/>
    <x v="24"/>
    <n v="63"/>
    <s v="0. Test 2024 CO Of. Mantenimiento"/>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26"/>
    <x v="24"/>
    <n v="63"/>
    <s v="0. Test 2024 CO Of. Mantenimiento"/>
    <n v="40"/>
    <s v="¿Cuál es la distancia máxima entre hidrantes medida por espacios públicos según la Ordenanza Municipal de Protección contra Incendios de Zaragoza?:"/>
    <s v="200 metros."/>
    <s v="300 metros."/>
    <s v="400 metros."/>
    <m/>
    <s v="a"/>
  </r>
  <r>
    <x v="1"/>
    <n v="13"/>
    <x v="12"/>
    <n v="63"/>
    <s v="0. Test 2024 CO Of. Mantenimiento"/>
    <n v="41"/>
    <s v="La medida de largura de un cilindro de cierre o bombillo depende de:"/>
    <s v="La medida de la cerraja."/>
    <s v="Los bombillos son regulables de largura."/>
    <s v="Depende del grueso de la puerta."/>
    <m/>
    <s v="c"/>
  </r>
  <r>
    <x v="1"/>
    <n v="9"/>
    <x v="23"/>
    <n v="63"/>
    <s v="0. Test 2024 CO Of. Mantenimiento"/>
    <n v="42"/>
    <s v="Si decimos que el sentido de la corriente eléctrica va de negativo a positivo, estamos diciendo que:"/>
    <s v="Es el sentido real."/>
    <s v="Es el sentido real por ser el convencional."/>
    <s v="Es el sentido convencional."/>
    <m/>
    <s v="a"/>
  </r>
  <r>
    <x v="1"/>
    <n v="11"/>
    <x v="10"/>
    <n v="63"/>
    <s v="0. Test 2024 CO Of. Mantenimiento"/>
    <n v="43"/>
    <s v="¿Qué componente adicional es necesario instalar en el punto más alto de la instalación de calefacción, además de los purgadores en los radiadores?:"/>
    <s v="Purgador automático de boya."/>
    <s v="Válvula de control de presión."/>
    <s v="Termostato de ambiente."/>
    <m/>
    <s v="a"/>
  </r>
  <r>
    <x v="0"/>
    <n v="1"/>
    <x v="0"/>
    <n v="64"/>
    <s v="0. Test 2023 DGA Of. Mantenimiento"/>
    <n v="1"/>
    <s v="¿A quién le corresponde la defensa del ordenamiento constitucional?"/>
    <s v="Al Tribunal Constitucional."/>
    <s v="A las Fuerzas Armadas."/>
    <s v="A las Cortes Generales."/>
    <s v="Al Gobierno y a las Cortes Generales."/>
    <s v="b"/>
  </r>
  <r>
    <x v="0"/>
    <n v="1"/>
    <x v="0"/>
    <n v="64"/>
    <s v="0. Test 2023 DGA Of. Mantenimiento"/>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1"/>
    <x v="0"/>
    <n v="64"/>
    <s v="0. Test 2023 DGA Of. Mantenimiento"/>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1"/>
    <x v="0"/>
    <n v="64"/>
    <s v="0. Test 2023 DGA Of. Mantenimiento"/>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1"/>
    <x v="0"/>
    <n v="64"/>
    <s v="0. Test 2023 DGA Of. Mantenimiento"/>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2"/>
    <x v="1"/>
    <n v="64"/>
    <s v="0. Test 2023 DGA Of. Mantenimiento"/>
    <n v="6"/>
    <s v="NO tiene la consideración de institución de la Comunidad Autónoma de Aragón:"/>
    <s v="El Justicia."/>
    <s v="Las Cortes."/>
    <s v="El Tribunal Superior de Justicia."/>
    <s v="El Gobierno."/>
    <s v="c"/>
  </r>
  <r>
    <x v="0"/>
    <n v="2"/>
    <x v="1"/>
    <n v="64"/>
    <s v="0. Test 2023 DGA Of. Mantenimiento"/>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2"/>
    <x v="1"/>
    <n v="64"/>
    <s v="0. Test 2023 DGA Of. Mantenimiento"/>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6"/>
    <x v="5"/>
    <n v="64"/>
    <s v="0. Test 2023 DGA Of. Mantenimiento"/>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6"/>
    <x v="5"/>
    <n v="64"/>
    <s v="0. Test 2023 DGA Of. Mantenimiento"/>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8"/>
    <x v="8"/>
    <n v="64"/>
    <s v="0. Test 2023 DGA Of. Mantenimiento"/>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1"/>
    <n v="11"/>
    <x v="10"/>
    <n v="64"/>
    <s v="0. Test 2023 DGA Of. Mantenimiento"/>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10"/>
    <x v="9"/>
    <n v="64"/>
    <s v="0. Test 2023 DGA Of. Mantenimiento"/>
    <n v="27"/>
    <s v="Según el Código Técnico de Edificación, ¿con qué letra se designa la resistencia de los morteros ordinarios para fábricas?"/>
    <s v="Con la letra M."/>
    <s v="Con la letra R."/>
    <s v="Con la letra P."/>
    <s v="Con la letra griega Ω."/>
    <s v="a"/>
  </r>
  <r>
    <x v="1"/>
    <n v="9"/>
    <x v="23"/>
    <n v="64"/>
    <s v="0. Test 2023 DGA Of. Mantenimiento"/>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11"/>
    <x v="10"/>
    <n v="64"/>
    <s v="0. Test 2023 DGA Of. Mantenimiento"/>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9"/>
    <x v="23"/>
    <n v="64"/>
    <s v="0. Test 2023 DGA Of. Mantenimiento"/>
    <n v="30"/>
    <s v="¿Cuál de los siguientes tipos de compresor NO existe?"/>
    <s v="Tuerca."/>
    <s v="Tornillo."/>
    <s v="Alternativo."/>
    <s v="Centrifugo."/>
    <s v="a"/>
  </r>
  <r>
    <x v="1"/>
    <n v="12"/>
    <x v="11"/>
    <n v="64"/>
    <s v="0. Test 2023 DGA Of. Mantenimiento"/>
    <n v="31"/>
    <s v="¿Qué es una laña?"/>
    <s v="Cilindro de madera para unir piezas."/>
    <s v="Cuadrado de madera para hacer uniones."/>
    <s v="Chapas de encaje para uniones a escuadra."/>
    <s v="Pieza de metal para unir o sujetar dos cosas."/>
    <s v="d"/>
  </r>
  <r>
    <x v="1"/>
    <n v="10"/>
    <x v="9"/>
    <n v="64"/>
    <s v="0. Test 2023 DGA Of. Mantenimiento"/>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28"/>
    <x v="25"/>
    <n v="64"/>
    <s v="0. Test 2023 DGA Of. Mantenimiento"/>
    <n v="33"/>
    <s v="Las pinturas fungicidas se usan para:"/>
    <s v="Imprimar metales ferrosos."/>
    <s v="Sellar el poro en guarnecidos de mortero o yeso."/>
    <s v="Paredes interiores de los locales con elevada humedad y propensos a la proliferación de moho."/>
    <s v="La cubrición de manchas existentes, por ejemplo, grafitis."/>
    <s v="c"/>
  </r>
  <r>
    <x v="1"/>
    <n v="9"/>
    <x v="23"/>
    <n v="64"/>
    <s v="0. Test 2023 DGA Of. Mantenimiento"/>
    <n v="34"/>
    <s v="Si se conecta el electrodo en el terminal negativo y la pieza a soldar en el positivo, se dirá que se está soldando con:"/>
    <s v="Polaridad inversa."/>
    <s v="Polaridad positiva."/>
    <s v="Polaridad directa."/>
    <s v="Polaridad duplicada."/>
    <s v="c"/>
  </r>
  <r>
    <x v="1"/>
    <n v="26"/>
    <x v="24"/>
    <n v="64"/>
    <s v="0. Test 2023 DGA Of. Mantenimiento"/>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10"/>
    <x v="9"/>
    <n v="64"/>
    <s v="0. Test 2023 DGA Of. Mantenimiento"/>
    <n v="36"/>
    <s v="¿A que se denomina Salmer?"/>
    <s v="Hilada de sillares de otro material."/>
    <s v="Dovela anterior a la clave."/>
    <s v="Primera dovela, inmediata a la línea de arranque, en un arco de sillería."/>
    <s v="Punto de centrado de un arco."/>
    <s v="c"/>
  </r>
  <r>
    <x v="1"/>
    <n v="11"/>
    <x v="10"/>
    <n v="64"/>
    <s v="0. Test 2023 DGA Of. Mantenimiento"/>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11"/>
    <x v="10"/>
    <n v="64"/>
    <s v="0. Test 2023 DGA Of. Mantenimiento"/>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10"/>
    <x v="9"/>
    <n v="64"/>
    <s v="0. Test 2023 DGA Of. Mantenimiento"/>
    <n v="40"/>
    <s v="Los morteros de cal aérea se caracterizan por:"/>
    <s v="Ser muy peligrosos."/>
    <s v="Ser impermeables al vapor de agua."/>
    <s v="Ser permeables al vapor de agua."/>
    <s v="No existen."/>
    <s v="c"/>
  </r>
  <r>
    <x v="1"/>
    <n v="9"/>
    <x v="23"/>
    <n v="64"/>
    <s v="0. Test 2023 DGA Of. Mantenimiento"/>
    <n v="41"/>
    <s v="¿Cuál de estos colores tiene mayor coeficiente de absorción de la radiación solar?"/>
    <s v="Naranja."/>
    <s v="Amarillo."/>
    <s v="Azul vivo."/>
    <s v="Rojo claro."/>
    <s v="c"/>
  </r>
  <r>
    <x v="1"/>
    <n v="9"/>
    <x v="23"/>
    <n v="64"/>
    <s v="0. Test 2023 DGA Of. Mantenimiento"/>
    <n v="42"/>
    <s v="A la cantidad de carga eléctrica que atraviesa la sección de un conductor en un segundo se le denomina:"/>
    <s v="Potencia de corriente."/>
    <s v="Resistencia de corriente."/>
    <s v="Tensión de corriente."/>
    <s v="Intensidad de corriente."/>
    <s v="d"/>
  </r>
  <r>
    <x v="1"/>
    <n v="11"/>
    <x v="10"/>
    <n v="64"/>
    <s v="0. Test 2023 DGA Of. Mantenimiento"/>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10"/>
    <x v="9"/>
    <n v="64"/>
    <s v="0. Test 2023 DGA Of. Mantenimiento"/>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11"/>
    <x v="10"/>
    <n v="64"/>
    <s v="0. Test 2023 DGA Of. Mantenimiento"/>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9"/>
    <x v="23"/>
    <n v="64"/>
    <s v="0. Test 2023 DGA Of. Mantenimiento"/>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10"/>
    <x v="9"/>
    <n v="64"/>
    <s v="0. Test 2023 DGA Of. Mantenimiento"/>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10"/>
    <x v="9"/>
    <n v="64"/>
    <s v="0. Test 2023 DGA Of. Mantenimiento"/>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27"/>
    <x v="22"/>
    <n v="64"/>
    <s v="0. Test 2023 DGA Of. Mantenimiento"/>
    <n v="49"/>
    <s v="En un centro de pública concurrencia los pulsadores de alarma se sitúan de modo que la distancia máxima a recorrer desde cualquier punto no supere:"/>
    <s v="15 m."/>
    <s v="20 m."/>
    <s v="25 m."/>
    <s v="30 m."/>
    <s v="c"/>
  </r>
  <r>
    <x v="1"/>
    <n v="9"/>
    <x v="23"/>
    <n v="64"/>
    <s v="0. Test 2023 DGA Of. Mantenimiento"/>
    <n v="50"/>
    <s v="¿Qué otro nombre recibe la potencia absorbida?"/>
    <s v="Potencia activa."/>
    <s v="Potencia reactiva."/>
    <s v="Potencia útil."/>
    <s v="Potencia aparente."/>
    <s v="d"/>
  </r>
  <r>
    <x v="1"/>
    <n v="10"/>
    <x v="9"/>
    <n v="64"/>
    <s v="0. Test 2023 DGA Of. Mantenimiento"/>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12"/>
    <x v="11"/>
    <n v="64"/>
    <s v="0. Test 2023 DGA Of. Mantenimiento"/>
    <n v="52"/>
    <s v="En carpintería, ¿qué es una juntera?"/>
    <s v="Una lima basta."/>
    <s v="Un cepillo largo."/>
    <s v="La junta de una ventana."/>
    <s v="Una bisagra."/>
    <s v="b"/>
  </r>
  <r>
    <x v="1"/>
    <n v="9"/>
    <x v="23"/>
    <n v="64"/>
    <s v="0. Test 2023 DGA Of. Mantenimiento"/>
    <n v="53"/>
    <s v="¿Qué función tiene un condensador en una pantalla fluorescente?"/>
    <s v="Aumentar la potencia reactiva."/>
    <s v="Reducir la potencia activa."/>
    <s v="Reducir la potencia reactiva."/>
    <s v="Aumentar la potencia realzada."/>
    <s v="c"/>
  </r>
  <r>
    <x v="1"/>
    <n v="11"/>
    <x v="10"/>
    <n v="64"/>
    <s v="0. Test 2023 DGA Of. Mantenimiento"/>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12"/>
    <x v="11"/>
    <n v="64"/>
    <s v="0. Test 2023 DGA Of. Mantenimiento"/>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11"/>
    <x v="10"/>
    <n v="64"/>
    <s v="0. Test 2023 DGA Of. Mantenimiento"/>
    <n v="56"/>
    <s v="De las equivalencias entre las unidades más comunes de climatización, ¿cuál es la ERRONEA?"/>
    <s v="1KW = 860 Kcal/h"/>
    <s v="736W = 1 CV"/>
    <s v="1 KW = 1,46 CV"/>
    <s v="1W = 0.860 Kcal/h"/>
    <s v="c"/>
  </r>
  <r>
    <x v="1"/>
    <n v="11"/>
    <x v="10"/>
    <n v="64"/>
    <s v="0. Test 2023 DGA Of. Mantenimiento"/>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12"/>
    <x v="11"/>
    <n v="64"/>
    <s v="0. Test 2023 DGA Of. Mantenimiento"/>
    <n v="58"/>
    <s v="El palmer se utiliza para:"/>
    <s v="Medir exteriores."/>
    <s v="Medir interiores."/>
    <s v="Medir profundidades."/>
    <s v="Medir líneas."/>
    <s v="a"/>
  </r>
  <r>
    <x v="1"/>
    <n v="18"/>
    <x v="18"/>
    <n v="64"/>
    <s v="0. Test 2023 DGA Of. Mantenimiento"/>
    <n v="59"/>
    <s v="¿Cuál de las siguientes respuestas correspondería a una red LAN?"/>
    <s v="Red de área metropolitana."/>
    <s v="Red de área extensa."/>
    <s v="Red de área personal."/>
    <s v="Red de área local."/>
    <s v="d"/>
  </r>
  <r>
    <x v="1"/>
    <n v="9"/>
    <x v="23"/>
    <n v="64"/>
    <s v="0. Test 2023 DGA Of. Mantenimiento"/>
    <n v="60"/>
    <s v="¿Cuál de estas NO es una condición que debe cumplir el sistema para poder acoplar dos generadores?"/>
    <s v="Igualdad de tensiones."/>
    <s v="Igualdad de intensidades."/>
    <s v="Igualdad de frecuencias."/>
    <s v="Concordancia de fases."/>
    <s v="b"/>
  </r>
  <r>
    <x v="1"/>
    <n v="10"/>
    <x v="9"/>
    <n v="64"/>
    <s v="0. Test 2023 DGA Of. Mantenimiento"/>
    <n v="61"/>
    <s v="El péndulo de Charpy es un dispositivo que se utiliza en ensayos de materiales para determinar:"/>
    <s v="Dureza."/>
    <s v="Elasticidad."/>
    <s v="Resistencia."/>
    <s v="Tenacidad."/>
    <s v="d"/>
  </r>
  <r>
    <x v="1"/>
    <n v="9"/>
    <x v="23"/>
    <n v="64"/>
    <s v="0. Test 2023 DGA Of. Mantenimiento"/>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11"/>
    <x v="10"/>
    <n v="64"/>
    <s v="0. Test 2023 DGA Of. Mantenimiento"/>
    <n v="64"/>
    <s v="En el proceso de evaporación se:"/>
    <s v="Absorbe calor latente."/>
    <s v="Absorbe calor sensible."/>
    <s v="Cede calor latente."/>
    <s v="Cede calor sensible."/>
    <s v="a"/>
  </r>
  <r>
    <x v="1"/>
    <n v="9"/>
    <x v="23"/>
    <n v="64"/>
    <s v="0. Test 2023 DGA Of. Mantenimiento"/>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27"/>
    <x v="22"/>
    <n v="64"/>
    <s v="0. Test 2023 DGA Of. Mantenimiento"/>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10"/>
    <x v="9"/>
    <n v="64"/>
    <s v="0. Test 2023 DGA Of. Mantenimiento"/>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12"/>
    <x v="11"/>
    <n v="64"/>
    <s v="0. Test 2023 DGA Of. Mantenimiento"/>
    <n v="68"/>
    <s v="En carpintería, la herramienta adecuada para realizar cortes a bisel es:"/>
    <s v="Amoladora."/>
    <s v="Fresadora."/>
    <s v="Taladradora."/>
    <s v="Ingletadora."/>
    <s v="d"/>
  </r>
  <r>
    <x v="1"/>
    <n v="9"/>
    <x v="23"/>
    <n v="64"/>
    <s v="0. Test 2023 DGA Of. Mantenimiento"/>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28"/>
    <x v="25"/>
    <n v="64"/>
    <s v="0. Test 2023 DGA Of. Mantenimiento"/>
    <n v="70"/>
    <s v="Nos dicen que tenemos que pintar una habitación de color beige. ¿Que colores tendremos que mezclar para conseguir el citado color?"/>
    <s v="A partir de pintura de color naranja añadiendo pintura de color blanco."/>
    <s v="A partir de pintura de color blanco añadiendo colorante negro y colorante ocre o amarillo."/>
    <s v="A partir de pintura ocre añadiendo colorante verde o amarillo."/>
    <s v="A partir de pintura de color blanco añadiendo colorante de color sombra."/>
    <s v="b"/>
  </r>
  <r>
    <x v="1"/>
    <n v="11"/>
    <x v="10"/>
    <n v="64"/>
    <s v="0. Test 2023 DGA Of. Mantenimiento"/>
    <n v="71"/>
    <s v="Equivalencia de una atmósfera métrica:"/>
    <s v="A 10 metros de columna de agua a + 4ºC."/>
    <s v="A 767 mm de columna de mercurio a 0ºC."/>
    <s v="A 8 metros de columna de agua a 0ºC."/>
    <s v="A 750 mm de columna de mercurio a 15ºC."/>
    <s v="a"/>
  </r>
  <r>
    <x v="1"/>
    <n v="11"/>
    <x v="10"/>
    <n v="64"/>
    <s v="0. Test 2023 DGA Of. Mantenimiento"/>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9"/>
    <x v="23"/>
    <n v="64"/>
    <s v="0. Test 2023 DGA Of. Mantenimiento"/>
    <n v="73"/>
    <s v="¿Cómo se conoce al medidor de la resistencia de aislamiento de un conductor?"/>
    <s v="Telurómetro."/>
    <s v="Medidor de tierra."/>
    <s v="Megóhmetro."/>
    <s v="Óhmetro sueco."/>
    <s v="c"/>
  </r>
  <r>
    <x v="1"/>
    <n v="12"/>
    <x v="11"/>
    <n v="64"/>
    <s v="0. Test 2023 DGA Of. Mantenimiento"/>
    <n v="74"/>
    <s v="Para marcar líneas representativas de planos y paralelas a las caras de la pieza sobre la que se apoya utilizaremos:"/>
    <s v="Metro de carpintero."/>
    <s v="Escuadra."/>
    <s v="Falsa escuadra."/>
    <s v="Gramil."/>
    <s v="d"/>
  </r>
  <r>
    <x v="1"/>
    <n v="12"/>
    <x v="11"/>
    <n v="64"/>
    <s v="0. Test 2023 DGA Of. Mantenimiento"/>
    <n v="75"/>
    <s v="La esencia de trementina es también conocida como:"/>
    <s v="Disolvente."/>
    <s v="Aguarrás."/>
    <s v="Jabón neutro."/>
    <s v="Diluyente."/>
    <s v="b"/>
  </r>
  <r>
    <x v="1"/>
    <n v="13"/>
    <x v="12"/>
    <n v="64"/>
    <s v="0. Test 2023 DGA Of. Mantenimiento"/>
    <n v="76"/>
    <s v="Para colocar la puerta de un armario y que la puerta tape completamente los laterales de este, utilizaremos unas bisagras de cazoleta, del tipo:"/>
    <s v="Rectas."/>
    <s v="Acodadas."/>
    <s v="Superacodadas."/>
    <s v="Megaacodadas."/>
    <s v="a"/>
  </r>
  <r>
    <x v="1"/>
    <n v="12"/>
    <x v="11"/>
    <n v="64"/>
    <s v="0. Test 2023 DGA Of. Mantenimiento"/>
    <n v="77"/>
    <s v="¿Qué nombre recibe la herramienta en forma de martillo, con corte en ambos lados, para labrar piedras y picar paredes?"/>
    <s v="Escoda."/>
    <s v="Escoplo."/>
    <s v="Bujarda."/>
    <s v="Mallo."/>
    <s v="a"/>
  </r>
  <r>
    <x v="1"/>
    <n v="11"/>
    <x v="10"/>
    <n v="64"/>
    <s v="0. Test 2023 DGA Of. Mantenimiento"/>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11"/>
    <x v="10"/>
    <n v="64"/>
    <s v="0. Test 2023 DGA Of. Mantenimiento"/>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9"/>
    <x v="23"/>
    <n v="64"/>
    <s v="0. Test 2023 DGA Of. Mantenimiento"/>
    <n v="80"/>
    <s v="En la instalación eléctrica de una vivienda, ¿qué intensidad circulara por un motor de 460 vatios?"/>
    <s v="230 V."/>
    <s v="2A."/>
    <s v="20A."/>
    <s v="20W."/>
    <s v="b"/>
  </r>
  <r>
    <x v="1"/>
    <n v="11"/>
    <x v="10"/>
    <n v="64"/>
    <s v="0. Test 2023 DGA Of. Mantenimiento"/>
    <n v="81"/>
    <s v="En una instalación de agua potable, las tuberías se señalarán con los colores:"/>
    <s v="Verde claro o amarillo."/>
    <s v="Verde oscuro o azul."/>
    <s v="Exclusivamente azul oscuro."/>
    <s v="Verde claro y amarillo."/>
    <s v="b"/>
  </r>
  <r>
    <x v="1"/>
    <n v="12"/>
    <x v="11"/>
    <n v="64"/>
    <s v="0. Test 2023 DGA Of. Mantenimiento"/>
    <n v="82"/>
    <s v="Según el test de Monnin, ¿cuál de estas maderas es más dura?"/>
    <s v="Haya."/>
    <s v="Encina."/>
    <s v="Roble."/>
    <s v="Nogal."/>
    <s v="b"/>
  </r>
  <r>
    <x v="1"/>
    <n v="11"/>
    <x v="10"/>
    <n v="64"/>
    <s v="0. Test 2023 DGA Of. Mantenimiento"/>
    <n v="83"/>
    <s v="¿Cuál de las siguientes formas de distribución en suelo radiante NO es correcta?"/>
    <s v="Serpentín doble."/>
    <s v="Serpentín cruzado."/>
    <s v="Serpentín simple."/>
    <s v="Distribuido en espiral."/>
    <s v="b"/>
  </r>
  <r>
    <x v="1"/>
    <n v="26"/>
    <x v="24"/>
    <n v="64"/>
    <s v="0. Test 2023 DGA Of. Mantenimiento"/>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9"/>
    <x v="23"/>
    <n v="64"/>
    <s v="0. Test 2023 DGA Of. Mantenimiento"/>
    <n v="85"/>
    <s v="Cuando se conecta una resistencia a una red de corriente alterna se produce un desfase entre la tensión y la corriente de:"/>
    <s v="90º"/>
    <s v="60º"/>
    <s v="45º"/>
    <s v="0º"/>
    <s v="d"/>
  </r>
  <r>
    <x v="1"/>
    <n v="10"/>
    <x v="9"/>
    <n v="64"/>
    <s v="0. Test 2023 DGA Of. Mantenimiento"/>
    <n v="86"/>
    <s v="En un muro, cuando un ladrillo está apoyado en una de sus caras menores y su cara mayor es perpendicular al plano del muro se dice que está colocado:"/>
    <s v="A sardinel."/>
    <s v="A tizón."/>
    <s v="A soga."/>
    <s v="A capial."/>
    <s v="a"/>
  </r>
  <r>
    <x v="1"/>
    <n v="15"/>
    <x v="16"/>
    <n v="64"/>
    <s v="0. Test 2023 DGA Of. Mantenimiento"/>
    <n v="87"/>
    <s v="¿Donde podemos encontrar un “cono Morse”?"/>
    <s v="En una centralita de teléfono."/>
    <s v="En una centralita de sistema contra incendios."/>
    <s v="En una instalación de alarma de intrusión."/>
    <s v="En un taladro de columna."/>
    <s v="d"/>
  </r>
  <r>
    <x v="1"/>
    <n v="11"/>
    <x v="10"/>
    <n v="64"/>
    <s v="0. Test 2023 DGA Of. Mantenimiento"/>
    <n v="88"/>
    <s v="En fontanería, un racord “Marsella” es:"/>
    <s v="Un racord con dos roscas hembras."/>
    <s v="Un racord con dos roscas macho."/>
    <s v="Un racord con una rosca macho y otra hembra."/>
    <s v="Un racord con tres roscas hembras."/>
    <s v="c"/>
  </r>
  <r>
    <x v="1"/>
    <n v="9"/>
    <x v="23"/>
    <n v="64"/>
    <s v="0. Test 2023 DGA Of. Mantenimiento"/>
    <n v="89"/>
    <s v="El shunt en electricidad:"/>
    <s v="Es una resistencia para ampliar el alcance de un voltímetro."/>
    <s v="Es una resistencia para ampliar el alcance de un amperímetro."/>
    <s v="Se conecta en serie con el voltímetro."/>
    <s v="Se conecta en paralelo con el amperímetro."/>
    <s v="b"/>
  </r>
  <r>
    <x v="1"/>
    <n v="10"/>
    <x v="9"/>
    <n v="64"/>
    <s v="0. Test 2023 DGA Of. Mantenimiento"/>
    <n v="90"/>
    <s v="¿Cómo se debe de preparar el paramento vertical para anclar el azulejo con adhesivo?"/>
    <s v="Enfoscado a buena vista."/>
    <s v="Fratasado."/>
    <s v="Maestreado."/>
    <s v="Revocado."/>
    <s v="c"/>
  </r>
  <r>
    <x v="1"/>
    <n v="28"/>
    <x v="25"/>
    <n v="64"/>
    <s v="0. Test 2023 DGA Of. Mantenimiento"/>
    <n v="91"/>
    <s v="¿Qué tres colores son básicos o primarios en pintura?"/>
    <s v="Amarillo, verde y blanco."/>
    <s v="Amarillo, verde, rojo."/>
    <s v="Azul, rojo y amarillo."/>
    <s v="Azul, amarillo, violeta."/>
    <s v="c"/>
  </r>
  <r>
    <x v="1"/>
    <n v="11"/>
    <x v="10"/>
    <n v="64"/>
    <s v="0. Test 2023 DGA Of. Mantenimiento"/>
    <n v="92"/>
    <s v="¿Cual de estos materiales NO perjudica al tubo galvanizado?"/>
    <s v="Escayola."/>
    <s v="Yeso."/>
    <s v="Cemento blanco."/>
    <s v="Cal."/>
    <s v="c"/>
  </r>
  <r>
    <x v="1"/>
    <n v="9"/>
    <x v="23"/>
    <n v="64"/>
    <s v="0. Test 2023 DGA Of. Mantenimiento"/>
    <n v="93"/>
    <s v="¿Qué desfase aparece entre las tensiones de fase de un alternador?"/>
    <s v="0º"/>
    <s v="30º"/>
    <s v="90º"/>
    <s v="120º"/>
    <s v="d"/>
  </r>
  <r>
    <x v="1"/>
    <n v="11"/>
    <x v="10"/>
    <n v="64"/>
    <s v="0. Test 2023 DGA Of. Mantenimiento"/>
    <n v="94"/>
    <s v="Una válvula de pie, es una:"/>
    <s v="Válvula de asiento."/>
    <s v="Válvula de asiento inclinado."/>
    <s v="Válvula antirretorno."/>
    <s v="Válvula de ventosa."/>
    <s v="c"/>
  </r>
  <r>
    <x v="1"/>
    <n v="10"/>
    <x v="9"/>
    <n v="64"/>
    <s v="0. Test 2023 DGA Of. Mantenimiento"/>
    <n v="95"/>
    <s v="La cualidad de un metal que admite grandes deformaciones en frío, sin llegar a romperse y que mecánicamente se puede llegar a extender en alambres o hilos, se denomina:"/>
    <s v="Densidad."/>
    <s v="Tenacidad."/>
    <s v="Dureza."/>
    <s v="Ductilidad."/>
    <s v="d"/>
  </r>
  <r>
    <x v="1"/>
    <n v="12"/>
    <x v="11"/>
    <n v="64"/>
    <s v="0. Test 2023 DGA Of. Mantenimiento"/>
    <n v="96"/>
    <s v="¿Qué nombre recibe una pintura cuyo disolvente es el agua?"/>
    <s v="Pintura sintética."/>
    <s v="Pintura acrílica."/>
    <s v="Pintura tixotrópica."/>
    <s v="Pintura fúngica."/>
    <s v="b"/>
  </r>
  <r>
    <x v="1"/>
    <n v="9"/>
    <x v="23"/>
    <n v="64"/>
    <s v="0. Test 2023 DGA Of. Mantenimiento"/>
    <n v="97"/>
    <s v="¿Qué sección de cable debe tener una base de enchufe de horno según el Reglamento Electrotécnico de Baja Tensión?"/>
    <s v="1,5 mm2"/>
    <s v="2,5 mm2"/>
    <s v="4 mm2"/>
    <s v="6 mm2"/>
    <s v="d"/>
  </r>
  <r>
    <x v="1"/>
    <n v="12"/>
    <x v="11"/>
    <n v="64"/>
    <s v="0. Test 2023 DGA Of. Mantenimiento"/>
    <n v="98"/>
    <s v="La “Goma Laca” es una sustancia orgánica o secreción resinosa que se obtiene:"/>
    <s v="En laboratorio a partir de sustancias sintéticas y químicas."/>
    <s v="De la resina del pino."/>
    <s v="Del gusano de la laca."/>
    <s v="De la savia de árboles olorosos y resinosos."/>
    <s v="c"/>
  </r>
  <r>
    <x v="1"/>
    <n v="11"/>
    <x v="10"/>
    <n v="64"/>
    <s v="0. Test 2023 DGA Of. Mantenimiento"/>
    <n v="99"/>
    <s v="¿Qué herramienta resulta indicada para eliminar las rebabas interiores de una tubería?"/>
    <s v="Lima."/>
    <s v="Escofina."/>
    <s v="Escariador."/>
    <s v="Escuadra."/>
    <s v="c"/>
  </r>
  <r>
    <x v="1"/>
    <n v="28"/>
    <x v="25"/>
    <n v="64"/>
    <s v="0. Test 2023 DGA Of. Mantenimiento"/>
    <n v="100"/>
    <s v="En pintura, una paletina es:"/>
    <s v="Un tipo de virola."/>
    <s v="Un tipo de rodillo."/>
    <s v="Un tipo de brocha."/>
    <s v="La tabla en la que los pintores mezclan los colores."/>
    <s v="c"/>
  </r>
  <r>
    <x v="1"/>
    <n v="23"/>
    <x v="26"/>
    <n v="65"/>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3"/>
    <x v="26"/>
    <n v="65"/>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3"/>
    <x v="26"/>
    <n v="65"/>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3"/>
    <x v="26"/>
    <n v="65"/>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3"/>
    <x v="26"/>
    <n v="65"/>
    <s v="Test Movilidad Urbana"/>
    <n v="5"/>
    <s v="¿Cuál de estas redes no corresponde al sistema viario de segundo grado?"/>
    <s v="vías residenciales"/>
    <s v="vías peatonales"/>
    <s v="red básica de transporte público"/>
    <s v="caminos rurales"/>
    <s v="c"/>
  </r>
  <r>
    <x v="1"/>
    <n v="23"/>
    <x v="26"/>
    <n v="65"/>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3"/>
    <x v="26"/>
    <n v="65"/>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3"/>
    <x v="26"/>
    <n v="65"/>
    <s v="Test Movilidad Urbana"/>
    <n v="8"/>
    <s v="Excepcionalmente motocicletas y ciclomotores de dos ruedas podrán estacionar en las aceras que tengan más de:"/>
    <s v="1,5 metros"/>
    <s v="2 metros"/>
    <s v="3 metros"/>
    <s v="4 metros"/>
    <s v="c"/>
  </r>
  <r>
    <x v="1"/>
    <n v="23"/>
    <x v="26"/>
    <n v="65"/>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3"/>
    <x v="26"/>
    <n v="65"/>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3"/>
    <x v="26"/>
    <n v="65"/>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3"/>
    <x v="26"/>
    <n v="65"/>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3"/>
    <x v="26"/>
    <n v="65"/>
    <s v="Test Movilidad Urbana"/>
    <n v="13"/>
    <s v="Tasa por prestación de servicios de instalación de escenarios en qué número de Ordenanza fiscal aparece"/>
    <s v="Ordenanza 24.23"/>
    <s v="Ordenanza 23.24"/>
    <s v="Ordenanza 22.23"/>
    <s v="Ordenanza 23.22"/>
    <s v="a"/>
  </r>
  <r>
    <x v="1"/>
    <n v="23"/>
    <x v="26"/>
    <n v="65"/>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3"/>
    <x v="26"/>
    <n v="65"/>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3"/>
    <x v="26"/>
    <n v="65"/>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3"/>
    <x v="26"/>
    <n v="65"/>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3"/>
    <x v="26"/>
    <n v="65"/>
    <s v="Test Movilidad Urbana"/>
    <n v="18"/>
    <s v="¿Qué trabajo realiza la brigada de instalaciones en la cesión de acometida?"/>
    <s v="Cobrar la tasa"/>
    <s v="Ningún tipo de trabajo"/>
    <s v="Intermediar en la cesión de acometida"/>
    <s v="Realizar la cesión de acometida"/>
    <s v="b"/>
  </r>
  <r>
    <x v="1"/>
    <n v="23"/>
    <x v="26"/>
    <n v="65"/>
    <s v="Test Movilidad Urbana"/>
    <n v="19"/>
    <s v="Los módulos prefabricados para el montaje de escenarios miden"/>
    <s v="1 metro por 2 metros"/>
    <s v="2 metros por 1 metro"/>
    <s v="1 metro por medio metro"/>
    <s v="medio metro por 1 metro"/>
    <s v="a"/>
  </r>
  <r>
    <x v="1"/>
    <n v="23"/>
    <x v="26"/>
    <n v="65"/>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11"/>
    <x v="10"/>
    <n v="66"/>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11"/>
    <x v="10"/>
    <n v="66"/>
    <s v="Test Calefaccion"/>
    <n v="2"/>
    <s v="¿De qué material es una tubería con la denominación PB?"/>
    <s v="Polipropileno."/>
    <s v="Polietileno reticulado."/>
    <s v="Polibutileno."/>
    <m/>
    <s v="c"/>
  </r>
  <r>
    <x v="1"/>
    <n v="11"/>
    <x v="10"/>
    <n v="66"/>
    <s v="Test Calefaccion"/>
    <n v="3"/>
    <s v="¿Qué elemento de seguridad se encarga de absorber los aumentos de presión en un circuito de calefacción?"/>
    <s v="Vaso de expansión."/>
    <s v="Válvula de seguridad."/>
    <s v="Purgador automático."/>
    <m/>
    <s v="a"/>
  </r>
  <r>
    <x v="1"/>
    <n v="11"/>
    <x v="10"/>
    <n v="66"/>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11"/>
    <x v="10"/>
    <n v="66"/>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11"/>
    <x v="10"/>
    <n v="66"/>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11"/>
    <x v="10"/>
    <n v="66"/>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11"/>
    <x v="10"/>
    <n v="66"/>
    <s v="Test Calefaccion"/>
    <n v="8"/>
    <s v="¿Cuál de estos no es un sistema de producción de ACS?"/>
    <s v="Sistema de producción semiinstantáneo."/>
    <s v="Sistema de producción interacumulado."/>
    <s v="Sistema de producción por acumulación."/>
    <m/>
    <s v="b"/>
  </r>
  <r>
    <x v="1"/>
    <n v="11"/>
    <x v="10"/>
    <n v="66"/>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11"/>
    <x v="10"/>
    <n v="66"/>
    <s v="Test Calefaccion"/>
    <n v="10"/>
    <s v="La aerotermia y la geotermia:(señale la respuesta correcta)"/>
    <s v="Se utilizan sólo para producción de agua caliente sanitaria."/>
    <s v="Tienen un elevado consumo de la red eléctrica pública."/>
    <s v="Son una fuente de energía renovable."/>
    <m/>
    <s v="c"/>
  </r>
  <r>
    <x v="1"/>
    <n v="11"/>
    <x v="10"/>
    <n v="66"/>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11"/>
    <x v="10"/>
    <n v="66"/>
    <s v="Test Calefaccion"/>
    <n v="13"/>
    <s v="En una caldera, ¿Cuál es el elemento encargado de mezclar el combustible con el aire para que salte la llama que inicia la combustión?"/>
    <s v="Pirostato."/>
    <s v="Quemador."/>
    <s v="Inyector."/>
    <m/>
    <s v="b"/>
  </r>
  <r>
    <x v="1"/>
    <n v="11"/>
    <x v="10"/>
    <n v="66"/>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11"/>
    <x v="10"/>
    <n v="66"/>
    <s v="Test Calefaccion"/>
    <n v="15"/>
    <s v="Forman parte de un radiador de calefacción:(señale la respuesta correcta)"/>
    <s v="Elementos y válvula."/>
    <s v="Válvula de seguridad y detentor."/>
    <s v="Tapón de llenado y purgador."/>
    <m/>
    <s v="a"/>
  </r>
  <r>
    <x v="1"/>
    <n v="11"/>
    <x v="10"/>
    <n v="66"/>
    <s v="Test Calefaccion"/>
    <n v="16"/>
    <s v="¿Cuáles de estas forman parte de un circuito de ACS?(señale la respuesta correcta)"/>
    <s v="Aislamiento y red de suministro."/>
    <s v="Circuito de retorno y acometida AFCH."/>
    <s v="Todas las respuestas anteriores son correctas."/>
    <m/>
    <s v="c"/>
  </r>
  <r>
    <x v="1"/>
    <n v="11"/>
    <x v="10"/>
    <n v="66"/>
    <s v="Test Calefaccion"/>
    <n v="17"/>
    <s v="Forman parte de un sistema de aire acondicionado con bomba de calor:"/>
    <s v="Evaporador, vaso de expansión, gas refrigerante."/>
    <s v="Gas refrigerante, condensador, evaporador."/>
    <s v="Compresor, humectador, condensador."/>
    <m/>
    <s v="b"/>
  </r>
  <r>
    <x v="1"/>
    <n v="11"/>
    <x v="10"/>
    <n v="66"/>
    <s v="Test Calefaccion"/>
    <n v="18"/>
    <s v="¿De qué material es una tubería con la denominación PPR?"/>
    <s v="Polipropileno."/>
    <s v="Polietileno reticulado."/>
    <s v="Polibutileno."/>
    <m/>
    <s v="a"/>
  </r>
  <r>
    <x v="1"/>
    <n v="11"/>
    <x v="10"/>
    <n v="66"/>
    <s v="Test Calefaccion"/>
    <n v="20"/>
    <s v="Al conjunto de tuberías que llevan agua caliente no consumida desde los terminales o puntos de consumo y otros puntos hasta la sala de calderas, se le conoce como:"/>
    <s v="Circuito de retorno."/>
    <s v="Circuito primario."/>
    <s v="Circuito secundario."/>
    <m/>
    <s v="a"/>
  </r>
  <r>
    <x v="1"/>
    <n v="11"/>
    <x v="10"/>
    <n v="66"/>
    <s v="Test Calefaccion"/>
    <n v="21"/>
    <s v="El calor se puede transmitir por:"/>
    <s v="Conducción, transmisión, radiación."/>
    <s v="Convección, radiación, conducción."/>
    <s v="Ninguna de las dos es correcta."/>
    <m/>
    <s v="b"/>
  </r>
  <r>
    <x v="1"/>
    <n v="11"/>
    <x v="10"/>
    <n v="66"/>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11"/>
    <x v="10"/>
    <n v="66"/>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11"/>
    <x v="10"/>
    <n v="66"/>
    <s v="Test Calefaccion"/>
    <n v="25"/>
    <s v="¿Cuáles de estos gases son considerados como gases licuados de petróleo?"/>
    <s v="Butano y propano."/>
    <s v="Propano y gas natural."/>
    <s v="Gas natural y butano."/>
    <m/>
    <s v="a"/>
  </r>
  <r>
    <x v="1"/>
    <n v="11"/>
    <x v="10"/>
    <n v="66"/>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11"/>
    <x v="10"/>
    <n v="66"/>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11"/>
    <x v="10"/>
    <n v="66"/>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11"/>
    <x v="10"/>
    <n v="66"/>
    <s v="Test Calefaccion"/>
    <n v="29"/>
    <s v="¿Cuáles de estos combustibles se consideran aptos para una caldera de biomasa?"/>
    <s v="Papel, pellets, cáscara de almendras."/>
    <s v="Cáscaras de frutos secos, carbón vegetal, pellets."/>
    <s v="Huesos de aceituna, astillas, residuos forestales."/>
    <m/>
    <s v="c"/>
  </r>
  <r>
    <x v="1"/>
    <n v="11"/>
    <x v="10"/>
    <n v="66"/>
    <s v="Test Calefaccion"/>
    <n v="30"/>
    <s v="¿Qué significa la denominación de una tubería con las siglas PEX?"/>
    <s v="Polipropileno."/>
    <s v="Polietileno reticulado."/>
    <s v="Polibutileno."/>
    <m/>
    <s v="b"/>
  </r>
  <r>
    <x v="1"/>
    <n v="11"/>
    <x v="10"/>
    <n v="66"/>
    <s v="Test Calefaccion"/>
    <n v="31"/>
    <s v="En un circuito hidráulico, ¿cuál es la función del purgador?"/>
    <s v="Vaciar el agua del circuito, instalándolo en la parte inferior del mismo."/>
    <s v="Liberar el aire del circuito, instalándolo en la parte superior del mismo."/>
    <s v="Vaciar agua y liberar aire del circuito pudiéndose instalar en la parte superior o inferior del mismo."/>
    <m/>
    <s v="b"/>
  </r>
  <r>
    <x v="1"/>
    <n v="11"/>
    <x v="10"/>
    <n v="66"/>
    <s v="Test Calefaccion"/>
    <n v="32"/>
    <s v="En un circuito de ACS, las bombas de circulación:"/>
    <s v="Son necesarias sólo en el circuito de retorno."/>
    <s v="Se emplean en el circuito primario, secundario y circuito de retorno."/>
    <s v="Se puede instalar una bomba dimensionada para todo el circuito."/>
    <m/>
    <s v="b"/>
  </r>
  <r>
    <x v="1"/>
    <n v="11"/>
    <x v="10"/>
    <n v="66"/>
    <s v="Test Calefaccion"/>
    <n v="33"/>
    <s v="¿Qué tipo de combustible utilizan las calefacciones de gasoil?"/>
    <s v="Gasóleo A."/>
    <s v="Gasóleo B."/>
    <s v="Gasóleo C."/>
    <m/>
    <s v="c"/>
  </r>
  <r>
    <x v="1"/>
    <n v="11"/>
    <x v="10"/>
    <n v="66"/>
    <s v="Test Calefaccion"/>
    <n v="34"/>
    <s v="En un sistema de refrigeración por bomba de calor, cuando trabaja para producir calor, ¿dónde se encuentra situado el evaporador?"/>
    <s v="En el exterior del recinto."/>
    <s v="En el interior del recinto."/>
    <s v="Instalado dentro del módulo junto con el compresor."/>
    <m/>
    <s v="a"/>
  </r>
  <r>
    <x v="1"/>
    <n v="11"/>
    <x v="10"/>
    <n v="66"/>
    <s v="Test Calefaccion"/>
    <n v="36"/>
    <s v="Para tener un sistema adecuado de ACS:"/>
    <s v="Puede instalarse un sistema adecuado de ACS sin acumulador o interacumulador."/>
    <s v="Es necesario que el sistema tenga instalado un acumulador."/>
    <s v="Es necesario que el sistema tenga instalado un interacumulador."/>
    <m/>
    <s v="a"/>
  </r>
  <r>
    <x v="1"/>
    <n v="11"/>
    <x v="10"/>
    <n v="66"/>
    <s v="Test Calefaccion"/>
    <n v="37"/>
    <s v="¿Cuál de estas afirmaciones es falsa?"/>
    <s v="Las calderas de bajo NOX toman el aire directamente del lugar donde se encuentran ubicadas en el interior del recinto y consiguen una mejora de la eficiencia al reducir la emisión de óxidos de nitrógeno."/>
    <s v="Las calderas de condensación tienen una alta eficiencia energética y aprovechan el calor latente de condensación presente en los humos de la combustión."/>
    <s v="Las calderas atmosféricas tienen una eficiencia no muy alta y pueden producir intoxicaciones en caso de una mala combustión."/>
    <m/>
    <s v="a"/>
  </r>
  <r>
    <x v="1"/>
    <n v="11"/>
    <x v="10"/>
    <n v="66"/>
    <s v="Test Calefaccion"/>
    <n v="38"/>
    <s v="En una bomba de calor:"/>
    <s v="El condensador es la unidad de intercambio que se encuentra en el interior del edificio."/>
    <s v="El evaporador es la unidad de intercambio que se encuentra en el exterior del edificio."/>
    <s v="Las unidades de intercambio funcionarán como evaporador o condensador en función de si se está produciendo frío o calor."/>
    <m/>
    <s v="c"/>
  </r>
  <r>
    <x v="1"/>
    <n v="11"/>
    <x v="10"/>
    <n v="66"/>
    <s v="Test Calefaccion"/>
    <n v="39"/>
    <s v="¿Cómo se le denomina al intercambiador de frío-calor, en un ventiloconvector?"/>
    <s v="Fancoil."/>
    <s v="Batería."/>
    <s v="Intercambiador de placas."/>
    <m/>
    <s v="b"/>
  </r>
  <r>
    <x v="1"/>
    <n v="11"/>
    <x v="10"/>
    <n v="66"/>
    <s v="Test Calefaccion"/>
    <n v="40"/>
    <s v="Es una característica de los acumuladores:"/>
    <s v="Los acumuladores de más de 750 litros deberán disponer una boca de registro fácilmente accesible de diámetro mínimo de 400 mm."/>
    <s v="Los acumuladores desde 750 litros deberán disponer una boca de registro fácilmente accesible de diámetro mínimo de 400 mm."/>
    <s v="Los acumuladores de más de 750 litros deberán disponer una boca de registro fácilmente accesible de diámetro mayor de 400 mm."/>
    <m/>
    <s v="b"/>
  </r>
  <r>
    <x v="1"/>
    <n v="26"/>
    <x v="24"/>
    <n v="67"/>
    <s v="Test Incendios 1"/>
    <n v="1"/>
    <s v="¿Cuáles de estos materiales son considerados de fuego de Clase C?"/>
    <s v="Gasolina, petróleo, alcohol."/>
    <s v="Gas natural, propano, butano."/>
    <s v="Papel, cartón, madera, paja."/>
    <m/>
    <s v="b"/>
  </r>
  <r>
    <x v="1"/>
    <n v="26"/>
    <x v="24"/>
    <n v="67"/>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6"/>
    <x v="24"/>
    <n v="67"/>
    <s v="Test Incendios 1"/>
    <n v="3"/>
    <s v="Conforme a lo que nos indica el Código Técnico de la Edificación, ¿cuáles son las dimensiones de las Zonas de Refugio para sillas de ruedas?"/>
    <s v="1,20 m x 0,80 m"/>
    <s v="1,10 m x 0,90 m"/>
    <s v="1,20 m x 1,20 m"/>
    <m/>
    <s v="a"/>
  </r>
  <r>
    <x v="1"/>
    <n v="26"/>
    <x v="24"/>
    <n v="67"/>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6"/>
    <x v="24"/>
    <n v="67"/>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6"/>
    <x v="24"/>
    <n v="67"/>
    <s v="Test Incendios 1"/>
    <n v="6"/>
    <s v="¿Cuáles de estos elementos pertenecen a un grupo de presión contra incendios?"/>
    <s v="Aljibe, central de alarma y vaso de expansión."/>
    <s v="Presostato, bomba jockey, válvula de retención."/>
    <s v="Válvula de bola, bomba principal, filtro."/>
    <m/>
    <s v="b"/>
  </r>
  <r>
    <x v="1"/>
    <n v="26"/>
    <x v="24"/>
    <n v="67"/>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6"/>
    <x v="24"/>
    <n v="67"/>
    <s v="Test Incendios 1"/>
    <n v="8"/>
    <s v="¿Cuáles son los elementos químicos del fuego?"/>
    <s v="Oxígeno, metano, hidrógeno."/>
    <s v="Hidrógeno, carbono, oxígeno."/>
    <s v="Nitrógeno, carbono, oxígeno."/>
    <m/>
    <s v="b"/>
  </r>
  <r>
    <x v="1"/>
    <n v="26"/>
    <x v="24"/>
    <n v="67"/>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6"/>
    <x v="24"/>
    <n v="67"/>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6"/>
    <x v="24"/>
    <n v="67"/>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6"/>
    <x v="24"/>
    <n v="67"/>
    <s v="Test Incendios 1"/>
    <n v="12"/>
    <s v="Para fuegos con presencia de electricidad, se utilizarán los extintores de tipo:"/>
    <s v="De CO2"/>
    <s v="Polvo ABC polivalente."/>
    <s v="Con hidrocarburos halogenados."/>
    <m/>
    <s v="a"/>
  </r>
  <r>
    <x v="1"/>
    <n v="26"/>
    <x v="24"/>
    <n v="67"/>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6"/>
    <x v="24"/>
    <n v="67"/>
    <s v="Test Incendios 1"/>
    <n v="14"/>
    <s v="En el caso de que el fabricante no establezca una vida útil de las bocas de incendio equipadas, ¿esta será de?"/>
    <s v="15 años."/>
    <s v="20 años."/>
    <s v="25 años."/>
    <m/>
    <s v="b"/>
  </r>
  <r>
    <x v="1"/>
    <n v="26"/>
    <x v="24"/>
    <n v="67"/>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6"/>
    <x v="24"/>
    <n v="67"/>
    <s v="Test Incendios 1"/>
    <n v="16"/>
    <s v="Las mangueras de las BIE serán de las siguientes medidas:"/>
    <s v="25 mm manguera semirrígida y 45 mm manguera plana."/>
    <s v="25 mm manguera rígida y 45 mm manguera flexible."/>
    <s v="25 mm manguera plana y 45 mm manguera semirrígida."/>
    <m/>
    <s v="a"/>
  </r>
  <r>
    <x v="1"/>
    <n v="26"/>
    <x v="24"/>
    <n v="67"/>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6"/>
    <x v="24"/>
    <n v="67"/>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6"/>
    <x v="24"/>
    <n v="67"/>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6"/>
    <x v="24"/>
    <n v="67"/>
    <s v="Test Incendios 1"/>
    <n v="20"/>
    <s v="Para que comience un incendio:"/>
    <s v="Se tienen que combinar un combustible y una llama."/>
    <s v="Se tienen que combinar un combustible y un comburente y añadirle una fuente de calor."/>
    <s v="Se tiene que combinar un combustible y un comburente."/>
    <m/>
    <s v="b"/>
  </r>
  <r>
    <x v="1"/>
    <n v="26"/>
    <x v="24"/>
    <n v="67"/>
    <s v="Test Incendios 1"/>
    <n v="21"/>
    <s v="En los extintores de incendio, ¿cada cuánto tiempo se revisará que el indicador de presión se encuentre en la zona de operación?"/>
    <s v="Cada 3 meses."/>
    <s v="Cada 6 meses."/>
    <s v="Cada año."/>
    <m/>
    <s v="a"/>
  </r>
  <r>
    <x v="1"/>
    <n v="26"/>
    <x v="24"/>
    <n v="67"/>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6"/>
    <x v="24"/>
    <n v="67"/>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6"/>
    <x v="24"/>
    <n v="67"/>
    <s v="Test Incendios 1"/>
    <n v="24"/>
    <s v="Si el fabricante no establece otra fecha, ¿cuál se considerará la vida útil de las señales luminiscentes?"/>
    <s v="10 años."/>
    <s v="15 años."/>
    <s v="20 años."/>
    <m/>
    <s v="a"/>
  </r>
  <r>
    <x v="1"/>
    <n v="26"/>
    <x v="24"/>
    <n v="67"/>
    <s v="Test Incendios 1"/>
    <n v="25"/>
    <s v="De acuerdo con el Código Técnico de la Edificación, DB-SI, ¿cuál es la densidad de ocupación en piscinas públicas de los vasos-zonas de baño?"/>
    <s v="2 m²/persona."/>
    <s v="3 m²/persona."/>
    <s v="4 m²/persona."/>
    <m/>
    <s v="a"/>
  </r>
  <r>
    <x v="1"/>
    <n v="26"/>
    <x v="24"/>
    <n v="67"/>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6"/>
    <x v="24"/>
    <n v="67"/>
    <s v="Test Incendios 1"/>
    <n v="27"/>
    <s v="La señalización de las BIE:"/>
    <s v="Se colocará junto al armario o sobre el mismo con señal luminiscente."/>
    <s v="Se colocará encima del armario y no sobre el mismo."/>
    <s v="Se colocará junto al armario y no sobre el mismo."/>
    <m/>
    <s v="c"/>
  </r>
  <r>
    <x v="1"/>
    <n v="26"/>
    <x v="24"/>
    <n v="67"/>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6"/>
    <x v="24"/>
    <n v="67"/>
    <s v="Test Incendios 1"/>
    <n v="29"/>
    <s v="Entre otros, ¿qué tipos de extintores nos podemos encontrar?"/>
    <s v="De agua, de presión adosada, de presión propia."/>
    <s v="De presión propia, fijos, polvo de nitrógeno."/>
    <s v="Móviles, portátiles, alta presión."/>
    <m/>
    <s v="a"/>
  </r>
  <r>
    <x v="1"/>
    <n v="26"/>
    <x v="24"/>
    <n v="67"/>
    <s v="Test Incendios 1"/>
    <n v="30"/>
    <s v="Según el Código Técnico de la Edificación, DB-SI, ¿cuál es la densidad de ocupación en piscinas públicas de las zonas de estancia de público en piscinas descubiertas?"/>
    <s v="2 m²/persona."/>
    <s v="3 m²/persona."/>
    <s v="4 m²/persona."/>
    <m/>
    <s v="c"/>
  </r>
  <r>
    <x v="1"/>
    <n v="26"/>
    <x v="24"/>
    <n v="68"/>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6"/>
    <x v="24"/>
    <n v="68"/>
    <s v="Test Incendios 2"/>
    <n v="2"/>
    <s v="¿Qué elementos forman parte de la instalación de bocas de incendio equipadas?"/>
    <s v="Boquilla, válvula de retención, armario."/>
    <s v="Devanadera, racor, manómetro."/>
    <s v="Lanza extensible, manguera, cristal protector."/>
    <m/>
    <s v="b"/>
  </r>
  <r>
    <x v="1"/>
    <n v="26"/>
    <x v="24"/>
    <n v="68"/>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6"/>
    <x v="24"/>
    <n v="68"/>
    <s v="Test Incendios 2"/>
    <n v="4"/>
    <s v="En los planos “Usted está aquí”, la flecha verde indicará:"/>
    <s v="Recorrido alternativo de evacuación."/>
    <s v="Recorrido principal de evacuación."/>
    <s v="Señalización de la posición."/>
    <m/>
    <s v="b"/>
  </r>
  <r>
    <x v="1"/>
    <n v="26"/>
    <x v="24"/>
    <n v="68"/>
    <s v="Test Incendios 2"/>
    <n v="5"/>
    <s v="El elemento que da lugar al tetraedro del fuego es:"/>
    <s v="Calor."/>
    <s v="Reacción en cadena."/>
    <s v="Comburente."/>
    <s v="Combustible."/>
    <s v="b"/>
  </r>
  <r>
    <x v="1"/>
    <n v="26"/>
    <x v="24"/>
    <n v="68"/>
    <s v="Test Incendios 2"/>
    <n v="6"/>
    <s v="Según el DB-SI, ¿cuál es la densidad de ocupación en zonas destinadas a espectadores sentados sin asiento?"/>
    <s v="0,25 m²/Persona."/>
    <s v="1 m²/Persona."/>
    <s v="0,5 m²/Persona."/>
    <m/>
    <s v="c"/>
  </r>
  <r>
    <x v="1"/>
    <n v="26"/>
    <x v="24"/>
    <n v="68"/>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6"/>
    <x v="24"/>
    <n v="68"/>
    <s v="Test Incendios 2"/>
    <n v="8"/>
    <s v="Una de las características de las BIE de 45 mm. es:"/>
    <s v="Emplea manguera semirrígida."/>
    <s v="La manguera debe extenderse por completo."/>
    <s v="Se utilizará con lanza extensible."/>
    <m/>
    <s v="b"/>
  </r>
  <r>
    <x v="1"/>
    <n v="26"/>
    <x v="24"/>
    <n v="68"/>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6"/>
    <x v="24"/>
    <n v="68"/>
    <s v="Test Incendios 2"/>
    <n v="10"/>
    <s v="¿Cuál de estos no es un mecanismo de propagación del fuego?:"/>
    <s v="Conducción."/>
    <s v="Colisión."/>
    <s v="Convección."/>
    <m/>
    <s v="b"/>
  </r>
  <r>
    <x v="1"/>
    <n v="26"/>
    <x v="24"/>
    <n v="68"/>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6"/>
    <x v="24"/>
    <n v="68"/>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6"/>
    <x v="24"/>
    <n v="68"/>
    <s v="Test Incendios 2"/>
    <n v="13"/>
    <s v="Según el Código Técnico de la Edificación DB-SI, ¿cuál es la densidad de ocupación en zonas de público sentado en bares, cafeterías, restaurantes, etc.?"/>
    <s v="1,5 m²."/>
    <s v="2 m²."/>
    <s v="3 m²."/>
    <m/>
    <s v="a"/>
  </r>
  <r>
    <x v="1"/>
    <n v="26"/>
    <x v="24"/>
    <n v="68"/>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6"/>
    <x v="24"/>
    <n v="68"/>
    <s v="Test Incendios 2"/>
    <n v="15"/>
    <s v="El DB-SI del Código Técnico de la Edificación indica que en los recorridos de evacuación, la anchura de toda hoja de puerta:"/>
    <s v="Será entre 0,80 m. y 1,20 m."/>
    <s v="Será entre 0,70 m. y 1,18 m."/>
    <s v="Será entre 0,60 m. y 1,23 m."/>
    <m/>
    <s v="c"/>
  </r>
  <r>
    <x v="1"/>
    <n v="26"/>
    <x v="24"/>
    <n v="68"/>
    <s v="Test Incendios 2"/>
    <n v="16"/>
    <s v="En materia de prevención de incendios, las BIE de 25 mm:"/>
    <s v="Se deberán utilizar por dos personas."/>
    <s v="Utilizarán manguera semirrígida."/>
    <s v="Su caudal es elevado y con presión superior a 10 Kg/cm²."/>
    <m/>
    <s v="b"/>
  </r>
  <r>
    <x v="1"/>
    <n v="26"/>
    <x v="24"/>
    <n v="68"/>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6"/>
    <x v="24"/>
    <n v="68"/>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6"/>
    <x v="24"/>
    <n v="68"/>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6"/>
    <x v="24"/>
    <n v="68"/>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6"/>
    <x v="24"/>
    <n v="68"/>
    <s v="Test Incendios 2"/>
    <n v="21"/>
    <s v="Según el Código Técnico de la Edificación, DB-SI, ¿cuál es la densidad de ocupación en los vestuarios de las piscinas públicas?"/>
    <s v="2 m²/persona."/>
    <s v="3 m²/persona."/>
    <s v="4 m²/persona."/>
    <m/>
    <s v="b"/>
  </r>
  <r>
    <x v="1"/>
    <n v="26"/>
    <x v="24"/>
    <n v="68"/>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6"/>
    <x v="24"/>
    <n v="68"/>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6"/>
    <x v="24"/>
    <n v="68"/>
    <s v="Test Incendios 2"/>
    <n v="24"/>
    <s v="El grupo de presión contra incendios:"/>
    <s v="Alimenta a las BIES y extintores."/>
    <s v="Alimenta a las BIES y a la instalación de servicio del centro."/>
    <s v="Alimenta a las BIES, hidrantes y rociadores, entre otros."/>
    <m/>
    <s v="c"/>
  </r>
  <r>
    <x v="1"/>
    <n v="26"/>
    <x v="24"/>
    <n v="68"/>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6"/>
    <x v="24"/>
    <n v="68"/>
    <s v="Test Incendios 2"/>
    <n v="26"/>
    <s v="Las mantas ignífugas:"/>
    <s v="Se utilizan para cubrir a los heridos en un incendio."/>
    <s v="Se repondrán cada 5 años."/>
    <s v="Se utilizarán para extinguir pequeños fuegos por sofocación y la caducidad no debe exceder de 20 años."/>
    <m/>
    <s v="c"/>
  </r>
  <r>
    <x v="1"/>
    <n v="26"/>
    <x v="24"/>
    <n v="68"/>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6"/>
    <x v="24"/>
    <n v="68"/>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6"/>
    <x v="24"/>
    <n v="68"/>
    <s v="Test Incendios 2"/>
    <n v="29"/>
    <s v="¿Qué clases de fuego existen según la norma UNE-E 2-199 VA:2005?"/>
    <s v="Tipo A, Tipo B, Tipo C, Tipo D, Tipo F."/>
    <s v="Sólidos, líquidos, gaseosos y eléctricos."/>
    <s v="Tipo A, Tipo B, Tipo C, Tipo D y Tipo E."/>
    <m/>
    <s v="a"/>
  </r>
  <r>
    <x v="1"/>
    <n v="26"/>
    <x v="24"/>
    <n v="68"/>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7"/>
    <x v="22"/>
    <n v="69"/>
    <s v="Test Prevencion 1"/>
    <n v="1"/>
    <s v="La posibilidad de que un trabajador sufra un determinado daño derivado del trabajo se conoce como:"/>
    <s v="Enfermedad profesional y/o accidente de trabajo."/>
    <s v="Peligro laboral."/>
    <s v="Riesgo laboral."/>
    <m/>
    <s v="c"/>
  </r>
  <r>
    <x v="1"/>
    <n v="27"/>
    <x v="22"/>
    <n v="69"/>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7"/>
    <x v="22"/>
    <n v="69"/>
    <s v="Test Prevencion 1"/>
    <n v="3"/>
    <s v="Los equipos de protección individual:"/>
    <s v="Deben ser adecuados a los riesgos contra los que debe proteger, sin constituir, por sí, un riesgo adicional. Se debe evitar en lo posible que el equipo de protección individual interfiera en el proceso productivo."/>
    <s v="Deben tener en cuenta las exigencias ergonómicas y de salud del trabajador. Deben adecuarse al usuario tras los ajustes requeridos."/>
    <s v="Las respuestas anteriores son correctas."/>
    <m/>
    <s v="c"/>
  </r>
  <r>
    <x v="1"/>
    <n v="27"/>
    <x v="22"/>
    <n v="69"/>
    <s v="Test Prevencion 1"/>
    <n v="4"/>
    <s v="Trabajo en altura se define como:"/>
    <s v="Cualquier riesgo de altura superior a 2,5 metros, en edificios, andamios, cubiertas, máquinas, vehículos, estructuras, plataformas, escaleras, elementos arbóreos, así como a los trabajos en profundidad, excavaciones, pozos, etc."/>
    <s v="Cualquier riesgo de altura superior a 2 metros, en edificios, andamios, cubiertas, máquinas, vehículos, estructuras, plataformas, escaleras, elementos arbóreos, así como a los trabajos en profundidad, excavaciones, pozos, etc."/>
    <s v="Cualquier riesgo de altura superior a 3 metros, en edificios, andamios, cubiertas, máquinas, vehículos, estructuras, plataformas, escaleras, elementos arbóreos, así como a los trabajos en profundidad, excavaciones, pozos, etc."/>
    <m/>
    <s v="b"/>
  </r>
  <r>
    <x v="1"/>
    <n v="27"/>
    <x v="22"/>
    <n v="69"/>
    <s v="Test Prevencion 1"/>
    <n v="5"/>
    <s v="En los puestos de trabajo con ordenador:"/>
    <s v="Para tareas difíciles y complejas que requieran concentración, el nivel sonoro continuo equivalente que soporte el usuario no debe sobrepasar los 55dB."/>
    <s v="Para tareas difíciles y complejas que requieran concentración, el nivel sonoro continuo equivalente que soporte el usuario no debe sobrepasar los 60dB."/>
    <s v="Para tareas difíciles y complejas que requieran concentración, el nivel sonoro continuo equivalente que soporte el usuario no debe sobrepasar los 65dB."/>
    <m/>
    <s v="a"/>
  </r>
  <r>
    <x v="1"/>
    <n v="27"/>
    <x v="22"/>
    <n v="69"/>
    <s v="Test Prevencion 1"/>
    <n v="6"/>
    <s v="¿Cuál es la definición correcta de Plan de Autoprotección?"/>
    <s v="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
    <m/>
    <s v="c"/>
  </r>
  <r>
    <x v="1"/>
    <n v="27"/>
    <x v="22"/>
    <n v="69"/>
    <s v="Test Prevencion 1"/>
    <n v="7"/>
    <s v="Cualquier máquina, aparato, instrumento o instalación utilizada en el trabajo, se le conoce como:"/>
    <s v="Equipo de trabajo."/>
    <s v="Equipo de protección individual."/>
    <s v="Condición de trabajo."/>
    <m/>
    <s v="a"/>
  </r>
  <r>
    <x v="1"/>
    <n v="27"/>
    <x v="22"/>
    <n v="69"/>
    <s v="Test Prevencion 1"/>
    <n v="8"/>
    <s v="Según la ficha de seguridad de oficial de mantenimiento, ¿qué equipos de protección individual se deben utilizar?"/>
    <s v="Guantes de protección y gafas de protección ocular para tareas específicas."/>
    <s v="Gorra protectora y/o casco (para tareas específicas)."/>
    <s v="Las dos respuestas anteriores son correctas."/>
    <m/>
    <s v="a"/>
  </r>
  <r>
    <x v="1"/>
    <n v="27"/>
    <x v="22"/>
    <n v="69"/>
    <s v="Test Prevencion 1"/>
    <n v="9"/>
    <s v="Son reconocidos como Factores de Riesgo Laboral:"/>
    <s v="Factores debidos al entorno físico del trabajo, debidos al estrés y al acoso y de origen químico o biológico."/>
    <s v="Factores debidos a las condiciones de seguridad, debidos a la organización del trabajo y derivados de la carga de trabajo."/>
    <s v="Factores debidos al entorno físico del trabajo, debidos a las condiciones ambientales y factores debidos a las condiciones de seguridad."/>
    <m/>
    <s v="b"/>
  </r>
  <r>
    <x v="1"/>
    <n v="27"/>
    <x v="22"/>
    <n v="69"/>
    <s v="Test Prevencion 1"/>
    <n v="10"/>
    <s v="Respecto al trabajo con pantallas de visualización, los reflejos se pueden controlar:"/>
    <s v="Modificando las condiciones del entorno medioambiental donde se ubica la pantalla evitando otras fuentes de luz susceptibles de reflejos en ellas."/>
    <s v="Regulando el brillo y el contraste de la propia pantalla"/>
    <s v="Las dos respuestas anteriores son correctas."/>
    <m/>
    <s v="a"/>
  </r>
  <r>
    <x v="1"/>
    <n v="27"/>
    <x v="22"/>
    <n v="69"/>
    <s v="Test Prevencion 1"/>
    <n v="11"/>
    <s v="La Ley fundamental en materia de riesgos laborales es:"/>
    <s v="Ley 32/1995, de 8 de octubre de Prevención de riesgos laborales."/>
    <s v="Ley 31/1996, de 8 de noviembre de Prevención de riesgos laborales."/>
    <s v="Ley 31/1995, de 8 de noviembre de Prevención de riesgos laborales."/>
    <m/>
    <s v="c"/>
  </r>
  <r>
    <x v="1"/>
    <n v="27"/>
    <x v="22"/>
    <n v="69"/>
    <s v="Test Prevencion 1"/>
    <n v="12"/>
    <s v="Al conjunto de formas de perder la salud se le conoce como:"/>
    <s v="Accidente laboral."/>
    <s v="Daño."/>
    <s v="Enfermedad profesional."/>
    <m/>
    <s v="b"/>
  </r>
  <r>
    <x v="1"/>
    <n v="27"/>
    <x v="22"/>
    <n v="69"/>
    <s v="Test Prevencion 1"/>
    <n v="13"/>
    <s v="¿Cuál es la norma por la que se establecen las disposiciones mínimas de seguridad y salud en los lugares de trabajo?"/>
    <s v="Real Decreto 485/1997, de 14 de abril."/>
    <s v="Real Decreto 486/1997, de 14 de abril."/>
    <s v="Real Decreto 487/1997, de 14 de abril."/>
    <m/>
    <s v="b"/>
  </r>
  <r>
    <x v="1"/>
    <n v="27"/>
    <x v="22"/>
    <n v="69"/>
    <s v="Test Prevencion 1"/>
    <n v="14"/>
    <s v="Se considera riesgos psicosociales."/>
    <s v="Acoso sexual, acoso discriminatorio, violencia en el trabajo."/>
    <s v="Acoso laboral, burnout, estrés laboral."/>
    <s v="Las respuestas anteriores son correctas."/>
    <m/>
    <s v="c"/>
  </r>
  <r>
    <x v="1"/>
    <n v="27"/>
    <x v="22"/>
    <n v="69"/>
    <s v="Test Prevencion 1"/>
    <n v="15"/>
    <s v="Cuando se da una situación no deseada e imprevista que puede poner en peligro la integridad física de las personas, dañar gravemente las instalaciones y afectar al medio ambiente, exigiendo una actuación rápida y/o la evacuación de las personas, decimos que estamos ante:"/>
    <s v="Un accidente laboral."/>
    <s v="Una emergencia."/>
    <s v="Un daño derivado del trabajo."/>
    <m/>
    <s v="b"/>
  </r>
  <r>
    <x v="1"/>
    <n v="27"/>
    <x v="22"/>
    <n v="69"/>
    <s v="Test Prevencion 1"/>
    <n v="16"/>
    <s v="Ante un trabajo que estemos realizando, si tenemos una probabilidad media de sufrir un accidente con un resultado extremadamente dañino, estamos hablando de un nivel de riesgo:"/>
    <s v="Trivial."/>
    <s v="Importante."/>
    <s v="Intolerable."/>
    <m/>
    <s v="b"/>
  </r>
  <r>
    <x v="1"/>
    <n v="27"/>
    <x v="22"/>
    <n v="69"/>
    <s v="Test Prevencion 1"/>
    <n v="17"/>
    <s v="¿Cuál es la normativa sobre disposiciones mínimas en materia de señalización de seguridad y salud en el trabajo?"/>
    <s v="Real Decreto 485/1997, de 14 de abril."/>
    <s v="Real Decreto 486/1997, de 14 de abril."/>
    <s v="Real Decreto 487/1997, de 14 de abril."/>
    <m/>
    <s v="a"/>
  </r>
  <r>
    <x v="1"/>
    <n v="27"/>
    <x v="22"/>
    <n v="69"/>
    <s v="Test Prevencion 1"/>
    <n v="18"/>
    <s v="Según el artículo 16 de la Ley de Prevención de Riesgos Laborales"/>
    <s v="La prevención de riesgos laborales deberá integrarse en el sistema de gestión de la empresa a través de la implantación y aplicación de un plan de prevención de riesgos laborales"/>
    <s v="La empresa deberá realizar un plan de autoprotección de riesgos si el número de trabajadores es superior a 50."/>
    <s v="La empresa deberá contratar con las mutuas de prevención y salud un plan de prevención de riesgos laborales."/>
    <m/>
    <s v="a"/>
  </r>
  <r>
    <x v="1"/>
    <n v="27"/>
    <x v="22"/>
    <n v="69"/>
    <s v="Test Prevencion 1"/>
    <n v="19"/>
    <s v="Las dimensiones mínimas de los locales de trabajo serán las siguientes:"/>
    <s v="3 metros de altura desde el piso hasta el techo. En locales comerciales, de servicios, oficinas y despachos, la altura podrá reducirse a 2,25 metros. 1,5m² de superficie libre por trabajador. 10m³ no ocupados por trabajador."/>
    <s v="3 metros de altura desde el piso hasta el techo. En locales comerciales, de servicios, oficinas y despachos, la altura podrá reducirse a 2,25 metros. 2m² de superficie libre por trabajador. 8m³ no ocupados por trabajador."/>
    <s v="3 metros de altura desde el piso hasta el techo. En locales comerciales, de servicios, oficinas y despachos, la altura podrá reducirse a 2,5 metros. 2m² de superficie libre por trabajador. 10m³ no ocupados por trabajador."/>
    <m/>
    <s v="c"/>
  </r>
  <r>
    <x v="1"/>
    <n v="27"/>
    <x v="22"/>
    <n v="69"/>
    <s v="Test Prevencion 1"/>
    <n v="20"/>
    <s v="¿Qué es un plan de emergencia?"/>
    <s v="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
    <s v="Es un conjunto de medidas, que formando parte de un plan de autoprotección, están destinadas a prevenir las situaciones de riesgo y que estas se eviten y no se puedan originar, garantizando la evacuación segura de sus ocupantes, si fuese necesaria."/>
    <s v="Es un conjunto de medidas, que formando parte de un plan de autoprotección, están destinadas a proteger la seguridad y salud de los trabajadores, haciendo frente a situaciones de riesgo, garantizando la evacuación segura de sus ocupantes, si fuese necesaria."/>
    <m/>
    <s v="a"/>
  </r>
  <r>
    <x v="1"/>
    <n v="27"/>
    <x v="22"/>
    <n v="69"/>
    <s v="Test Prevencion 1"/>
    <n v="21"/>
    <s v="Según el artículo 4 de la Ley de Prevención de riesgos laborales, equipo de protección individual, se define como:"/>
    <s v="Cualquier equipo destinado a ser llevado o sujetado por el trabajador para que le proteja de uno o varios riesgos que puedan amenazar su seguridad o su salud en el trabajo, así como cualquier complemento o accesorio destinado a tal fin."/>
    <s v="Cualquier equipo destinado a ser llevado o sujetado por el trabajador para que le proteja de uno o varios riesgos que puedan amenazar su seguridad o su salud en el trabajo y la de sus compañeros, así como cualquier complemento o accesorio destinado a tal fin."/>
    <s v="Cualquier equipo destinado a ser llevado o sujetado por el trabajador para que le proteja de un riesgo que puedan amenazar su seguridad individual o colectiva y su salud en el trabajo, así como cualquier complemento o accesorio destinado a tal fin."/>
    <m/>
    <s v="a"/>
  </r>
  <r>
    <x v="1"/>
    <n v="27"/>
    <x v="22"/>
    <n v="69"/>
    <s v="Test Prevencion 1"/>
    <n v="22"/>
    <s v="En los lugares de trabajo, la iluminación en las vías de circulación de uso habitual, se exigirá un nivel mínimo de iluminación de:"/>
    <s v="50 lux."/>
    <s v="100 lux."/>
    <s v="25 lux."/>
    <m/>
    <s v="a"/>
  </r>
  <r>
    <x v="1"/>
    <n v="27"/>
    <x v="22"/>
    <n v="69"/>
    <s v="Test Prevencion 1"/>
    <n v="23"/>
    <s v="La evaluación de riesgos laborales y la planificación de la actividad preventiva:"/>
    <s v="Son los instrumentos esenciales para la gestión y aplicación del plan de prevención de riesgos."/>
    <s v="Forman parte de la ficha de seguridad y salud de los empleados."/>
    <s v="Ninguna de las respuestas anteriores es correcta."/>
    <m/>
    <s v="a"/>
  </r>
  <r>
    <x v="1"/>
    <n v="27"/>
    <x v="22"/>
    <n v="69"/>
    <s v="Test Prevencion 1"/>
    <n v="24"/>
    <s v="Los planes de emergencia, deberán garantizar al menos:"/>
    <s v="Evitar los riesgos en su origen, intervención coordinada y control de la salud."/>
    <s v="La detección y alerta, el refugio, evacuación y socorro y la intervención coordinada."/>
    <s v="La disminución de accidentes, la alarma, la solicitud y recepción de ayuda externa de los servicios de emergencias."/>
    <m/>
    <s v="b"/>
  </r>
  <r>
    <x v="1"/>
    <n v="27"/>
    <x v="22"/>
    <n v="69"/>
    <s v="Test Prevencion 1"/>
    <n v="25"/>
    <s v="Las señales de seguridad que indican advertencia:"/>
    <s v="Son redondas, símbolo blanco y color de seguridad azul."/>
    <s v="Son triangulares, símbolo negro y color de seguridad amarillo."/>
    <s v="Son rectangulares, símbolo blanco y color de seguridad rojo."/>
    <m/>
    <s v="b"/>
  </r>
  <r>
    <x v="1"/>
    <n v="27"/>
    <x v="22"/>
    <n v="70"/>
    <s v="Test Prevencion 2"/>
    <n v="1"/>
    <s v="¿Quién debe garantizar la seguridad y la salud de los trabajadores en todos los aspectos relacionados con el trabajo?"/>
    <s v="La Ley de Prevención de Riesgos Laborales."/>
    <s v="La Administración Pública."/>
    <s v="El empresario."/>
    <m/>
    <s v="c"/>
  </r>
  <r>
    <x v="1"/>
    <n v="27"/>
    <x v="22"/>
    <n v="70"/>
    <s v="Test Prevencion 2"/>
    <n v="2"/>
    <s v="Las escaleras de mano:"/>
    <s v="El ángulo de apertura de una escalera de tijera debe ser como mínimo de 30º."/>
    <s v="Las escaleras de madera se deberán barnizar anualmente para mantenerlas en óptimo estado de conservación."/>
    <s v="La inclinación de una escalera al apoyar en una pared debe estar comprendida 75,5º y 70,5º y sobrepasará como mínimo 1 metro el punto de apoyo superior."/>
    <m/>
    <s v="c"/>
  </r>
  <r>
    <x v="1"/>
    <n v="27"/>
    <x v="22"/>
    <n v="70"/>
    <s v="Test Prevencion 2"/>
    <n v="3"/>
    <s v="Adoptar el trabajo a la persona, combatir los riesgos en su origen o evitar los riesgos ¿qué son en materia de prevención de riesgos laborales?"/>
    <s v="Son derechos de los trabajadores en materia de prevención de riesgos laborales."/>
    <s v="Son deberes del empresario en materia de prevención de riesgos laborales."/>
    <s v="Son principios de la acción preventiva."/>
    <m/>
    <s v="c"/>
  </r>
  <r>
    <x v="1"/>
    <n v="27"/>
    <x v="22"/>
    <n v="70"/>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7"/>
    <x v="22"/>
    <n v="70"/>
    <s v="Test Prevencion 2"/>
    <n v="5"/>
    <s v="Las señales de seguridad de forma cuadrada o rectangular de color verde son:"/>
    <s v="Las señales de socorro."/>
    <s v="Las señales de equipos contra incendios."/>
    <s v="Las señales de seguridad."/>
    <m/>
    <s v="a"/>
  </r>
  <r>
    <x v="1"/>
    <n v="27"/>
    <x v="22"/>
    <n v="70"/>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7"/>
    <x v="22"/>
    <n v="70"/>
    <s v="Test Prevencion 2"/>
    <n v="7"/>
    <s v="Según el RD 1215/1997, de 18 de julio, por el que se establecen las disposiciones mínimas de seguridad y salud para la utilización por los trabajadores de los equipos de trabajo, ¿equipo de trabajo es?"/>
    <s v="Cualquier máquina, instrumento o instalación utilizada en el trabajo."/>
    <s v="Cualquier elemento utilizado durante el trabajo para protegerse de uno o varios riesgos."/>
    <s v="Son las máquinas utilizadas en el trabajo."/>
    <m/>
    <s v="a"/>
  </r>
  <r>
    <x v="1"/>
    <n v="27"/>
    <x v="22"/>
    <n v="70"/>
    <s v="Test Prevencion 2"/>
    <n v="8"/>
    <s v="A las zonas de riesgo grave y específico:"/>
    <s v="Podrá acceder cualquier trabajador previamente informado."/>
    <s v="Sólo podrá acceder personal contratado para realizar dichas actividades."/>
    <s v="Sólo podrán acceder los trabajadores que hayan recibido información suficiente y adecuada."/>
    <m/>
    <s v="c"/>
  </r>
  <r>
    <x v="1"/>
    <n v="27"/>
    <x v="22"/>
    <n v="70"/>
    <s v="Test Prevencion 2"/>
    <n v="9"/>
    <s v="Según la normativa en materia de señalización de seguridad y salud en el trabajo, establece para las señales diferentes formas y colores. ¿Cuál de las siguientes combinaciones es la correcta?"/>
    <s v="Color azul y forma cuadrada, obligación."/>
    <s v="Color rojo y forma redonda, advertencia."/>
    <s v="Color rojo y forma cuadrada o rectangular, equipo contra incendios."/>
    <m/>
    <s v="c"/>
  </r>
  <r>
    <x v="1"/>
    <n v="27"/>
    <x v="22"/>
    <n v="70"/>
    <s v="Test Prevencion 2"/>
    <n v="10"/>
    <s v="Documento que informa al trabajador de diversos aspectos de prevención de riesgos laborales presentes en las actividades o trabajos realizados, es:"/>
    <s v="Ficha del puesto de trabajo."/>
    <s v="Orden de seguridad del puesto de trabajo."/>
    <s v="Ficha de seguridad del puesto de trabajo."/>
    <m/>
    <s v="c"/>
  </r>
  <r>
    <x v="1"/>
    <n v="27"/>
    <x v="22"/>
    <n v="70"/>
    <s v="Test Prevencion 2"/>
    <n v="11"/>
    <s v="Respecto a las obligaciones de los trabajadores en materia de prevención de riesgos laborales:"/>
    <s v="Corresponde a cada trabajador velar por su propia seguridad y salud en el trabajo."/>
    <s v="Corresponde a cada trabajador velar por su propia seguridad y salud en el trabajo y por la de aquellas otras personas a las que pueda afectar su actividad profesional."/>
    <s v="Corresponde a cada trabajador velar por su propia seguridad y salud en el trabajo y por la de aquellas instalaciones y personas a las que pueda afectar su actividad profesional."/>
    <m/>
    <s v="b"/>
  </r>
  <r>
    <x v="1"/>
    <n v="27"/>
    <x v="22"/>
    <n v="70"/>
    <s v="Test Prevencion 2"/>
    <n v="12"/>
    <s v="Con relación a los principios de la acción preventiva ¿cuál de las siguientes afirmaciones es la correcta?"/>
    <s v="El empresario tomará en consideración las capacidades personales de los trabajadores en materia de seguridad y de salud en el momento de encomendarles las tareas."/>
    <s v="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
    <s v="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
    <m/>
    <s v="b"/>
  </r>
  <r>
    <x v="1"/>
    <n v="27"/>
    <x v="22"/>
    <n v="70"/>
    <s v="Test Prevencion 2"/>
    <n v="13"/>
    <s v="En la manipulación manual de cargas, ¿cuál es el peso máximo que se recomienda no sobrepasar?"/>
    <s v="En general 25 Kg. Y en trabajadores entrenados 40 kg."/>
    <s v="En mujeres, trabajadores jóvenes o mayores, 15 kg."/>
    <s v="Las dos respuestas anteriores son correctas."/>
    <m/>
    <s v="c"/>
  </r>
  <r>
    <x v="1"/>
    <n v="27"/>
    <x v="22"/>
    <n v="70"/>
    <s v="Test Prevencion 2"/>
    <n v="14"/>
    <s v="Forma parte de la estructura de la ficha de seguridad:"/>
    <s v="Operaciones y tareas, riesgos presentes, consignas en materia de prevención."/>
    <s v="Pictogramas, equipos de protección individual, fuentes de riesgos, sustancias y materias primas."/>
    <s v="Las dos son correctas."/>
    <m/>
    <s v="c"/>
  </r>
  <r>
    <x v="1"/>
    <n v="27"/>
    <x v="22"/>
    <n v="70"/>
    <s v="Test Prevencion 2"/>
    <n v="15"/>
    <s v="Las señales de protección contra incendios:"/>
    <s v="Son cuadradas. El color de seguridad es el verde y debe cubrir al menos el 75% de la superficie de la señal."/>
    <s v="Son cuadradas o rectangulares. El color de seguridad es el rojo y debe cubrir al menos el 75% de la superficie de la señal."/>
    <s v="Son cuadradas o rectangulares. El color de seguridad es el rojo y debe cubrir al menos el 50% de la superficie de la señal."/>
    <m/>
    <s v="c"/>
  </r>
  <r>
    <x v="1"/>
    <n v="27"/>
    <x v="22"/>
    <n v="70"/>
    <s v="Test Prevencion 2"/>
    <n v="16"/>
    <s v="Manipulación manual de cargas se define como:"/>
    <s v="Cualquier operación de carga manual realizada con motivo del trabajo."/>
    <s v="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
    <s v="Levantamiento y colocación de una carga por parte de un trabajador que por sus características o condiciones ergonómicas inadecuadas entrañan riesgos dorsolumbares para los trabajadores."/>
    <m/>
    <s v="b"/>
  </r>
  <r>
    <x v="1"/>
    <n v="27"/>
    <x v="22"/>
    <n v="70"/>
    <s v="Test Prevencion 2"/>
    <n v="17"/>
    <s v="La ficha de seguridad se recibe:"/>
    <s v="Todo trabajador la recibe en el momento de su incorporación al puesto de trabajo."/>
    <s v="Todo trabajador la recibe a pasar el periodo de prueba."/>
    <s v="No es obligatoria su entrega si los riesgos son tolerables."/>
    <m/>
    <s v="a"/>
  </r>
  <r>
    <x v="1"/>
    <n v="27"/>
    <x v="22"/>
    <n v="70"/>
    <s v="Test Prevencion 2"/>
    <n v="18"/>
    <s v="Es un deber de los trabajadores:"/>
    <s v="Cooperar con la autoridad competente para que pueda garantizar unas condiciones de trabajo seguras."/>
    <s v="Utilizar correctamente y no poner fuera de funcionamiento los dispositivos de seguridad existentes."/>
    <s v="Las dos son correctas."/>
    <m/>
    <s v="b"/>
  </r>
  <r>
    <x v="1"/>
    <n v="27"/>
    <x v="22"/>
    <n v="70"/>
    <s v="Test Prevencion 2"/>
    <n v="19"/>
    <s v="Se define como Factor de riesgo en el trabajo:"/>
    <s v="Es el elemento o conjunto de elementos, que estando presentes en las condiciones de trabajo, pueden desencadenar una disminución en la salud del trabajador."/>
    <s v="Es el elemento o conjunto de elementos que estando presentes en el ámbito laboral, pueden ocasionar un accidente."/>
    <s v="Conjunto de elementos presentes en cualquier condición, que pueden ocasionar un accidente con motivo de nuestro trabajo."/>
    <m/>
    <s v="a"/>
  </r>
  <r>
    <x v="1"/>
    <n v="27"/>
    <x v="22"/>
    <n v="70"/>
    <s v="Test Prevencion 2"/>
    <n v="20"/>
    <s v="La técnica que nos protege frente a aquellos riesgos que no se han podido evitar o reducir es:"/>
    <s v="La prevención de riesgos laborales."/>
    <s v="La protección colectiva."/>
    <s v="Los equipos de protección individual."/>
    <m/>
    <s v="b"/>
  </r>
  <r>
    <x v="1"/>
    <n v="27"/>
    <x v="22"/>
    <n v="70"/>
    <s v="Test Prevencion 2"/>
    <n v="21"/>
    <s v="El incumplimiento de las obligaciones en materia de prevención de riesgos por parte de los funcionarios públicos se considerará:"/>
    <s v="Incumplimiento laboral."/>
    <s v="Amonestación."/>
    <s v="Falta."/>
    <m/>
    <s v="c"/>
  </r>
  <r>
    <x v="1"/>
    <n v="27"/>
    <x v="22"/>
    <n v="70"/>
    <s v="Test Prevencion 2"/>
    <n v="22"/>
    <s v="Riesgo laboral se define como:"/>
    <s v="Conjunto de formas de perder la salud."/>
    <s v="Posibilidad de que un trabajador sufra un determinado daño derivado del trabajo."/>
    <s v="Enfermedades, patologías o lesiones sufridas con motivo u ocasión del trabajo."/>
    <m/>
    <s v="b"/>
  </r>
  <r>
    <x v="1"/>
    <n v="27"/>
    <x v="22"/>
    <n v="70"/>
    <s v="Test Prevencion 2"/>
    <n v="23"/>
    <s v="Los equipos de protección individual"/>
    <s v="Se utilizarán siempre que se realice una tarea."/>
    <s v="Se utilizarán a criterio del trabajador en función de la tarea que se realice."/>
    <s v="Deberán utilizarse cuando los riesgos no puedan evitarse o limitarse por medios técnicos de protección colectiva o medidas, métodos o procedimientos de organización del trabajo."/>
    <m/>
    <s v="c"/>
  </r>
  <r>
    <x v="1"/>
    <n v="27"/>
    <x v="22"/>
    <n v="70"/>
    <s v="Test Prevencion 2"/>
    <n v="24"/>
    <s v="Respecto a la manipulación manual de cargas, ¿Cuál de estas respuestas es la correcta?"/>
    <s v="No se deberían manejar cargas por encima de los 200 cm de altura."/>
    <s v="No se deberían manejar cargas por encima de los 175 cm de altura."/>
    <s v="No se deberían manejar cargas por encima de los 150 cm de altura."/>
    <m/>
    <s v="b"/>
  </r>
  <r>
    <x v="1"/>
    <n v="27"/>
    <x v="22"/>
    <n v="70"/>
    <s v="Test Prevencion 2"/>
    <n v="25"/>
    <s v="Según la ficha de seguridad de oficial de mantenimiento ¿Cuál de estas características se consideran fuentes de riesgo?"/>
    <s v="Calles, suelos, bordillos, escalones, farolas."/>
    <s v="Idioma, condiciones culturales intrínsecas, deficiencias en la comunicación."/>
    <s v="Las 2 respuestas anteriores son correctas."/>
    <m/>
    <s v="c"/>
  </r>
  <r>
    <x v="0"/>
    <n v="1"/>
    <x v="0"/>
    <n v="71"/>
    <s v="1. TestOficialPintor"/>
    <n v="1"/>
    <s v="¿Cuántos artículos tiene la Constitución española de 1978?"/>
    <s v="158"/>
    <s v="169"/>
    <s v="175"/>
    <m/>
    <s v="b"/>
  </r>
  <r>
    <x v="0"/>
    <n v="1"/>
    <x v="0"/>
    <n v="71"/>
    <s v="1. TestOficialPintor"/>
    <n v="2"/>
    <s v="Según el artículo 9.1 de la Constitución española están sujetos a la Constitución y al resto del ordenamiento jurídico:"/>
    <s v="Los ciudadanos y los poderes públicos"/>
    <s v="Los poderes públicos."/>
    <s v="Los ciudadanos."/>
    <m/>
    <s v="a"/>
  </r>
  <r>
    <x v="0"/>
    <n v="1"/>
    <x v="0"/>
    <n v="71"/>
    <s v="1. TestOficialPintor"/>
    <n v="3"/>
    <s v="Según el artículo 141.1 de la Constitución española cualquier alteración de los límites provinciales habrá de ser aprobada:"/>
    <s v="Por las Cortes Generales."/>
    <s v="Por las Cortes Generales mediante ley orgánica"/>
    <s v="Por el Gobierno."/>
    <m/>
    <s v="b"/>
  </r>
  <r>
    <x v="0"/>
    <n v="2"/>
    <x v="1"/>
    <n v="71"/>
    <s v="1. TestOficialPintor"/>
    <n v="4"/>
    <s v="El artÍculo 46.2 del Estatuto de Autonomía de Aragón dice que el Presidente de Aragón:"/>
    <s v="Ostenta la suprema representación de la Comunidad Autónoma."/>
    <s v="Ostenta la representación ordinaria del Estado en el territorio de la Comunidad."/>
    <s v="Las respuestas a) y b) son correctas."/>
    <m/>
    <s v="c"/>
  </r>
  <r>
    <x v="0"/>
    <n v="2"/>
    <x v="1"/>
    <n v="71"/>
    <s v="1. TestOficialPintor"/>
    <n v="5"/>
    <s v="El artículo 53.3 del Estatuto de Autonomía de Aragón dice que el Gobierno de Aragón responde políticamente:"/>
    <s v="Ante el Tribunal Superior de Justicia de AragÓn."/>
    <s v="Ante el Justicia de Aragón."/>
    <s v="Ante las Cortes de Aragón."/>
    <m/>
    <s v="c"/>
  </r>
  <r>
    <x v="0"/>
    <n v="3"/>
    <x v="2"/>
    <n v="71"/>
    <s v="1. TestOficialPintor"/>
    <n v="6"/>
    <s v="Según el artículo 54 de la Ley 39/2015, de de octubre, del Procedimiento Administrativo Gomún de las Administraciones Públicas, los procedimientos"/>
    <s v="Se iniciarán, en todo caso, de oficio."/>
    <s v="Podrán iniciarse de oficio o a solicitud del interesado"/>
    <s v="Se iniciarán en todo caso, a solicitud del interesado."/>
    <m/>
    <s v="b"/>
  </r>
  <r>
    <x v="0"/>
    <n v="3"/>
    <x v="2"/>
    <n v="71"/>
    <s v="1. TestOficialPintor"/>
    <n v="7"/>
    <s v="E¡ artículo 100 de la Ley 39/2015, de de octubre, del Procedimiento Administrativo Común de las Administraciones Públicas, enumera los medios de ejecución forzosa. Entre ellos se encuentra;"/>
    <s v="La ejecución subsidiaria."/>
    <s v="La multa coercitiva."/>
    <s v="Las respuestas a) y b) son correctas"/>
    <m/>
    <s v="c"/>
  </r>
  <r>
    <x v="0"/>
    <n v="4"/>
    <x v="3"/>
    <n v="71"/>
    <s v="1. TestOficialPintor"/>
    <n v="8"/>
    <s v="De acuerdo con el artículo 2.1.b del Real Decreto Legislativo 2/2004, de 5 de marzo, por el que se aprueba el texto refundido de la Ley Reguladora de las Haciendas Locales, constituyen tributos propios de las entidades locales:"/>
    <s v="Las tasas, Ias contribuciones especiales y los impuestos."/>
    <s v="Las tasas y las contribuciones especiales."/>
    <s v="Los impuestos."/>
    <m/>
    <s v="a"/>
  </r>
  <r>
    <x v="0"/>
    <n v="4"/>
    <x v="3"/>
    <n v="71"/>
    <s v="1. TestOficialPintor"/>
    <n v="9"/>
    <s v="De acuerdo con el artículo 59 del Real Decreto Legislativo 2/2004, de 5 de ma¡zo, por el que se aprueba el texto refundido de la Ley Reguladora de las Haciendas Locales, es un impuesto municipal:"/>
    <s v="El lmpuesto sobre el Valor Añadido."/>
    <s v="El lmpuesto sobre Vehículos de Tracción Mecánica."/>
    <s v="El lmpuesto sobre Transmisiones Patrimoniales y Actos Jurídicos Documentados"/>
    <m/>
    <s v="b"/>
  </r>
  <r>
    <x v="0"/>
    <n v="7"/>
    <x v="6"/>
    <n v="71"/>
    <s v="1. TestOficialPintor"/>
    <n v="10"/>
    <s v="Según el artículo 8.1 de la Ley 10/2017, de 30 de noviembre, de régimen especial del municipio de Zaragoza como capital de Aragón, ¿Cuál es el órgano de máxima representación política de los ciudadanos de Zaragoza?"/>
    <s v="ElAlcalde."/>
    <s v="El Pleno."/>
    <s v="El Gobierno deZaragoza"/>
    <m/>
    <s v="b"/>
  </r>
  <r>
    <x v="1"/>
    <n v="27"/>
    <x v="22"/>
    <n v="71"/>
    <s v="1. TestOficialPintor"/>
    <n v="24"/>
    <s v="En relación al DB SUA-1 Seguridad frente at riesgo de caídas, y el uso de escaleras manuales (NTP 239) ¿cuál es el ángulo de inclinación recomendado para una escalera de mano simple?"/>
    <s v="45o respecto a la horizonial."/>
    <s v="75o respecto a la horizontal."/>
    <s v="90o (completamente vertical)"/>
    <m/>
    <s v="b"/>
  </r>
  <r>
    <x v="1"/>
    <n v="27"/>
    <x v="22"/>
    <n v="71"/>
    <s v="1. TestOficialPintor"/>
    <n v="25"/>
    <s v="Según el Reglamento (UE) 2016t425, un arnés anticaída se clasifica como un EPI de:"/>
    <s v="Categoría l."/>
    <s v="Categoría ll."/>
    <s v="CategorÍa lll"/>
    <m/>
    <s v="c"/>
  </r>
  <r>
    <x v="1"/>
    <n v="11"/>
    <x v="10"/>
    <n v="71"/>
    <s v="1. TestOficialPintor"/>
    <n v="27"/>
    <s v="En el Código Técnico de la Edificación DB HS.l, se trata el problema del &quot;Salitre&quot;. Según la Guía de Patologías ¿cuál es el tratamiento correcto para su reparación?"/>
    <s v="Pintar encima inmediatamente con una pintura tixotrópica para sellar las sales."/>
    <s v="Limpieza con agua a alta presión y pintar en húmedo con una pintura acrílica."/>
    <s v="Cepillado mecánico en seco para eliminar las sales y aplicar un fijador."/>
    <m/>
    <s v="c"/>
  </r>
  <r>
    <x v="1"/>
    <n v="11"/>
    <x v="10"/>
    <n v="71"/>
    <s v="1. TestOficialPintor"/>
    <n v="28"/>
    <s v="Según el Código Técnico de la Edificación DB HS-l (Protección frente a la humedad) ¿qué condición es crítica antes de aplicar un recubrimiento sobre un paramento de mortero para evitar patologías futuras?"/>
    <s v="Que el mortero haya curado un tiempo mínimo de 20 días."/>
    <s v="eue el grado de humedad del soporte sea inferior al5-6% (según el tipo de pintura)"/>
    <s v="Que la superficie esté lo más lisa poslble (Grado Sa 3)."/>
    <m/>
    <s v="b"/>
  </r>
  <r>
    <x v="1"/>
    <n v="26"/>
    <x v="24"/>
    <n v="71"/>
    <s v="1. TestOficialPintor"/>
    <n v="29"/>
    <s v="En el Gódigo Técnico de la Edificación DB Sl (Seguridad en caso de lncendio) se regula el uso de pinturas intumescentes. ¿Qué norma europea se utiliza para certificar la resistencia al fuego de estos sistemas?"/>
    <s v="ISO 9001."/>
    <s v="UNE-EN '13300."/>
    <s v="EN 13381-8."/>
    <m/>
    <s v="c"/>
  </r>
  <r>
    <x v="0"/>
    <n v="6"/>
    <x v="5"/>
    <n v="71"/>
    <s v="1. TestOficialPintor"/>
    <s v="R4"/>
    <s v="Según el articulo I del Real Decreto Legislativo 512015, de 30 de octubre, por el que se aprueba eltexto refundido de la Ley del Estatuto Básico del Empleado Público:"/>
    <s v="El personal laboral no es una clase de empleados públicos"/>
    <s v="Los funcionarios pueden ser de caftera o interinos."/>
    <s v="Las respuestas a) y b) son correctas."/>
    <m/>
    <s v="b"/>
  </r>
  <r>
    <x v="0"/>
    <n v="1"/>
    <x v="0"/>
    <n v="72"/>
    <s v="1. TestIngTecIndustrial"/>
    <n v="1"/>
    <s v="¿Qué título de la Constitución española tiene como epígrafe &quot;De la reforma constitucional&quot;?"/>
    <s v="ElTitulo Vlll."/>
    <s v="El Titulo lX."/>
    <s v="EITítulo X."/>
    <s v="Ninguna de las respuestas anteriores es correcta"/>
    <s v="c"/>
  </r>
  <r>
    <x v="0"/>
    <n v="8"/>
    <x v="8"/>
    <n v="72"/>
    <s v="1. TestIngTecIndustrial"/>
    <n v="2"/>
    <s v="La Ley Orgánica 3/2O07, de 22 de marzo, para la igualdad efectiva de mujeres y hombres, establece en su artículo I que dicha Ley se dicta en desarrollo:"/>
    <s v="Del artículo 9.2 de la Constitución."/>
    <s v="Del artículo 103 de la Constitución."/>
    <s v="De los artículos 9.2y 14 de la Constitución."/>
    <s v="Ninguna de las respuestas anteriores es correcta"/>
    <s v="c"/>
  </r>
  <r>
    <x v="0"/>
    <n v="2"/>
    <x v="1"/>
    <n v="72"/>
    <s v="1. TestIngTecIndustrial"/>
    <n v="3"/>
    <s v="El artículo 1.2 del Estatuto de Autonomía de Aragón dice que los poderes de la Comunidad Autónoma de Aragón emanan:"/>
    <s v="De su historia e identidad propia."/>
    <s v="De sus instituciones tradicionales, el Derecho foral y su cultura."/>
    <s v="Las respuestas a) y b) son correctas."/>
    <s v="Del pueblo aragonés y de la Constitución."/>
    <s v="d"/>
  </r>
  <r>
    <x v="0"/>
    <n v="2"/>
    <x v="1"/>
    <n v="72"/>
    <s v="1. TestIngTecIndustrial"/>
    <n v="4"/>
    <s v="El Estatuto de Automía de Aragón, en su artículo 37, relativo a la elección de Diputados y Diputadas de las Cortes de Aragón, establece que la circunscripción electoral será:"/>
    <s v="El municipio."/>
    <s v="La comarca."/>
    <s v="La provincia."/>
    <s v="La Comunidad Autónoma"/>
    <s v="c"/>
  </r>
  <r>
    <x v="0"/>
    <n v="2"/>
    <x v="1"/>
    <n v="72"/>
    <s v="1. TestIngTecIndustrial"/>
    <n v="5"/>
    <s v="De acuerdo con el artículo 72 del Estatuto de Automía de Aragón, en materia de aguas que discurran íntegramente por su territorio corresponde la la Gomunidad Autónoma la competencia:"/>
    <s v="Exclusiva."/>
    <s v="Compartida."/>
    <s v="Ejecutiva."/>
    <s v="Ninguna de las respuestas anteriores es correcta"/>
    <s v="a"/>
  </r>
  <r>
    <x v="0"/>
    <n v="3"/>
    <x v="2"/>
    <n v="72"/>
    <s v="1. TestIngTecIndustrial"/>
    <n v="6"/>
    <s v="De acuerdo con el artículo 88.6 de la Ley 39/2015, 1 de octubre, del Procedimiento Administrativo Gomún de las Administraciones Públicas, la aceptación de informes o dictámenes:"/>
    <s v="Servirá de motivación a la resolución."/>
    <s v="Servirá de motivación a la resolución cuando se incorporen al texto de la misma."/>
    <s v="No servirá de motivación a la resolución."/>
    <s v="Servirá de motivación a la resolución en los casos previstos en la Ley."/>
    <s v="b"/>
  </r>
  <r>
    <x v="0"/>
    <n v="3"/>
    <x v="2"/>
    <n v="72"/>
    <s v="1. TestIngTecIndustrial"/>
    <n v="7"/>
    <s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
    <s v="A diez dÍas."/>
    <s v="A quince días"/>
    <s v="A veinte días."/>
    <s v="A un mes."/>
    <s v="c"/>
  </r>
  <r>
    <x v="0"/>
    <n v="5"/>
    <x v="4"/>
    <n v="72"/>
    <s v="1. TestIngTecIndustrial"/>
    <n v="9"/>
    <s v="De acuerdo con el artículo 82 de la Ley 7/1985, de 2 de abril, Reguladora de las Bases del Régimen Local, las entidades locales tienen la prerrogativa de récuperar por sí mismas la posesión de sus bienes:"/>
    <s v="En cualquier momento cuando se trate de bienes patrimoniales."/>
    <s v="En el plazo de un año cuando se trate de bienes de dominio público"/>
    <s v="Las respuestas a) y b) son correctas."/>
    <s v="Ninguna de las respuestas anteriores es correcta."/>
    <s v="d"/>
  </r>
  <r>
    <x v="0"/>
    <n v="5"/>
    <x v="4"/>
    <n v="72"/>
    <s v="1. TestIngTecIndustrial"/>
    <n v="10"/>
    <s v="De acuerdo con el artículo 85 de la Ley 7/1985, de 2 de abril, Reguladora de las Bases del Régimen Local, Ias distintas formas previstas para el contrato de gestión de servicios públicos en la Ley de Contratos del Sector Público:"/>
    <s v="Constituyen formas de gestión directa de los servicios públicos."/>
    <s v="Constituyen formas de gestión indirecta de los servicos públicos."/>
    <s v="Pueden constituir formas de gestión directa o de gestión indirecta de los sevicios públicos."/>
    <s v="Ninguna de las respuestas anteriores es correcta."/>
    <s v="b"/>
  </r>
  <r>
    <x v="0"/>
    <n v="4"/>
    <x v="3"/>
    <n v="72"/>
    <s v="1. TestIngTecIndustrial"/>
    <n v="11"/>
    <s v="Según el artículo 2 del Real Decreto Legislativo 2/2004, de 5 de matzo, por el que se aprueba el texto refundido de la Ley Reguladora de las Haciendas Locales, ¿Qué recurso de las haciendas locales tiene naturaleza tributaria?"/>
    <s v="Las contribuciones especiales."/>
    <s v="Las subvenciones."/>
    <s v="Los precios públicos."/>
    <s v="Las respuestas b) y c) son correctas."/>
    <s v="a"/>
  </r>
  <r>
    <x v="0"/>
    <n v="4"/>
    <x v="3"/>
    <n v="72"/>
    <s v="1. TestIngTecIndustrial"/>
    <n v="12"/>
    <s v="De acuerdo con los artículos 59 y 128 del Real Decreto Legislativo 2/2004, de 5 de ma¡zo, por el que se aprueba el texto refundido de la Ley Reguladora de las Haciendas Locales, ¿Cuál de los siguientes recursos es exclusivo de los municipios?"/>
    <s v="Los impuestos."/>
    <s v="EI IVA."/>
    <s v="Las respuestas a) y b) son correctas."/>
    <s v="Ninguna de las respuestas anteriores es correcta"/>
    <s v="a"/>
  </r>
  <r>
    <x v="0"/>
    <n v="4"/>
    <x v="3"/>
    <n v="72"/>
    <s v="1. TestIngTecIndustrial"/>
    <n v="13"/>
    <s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
    <s v="El presupuesto de la propia entidad."/>
    <s v="Los presupuestos de los organismos autónomos dependientes de la entidad,"/>
    <s v="Los presupuestos de las sociedades mercantiles cuyo capital social pertenezca íntegramente a la entidad."/>
    <s v="Los estados de previsión de gastos e ingresos de las sociedades mercantiles cuyo cepital social pertenezca íntegramente a la entidad."/>
    <s v="c"/>
  </r>
  <r>
    <x v="1"/>
    <n v="11"/>
    <x v="10"/>
    <n v="72"/>
    <s v="1. TestIngTecIndustrial"/>
    <n v="29"/>
    <s v="De acuerdo con el CTE, HS4, Suministro de Agua. En una tuberia ascendente o montante se podran instalar los siguientes elementos ordenados según el sentido de circulacion de agua."/>
    <s v="Llave de corte, valvula de retencion, llave de paso con grifo o tapon de vaciado."/>
    <s v="Valvula de retencion, llave de corte, llave de paso con grifo o tapon de vaciado."/>
    <s v="Llave de corte, llave de paso con grifo o tapon de retencion, valvula de retencion."/>
    <s v="Llave de paso con grifo o tapon de vaciado, contador y valvula de retencion."/>
    <s v="b"/>
  </r>
  <r>
    <x v="1"/>
    <n v="11"/>
    <x v="10"/>
    <n v="72"/>
    <s v="1. TestIngTecIndustrial"/>
    <n v="30"/>
    <s v="De acuerdo con el CTE HS 4 Suministro de Agua. En una red con contadores divisionarios:"/>
    <s v="Antes de cada contador se dispondra una llave de corte y una valvula de retencion."/>
    <s v="Despues de cada contador se dispondra una llave de corte y una valvula de retencion"/>
    <s v="Antes de cada contador se dispondra una llave de corte; despues de cada contador una valvula de retencion."/>
    <s v="Ninguna de las anteriores es correcta"/>
    <s v="c"/>
  </r>
  <r>
    <x v="1"/>
    <n v="11"/>
    <x v="10"/>
    <n v="72"/>
    <s v="1. TestIngTecIndustrial"/>
    <n v="32"/>
    <s v="De acuerdo con el CTE HS 4 Suministro de Agua, una instalacion de suministro de agua dispondra de sistemas antirretornos para evitar la inversion del flujo en los siguientes puntos:"/>
    <s v="Antes de los contadores"/>
    <s v="Despues del equipo de tratamiento de agua"/>
    <s v="En la parte superior de los ascendentes"/>
    <s v="Antes de los aparatos de refrigeracion o climatizacion"/>
    <s v="d"/>
  </r>
  <r>
    <x v="0"/>
    <n v="1"/>
    <x v="0"/>
    <n v="73"/>
    <s v="1. TestEnfermero"/>
    <n v="1"/>
    <s v="Además del Título Preliminar, ¿Cuántos títulos tiene la Constitución española?"/>
    <s v="Ocho."/>
    <s v="Nueve."/>
    <s v="Diez."/>
    <s v="Once."/>
    <s v="c"/>
  </r>
  <r>
    <x v="0"/>
    <n v="2"/>
    <x v="1"/>
    <n v="73"/>
    <s v="1. TestEnfermero"/>
    <n v="2"/>
    <s v="Según el apartado 5.1 (ámbito personal) del vigente Plan de lgualdad para empleadas y empleados delAyuntamiento de Zaragoza, el Plan alcanza:."/>
    <s v="A la totalidad del personal funcionario delAyuntamiento de Zaragoza"/>
    <s v="A la totalidad del personal laboral delAyuntamiento de Zaragoza."/>
    <s v="Las respuestas a) y b; ton correctas."/>
    <s v="Ninguna de las respuestas anteriores es correcia."/>
    <s v="c"/>
  </r>
  <r>
    <x v="0"/>
    <n v="2"/>
    <x v="1"/>
    <n v="73"/>
    <s v="1. TestEnfermero"/>
    <n v="3"/>
    <s v="De acuerdo con el artículo 46.2 del Estatuto de Autonomía de Aragón, el Presidente"/>
    <s v="Ostenta la suprema representación de Aragón."/>
    <s v="Ostenta la representación ordinaria del Estado en el territorio de Aragón"/>
    <s v="Las respuestas a) y b) son correctas."/>
    <s v="Ninguna de las respuestas anteriores es correcta."/>
    <s v="c"/>
  </r>
  <r>
    <x v="0"/>
    <n v="2"/>
    <x v="1"/>
    <n v="73"/>
    <s v="1. TestEnfermero"/>
    <n v="4"/>
    <s v="Según el artículo 59.3 del Estatuto de Autonomía de Aragón, el Justicia rendirá cuentas de su gestión:"/>
    <s v="Ante el Presidente de Aragón."/>
    <s v="Ante el Tribunal Superior de Justicia de Aragón."/>
    <s v="Ante las Cortes de Aragón."/>
    <s v="Ante el Gobierno de Aragón o Diputación General de AragÓn"/>
    <s v="c"/>
  </r>
  <r>
    <x v="0"/>
    <n v="3"/>
    <x v="2"/>
    <n v="73"/>
    <s v="1. TestEnfermero"/>
    <n v="5"/>
    <s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
    <s v="De diez dÍas."/>
    <s v="De quince días."/>
    <s v="De veinte dias."/>
    <s v="De un mes."/>
    <s v="a"/>
  </r>
  <r>
    <x v="0"/>
    <n v="3"/>
    <x v="2"/>
    <n v="73"/>
    <s v="1. TestEnfermero"/>
    <n v="6"/>
    <s v="De acuerdo con el artículo 94 de !a Ley 39/2015, de 1 de octubre, del Procedimiento Administrativo Común de las Administraciones Públicas, todo interesado:"/>
    <s v="Podrá desistir de su solicitud."/>
    <s v="Podrá renunciar a sus derechos."/>
    <s v="Las respuestas a) y b) son correctas."/>
    <s v="Podrá desistir de su solicitud o, cuando ello no esté prohihido por el ordenamiento 1urÍdico, renunciar a sus derechos."/>
    <s v="d"/>
  </r>
  <r>
    <x v="0"/>
    <n v="5"/>
    <x v="4"/>
    <n v="73"/>
    <s v="1. TestEnfermero"/>
    <n v="9"/>
    <s v="Elartículo 84.2de la Ley 7/1985, de 2 de abril, Reguladora de las Bases del Régimen Local, enumera los principios a los que, en todo caso, se ajustará la actividad de intervención de las entidades locales. Entre esos principios está:"/>
    <s v="El principio de igualdad de trato."/>
    <s v="El principio de necesidad."/>
    <s v="El principio de proporcionalidad con el objetivo que se persigue."/>
    <s v="Las respuestas a), b) y c) son correctas."/>
    <s v="d"/>
  </r>
  <r>
    <x v="0"/>
    <n v="4"/>
    <x v="3"/>
    <n v="73"/>
    <s v="1. TestEnfermero"/>
    <n v="10"/>
    <s v="De acuerdo con el artículo 59.1 del Real Decreto Legislativo 2/2004, de 5 de marzo, por el que se aprueba el texto refundido de la Ley Reguladora de las Haciendas Locales, los ayuntamientos exigirán:"/>
    <s v="El lmpuesto sobre el ValorAñadido."/>
    <s v="El lmpuesto sobre Transmisiones Patrimoniales y Actos Jurídicos Documentados"/>
    <s v="El lmpuesto sobre Vehículos de Tracción Mecánica."/>
    <s v="Las respuestas a), b) y c) son correctas."/>
    <s v="c"/>
  </r>
  <r>
    <x v="0"/>
    <n v="4"/>
    <x v="3"/>
    <n v="73"/>
    <s v="1. TestEnfermero"/>
    <n v="11"/>
    <s v="De acuerdo con los artículos 65 y 107 del Real Decreto Legislativo 2/2OO4, de 5 de marzo, por el que se aprueba el texto refundido de la Ley Reguladora de las Haciendas Locales, el valor de los bienes inmuebles constituye la base imponible:"/>
    <s v="Del lmpuesto sobre Bienes lnmuebles."/>
    <s v="Del impuesto sobre lncremento de Valor de los Terrenos de Naturaleza Urbana"/>
    <s v="Las respuestas a) y b) son correctas."/>
    <s v="Ninguna de las respuestas anteriores es correcta."/>
    <s v="a"/>
  </r>
  <r>
    <x v="0"/>
    <n v="5"/>
    <x v="4"/>
    <n v="73"/>
    <s v="1. TestEnfermero"/>
    <n v="12"/>
    <s v="Según el artículo 15 de la Ley 7/1985, de 2 de abril, Reguladora de las Bases del Régimen Local"/>
    <s v="El conjunto de personas inscritas en el Padrón municipal constituye la población del municipio."/>
    <s v="Los inscritos en el Padrón municipal son los vecinos del municipio."/>
    <s v="La condición de vecino se adquiere en el mismo momento de su inscripciÓn en el PadrÓn"/>
    <s v="Las respuestas a), b) y c) son correctas."/>
    <s v="d"/>
  </r>
  <r>
    <x v="0"/>
    <n v="7"/>
    <x v="6"/>
    <n v="73"/>
    <s v="1. TestEnfermero"/>
    <n v="13"/>
    <s v="De acuerdo con el artículo 11.2 de la Ley 10/2017 , de 30 de noviembre, de régimen especíal del municipio de Zaragoza como capital de Aragón, con carácter general, el Pleno adoptará sus acuerdos:"/>
    <s v="Por mayoría de dos tercios del número legal de miembros del Pleno."/>
    <s v="Por mayoría de tres quinios del número legal de miembros del Pleno"/>
    <s v="Por mayoría absoluta del número legal de miembros del Pleno"/>
    <s v="Por mayoría simple de votos."/>
    <s v="d"/>
  </r>
  <r>
    <x v="0"/>
    <n v="6"/>
    <x v="5"/>
    <n v="73"/>
    <s v="1. TestEnfermero"/>
    <s v="R4"/>
    <s v="Según el artículo 39.1 del Real Decreto Legislativo 5/2015, de 30 de octubre, por el que se aprueba el texto refundido de la Ley del Estatuto Básico del Empleado Público, los órganos específicos de representación de los funcionarios son:"/>
    <s v="Los Delegados de Personal."/>
    <s v="Las Junias de Personal."/>
    <s v="Las respuestas a) y b) son correctas."/>
    <s v="Ninguna de las respuestas anteriores es correcia."/>
    <s v="c"/>
  </r>
  <r>
    <x v="0"/>
    <n v="6"/>
    <x v="5"/>
    <n v="73"/>
    <s v="1. TestEnfermero"/>
    <s v="R5"/>
    <s v="Según el artículo 60.2 del Real Decreto Legislativo 5/2015, de 30 de octubre, por el que se aprueba el texto refundido de la Ley del Estatuto Básico del Empleado Público, no podrán formar parte de los órganos de selección:"/>
    <s v="El personal de elección o de designaciÓn polÍtica."/>
    <s v="Los funcionarios interinos."/>
    <s v="El personal eventual."/>
    <s v="Las respuestas a), b) y c) son correctas."/>
    <s v="d"/>
  </r>
  <r>
    <x v="0"/>
    <n v="6"/>
    <x v="5"/>
    <n v="74"/>
    <s v="1. TestTecMedAnalista"/>
    <n v="1"/>
    <s v="De conformidad con el Artículo 70 del Real Decreto Legislativo 5/2015, de 30 de octubre, por el que se aprueba el Texto refundido de la Ley del Estatuto Básico del Empleado Público, que regula la Oferta de empleo público, cuál de las siguientes afirmaciones es correcta:"/>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
    <s v="a"/>
  </r>
  <r>
    <x v="0"/>
    <n v="6"/>
    <x v="5"/>
    <n v="74"/>
    <s v="1. TestTecMedAnalista"/>
    <n v="3"/>
    <s v="Según lo dispuesto en el artículo 74 del Real Decreto Legislativo 5/2015, de 30 de octubre, por el que se aprueba el Texto refundido de la Ley del Estatuto Básico del Empleado Público, las relaciones de puestos de trabajo comprenderán, al menos (señale la respuesta correcta):"/>
    <s v="La denominación de los puestos, los grupos de clasificación profesional, los cuerpos y escalas, los sistemas de provisión y las retribuciones complementarias."/>
    <s v="Únicamente la denominación de los puestos, los grupos de clasificación profesional y los cuerpos y escalas."/>
    <s v="La denominación de los puestos, los grupos de clasificación profesional y los cuerpos y escalas, pero no los sistemas de provisión que serán determinados por el órgano competente de cada entidad."/>
    <s v="La denominación de los puestos, los grupos de clasificación profesional y los cuerpos y escalas, pero no las retribuciones complementarias, que serán fijadas por el órgano competente de cada entidad."/>
    <s v="a"/>
  </r>
  <r>
    <x v="0"/>
    <n v="4"/>
    <x v="3"/>
    <n v="74"/>
    <s v="1. TestTecMedAnalista"/>
    <n v="4"/>
    <s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
    <s v="Por 15 días, durante los cuales los interesados podrán examinarlos y presentar reclamaciones al Alcalde."/>
    <s v="Por 30 días, durante los cuales los interesados podrán examinarlos y presentar reclamaciones al Pleno."/>
    <s v="Por 15 días, durante los cuales los interesados podrán examinarlos y presentar reclamaciones ante el Pleno."/>
    <s v="Por 1 mes, durante los cuales los interesados podrán examinarlos y presentar reclamaciones ante el Pleno."/>
    <s v="c"/>
  </r>
  <r>
    <x v="0"/>
    <n v="6"/>
    <x v="5"/>
    <n v="74"/>
    <s v="1. TestTecMedAnalista"/>
    <n v="6"/>
    <s v="Según el artículo 61.5 del Real Decreto Legislativo 5/2015, de 30 de octubre, por el que se aprueba el Texto refundido de la Ley del Estatuto Básico del Empleado Público, para asegurar la objetividad y racionalidad de los procesos selectivos:"/>
    <s v="Deberán exigirse reconocimientos médicos."/>
    <s v="Podrán exigirse reconocimientos médicos."/>
    <s v="Además de las preceptivas pruebas, deberá exigirse la superación de cursos, de periodos de prácticas y reconocimientos médicos."/>
    <s v="Deberán exigirse reconocimientos médicos en los sistemas selectivos de oposición y concurso-oposición."/>
    <s v="b"/>
  </r>
  <r>
    <x v="0"/>
    <n v="4"/>
    <x v="3"/>
    <n v="74"/>
    <s v="1. TestTecMedAnalista"/>
    <n v="7"/>
    <s v="Según el artículo 165.4 del Real Decreto Legislativo 2/2004, de 5 de marzo, por el que se aprueba el Texto refundido de la Ley Reguladora de las Haciendas Locales, cada uno de los presupuestos que se integran en el presupuesto general de la entidad local:"/>
    <s v="Deberá aprobarse sin déficit inicial."/>
    <s v="Puede aprobarse con déficit inicial solo en sus créditos iniciales y con los límites establecidos en la Ley General Presupuestaria."/>
    <s v="Deberá aprobarse con superávit inicial."/>
    <s v="Todas las anteriores son incorrectas."/>
    <s v="a"/>
  </r>
  <r>
    <x v="0"/>
    <n v="6"/>
    <x v="5"/>
    <n v="74"/>
    <s v="1. TestTecMedAnalista"/>
    <n v="8"/>
    <s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
    <s v="No quedará subordinada a las necesidades del servicio debidamente motivadas."/>
    <s v="Podrá ser declarada cuando al funcionario se le instruya expediente disciplinario, siendo una posible causa de sobreseimiento y archivo del mismo."/>
    <s v="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
    <s v="Todas las anteriores son correctas."/>
    <s v="c"/>
  </r>
  <r>
    <x v="0"/>
    <n v="6"/>
    <x v="5"/>
    <n v="74"/>
    <s v="1. TestTecMedAnalista"/>
    <n v="12"/>
    <s v="Según el artículo 90, apartado segundo, del Real Decreto Legislativo 5/2015, de 30 de octubre, por el que se aprueba el Texto refundido de la Ley del Estatuto Básico del Empleado Público, la suspensión firme de funciones:"/>
    <s v="Se impondrá exclusivamente en virtud de un procedimiento administrativo penal para un funcionario de carrera."/>
    <s v="Se impondrá exclusivamente en virtud de sentencia dictada en causa criminal."/>
    <s v="Se impondrá en virtud de sentencia dictada en causa criminal o en virtud de sanción disciplinaria. La suspensión firme por sanción disciplinaria no podrá exceder de seis años."/>
    <s v="Se impondrá exclusivamente en virtud de un procedimiento administrativo y penal tanto a funcionarios interinos como a personal eventual."/>
    <s v="c"/>
  </r>
  <r>
    <x v="0"/>
    <n v="5"/>
    <x v="4"/>
    <n v="74"/>
    <s v="1. TestTecMedAnalista"/>
    <n v="13"/>
    <s v="La gestión directa de los servicios públicos de competencia local según el artículo 85 de la Ley 7/1985, de 2 de abril, Reguladora de las Bases del Régimen Local, habrá de gestionarse de la forma más sostenible y eficiente de entre las enumeradas a continuación:"/>
    <s v="Por órganos de gestión desconcentrada como un organismo autónomo local, entidad pública empresarial local y sociedad mercantil local, cuyo capital social no sea de titularidad pública."/>
    <s v="La gestión por la entidad creada a tal efecto."/>
    <s v="Mediante las distintas formas previstas para el contrato de gestión de servicios en el texto refundido de la Ley de Contratos."/>
    <s v="Gestión por la propia entidad local, organismo autónomo local, entidad pública empresarial local y sociedad mercantil local, cuyo capital social sea de titularidad pública."/>
    <s v="d"/>
  </r>
  <r>
    <x v="0"/>
    <n v="6"/>
    <x v="5"/>
    <n v="74"/>
    <s v="1. TestTecMedAnalista"/>
    <n v="14"/>
    <s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
    <s v="Los funcionarios transferidos a las entidades locales se integran plenamente en la organización de la función pública de las mismas, hallándose en la situación de servicio activo en la función pública de la comunidad autónoma en la que se integran."/>
    <s v="Los funcionarios que estén en situación de prestación por cuidado de hijo menor."/>
    <s v="Cuando sean designados como personal eventual por ocupar puestos de trabajo con funciones expresamente calificadas como de confianza o asesoramiento político y no opten por permanecer en la situación de servicio activo."/>
    <s v="Los funcionarios de carrera que estén en situación especial por interés particular cuando hayan prestado servicios efectivos en cualquiera de las Administraciones Públicas durante un periodo mínimo de dos años."/>
    <s v="c"/>
  </r>
  <r>
    <x v="0"/>
    <n v="6"/>
    <x v="5"/>
    <n v="74"/>
    <s v="1. TestTecMedAnalista"/>
    <s v="R2"/>
    <s v="De conformidad con el Artículo 75 del Real Decreto Legislativo 5/2015, de 30 de octubre, por el que se aprueba el Texto refundido de la Ley del Estatuto Básico del Empleado Público, en relación con los cuerpos y escalas, cuál de las siguientes afirmaciones no es correcta:"/>
    <s v="Los funcionarios se agrupan en cuerpos, escalas, especialidades u otros sistemas que incorporen competencias, capacidades y conocimientos comunes acreditados a través de un proceso selectivo."/>
    <s v="Los cuerpos y escalas de funcionarios se crean, modifican y suprimen por decreto de las Cortes Generales o de las asambleas legislativas de las comunidades autónomas."/>
    <s v="Los cuerpos y escalas de funcionarios se crean, modifican y suprimen por ley de las Cortes Generales o de las asambleas legislativas de las comunidades autónomas."/>
    <s v="Cuando en esta ley se hace referencia a cuerpos y escalas se entenderá comprendida igualmente cualquier otra agrupación de funcionarios."/>
    <s v="b"/>
  </r>
  <r>
    <x v="0"/>
    <n v="6"/>
    <x v="5"/>
    <n v="74"/>
    <s v="1. TestTecMedAnalista"/>
    <s v="R3"/>
    <s v="De conformidad con el artículo 80.1 del Real Decreto Legislativo 5/2015, de 30 de octubre, por el que se aprueba el Texto refundido de la Ley del Estatuto Básico del Empleado Público, la libre designación con convocatoria pública consiste en (señale la respuesta correcta):"/>
    <s v="El nombramiento directo del candidato que reúna los requisitos mínimos exigidos en la correspondiente convocatoria pública."/>
    <s v="La selección mediante un concurso basado exclusivamente en la valoración de los méritos y capacidades, y en su caso, aptitudes de los candidatos por los órganos colegiados de carácter técnico."/>
    <s v="La apreciación discrecional por el órgano competente de la idoneidad de los candidatos en relación con los requisitos exigidos para el desempeño del puesto."/>
    <s v="Ninguna es correcta."/>
    <s v="c"/>
  </r>
  <r>
    <x v="0"/>
    <n v="3"/>
    <x v="2"/>
    <n v="75"/>
    <s v="1. TestTecMedGestion"/>
    <n v="1"/>
    <s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
    <s v="Deberán obtener la oportuna autorización judicial."/>
    <s v="Deberán obtener el consentimiento del mismo."/>
    <s v="Deberán obtener el consentimiento del mismo o, en su defecto, la oportuna autorización judicial."/>
    <s v="Las respuestas a), b) y c) son correctas."/>
    <s v="c"/>
  </r>
  <r>
    <x v="0"/>
    <n v="3"/>
    <x v="2"/>
    <n v="75"/>
    <s v="1. TestTecMedGestion"/>
    <n v="2"/>
    <s v="El artículo 103.2 de la Ley 39/2015, de 1 de octubre, del Procedimiento Administrativo Común de las Administraciones Públicas, establece que:"/>
    <s v="La multa coercitiva es compatible con las sanciones que puedan imponerse con tal carácter."/>
    <s v="La multa coercitiva es incompatible con las sanciones que puedan imponerse con tal carácter."/>
    <s v="La multa coercitiva puede ser compatible con las sanciones que puedan imponerse con tal carácter."/>
    <s v="Ninguna de las respuestas anteriores es correcta."/>
    <s v="a"/>
  </r>
  <r>
    <x v="0"/>
    <n v="3"/>
    <x v="2"/>
    <n v="75"/>
    <s v="1. TestTecMedGestion"/>
    <n v="3"/>
    <s v="El artículo 109.1 de la Ley 39/2015, de 1 de octubre, del Procedimiento Administrativo Común de las Administraciones Públicas, establece que las Administraciones Públicas podrán revocar sus actos de gravamen o desfavorables:"/>
    <s v="En cualquier momento."/>
    <s v="Mientras no haya transcurrido el plazo de prescripción."/>
    <s v="Antes de transcurridos cuatro años desde que se dictaron."/>
    <s v="Ninguna de las respuestas anteriores es correcta."/>
    <s v="b"/>
  </r>
  <r>
    <x v="0"/>
    <n v="3"/>
    <x v="2"/>
    <n v="75"/>
    <s v="1. TestTecMedGestion"/>
    <n v="4"/>
    <s v="De acuerdo con el artículo 122.1 de la Ley 39/2015, de 1 de octubre, del Procedimiento Administrativo Común de las Administraciones Públicas, el plazo para la interposición del recurso de alzada, si el acto fuera expreso será:"/>
    <s v="De quince días."/>
    <s v="De treinta días."/>
    <s v="De un mes."/>
    <s v="De dos meses."/>
    <s v="c"/>
  </r>
  <r>
    <x v="0"/>
    <n v="3"/>
    <x v="2"/>
    <n v="75"/>
    <s v="1. TestTecMedGestion"/>
    <n v="5"/>
    <s v="De acuerdo con el artículo 125.2 de la Ley 39/2015, de 1 de octubre, del Procedimiento Administrativo Común de las Administraciones Públicas, el recurso extraordinario de revisión se interpondrá dentro del plazo:"/>
    <s v="De cuatro años."/>
    <s v="De tres meses."/>
    <s v="De cuatro años o de tres meses según la causa que motiva el recurso."/>
    <s v="De seis meses."/>
    <s v="c"/>
  </r>
  <r>
    <x v="0"/>
    <n v="3"/>
    <x v="2"/>
    <n v="75"/>
    <s v="1. TestTecMedGestion"/>
    <n v="6"/>
    <s v="De acuerdo con el artículo 112.3 de la Ley 39/2015, de 1 de octubre, del Procedimiento Administrativo Común de las Administraciones Públicas, contra una disposición administrativa de carácter general:"/>
    <s v="Podrá interponerse recurso de alzada."/>
    <s v="Podrá interponerse recurso potestativo de reposición."/>
    <s v="Podrá interponerse recurso de alzada o potestativo de reposición según el órgano que la haya dictado."/>
    <s v="No cabrá recurso en vía administrativa."/>
    <s v="d"/>
  </r>
  <r>
    <x v="0"/>
    <n v="3"/>
    <x v="2"/>
    <n v="75"/>
    <s v="1. TestTecMedGestion"/>
    <n v="7"/>
    <s v="De acuerdo con el artículo 116 de la Ley 39/2015, de 1 de octubre, del Procedimiento Administrativo Común de las Administraciones Públicas, carecer de legitimación el recurrente en vía administrativa:"/>
    <s v="Es causa de desestimación del recurso."/>
    <s v="Es causa de inadmisión del recurso."/>
    <s v="Es causa de caducidad del recurso."/>
    <s v="Es causa de nulidad del recurso."/>
    <s v="b"/>
  </r>
  <r>
    <x v="0"/>
    <n v="6"/>
    <x v="5"/>
    <n v="75"/>
    <s v="1. TestTecMedGestion"/>
    <n v="16"/>
    <s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
    <s v="Al siete por ciento de las vacantes."/>
    <s v="Al cinco por ciento de las vacantes."/>
    <s v="Al tres por ciento de las vacantes."/>
    <s v="Al uno por ciento de las vacantes."/>
    <s v="a"/>
  </r>
  <r>
    <x v="0"/>
    <n v="6"/>
    <x v="5"/>
    <n v="75"/>
    <s v="1. TestTecMedGestion"/>
    <n v="17"/>
    <s v="Según el artículo 61.6 del Real Decreto Legislativo 5/2015, de 30 de octubre, por el que se aprueba el texto refundido de la Ley del Estatuto Básico del Empleado Público, ¿qué sistema selectivo de los funcionarios de carrera sólo podrá aplicarse en virtud de ley?"/>
    <s v="La oposición."/>
    <s v="El concurso-oposición."/>
    <s v="El concurso."/>
    <s v="Las respuestas b) y c) son correctas."/>
    <s v="c"/>
  </r>
  <r>
    <x v="0"/>
    <n v="6"/>
    <x v="5"/>
    <n v="75"/>
    <s v="1. TestTecMedGestion"/>
    <n v="18"/>
    <s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
    <s v="De un año."/>
    <s v="De dos años."/>
    <s v="De tres años."/>
    <s v="De cuatro años."/>
    <s v="c"/>
  </r>
  <r>
    <x v="0"/>
    <n v="2"/>
    <x v="1"/>
    <n v="75"/>
    <s v="1. TestTecMedGestion"/>
    <n v="19"/>
    <s v="¿Qué concepto de los indicados en las respuestas se define en el vigente Plan de Igualdad para empleadas y empleados del Ayuntamiento de Zaragoza como &quot;Cualquier comportamiento, verbal o físico, de naturaleza sexual que tenga el propósito o produzca el efecto de atentar contra la dignidad de una persona, en particular cuando se crea un entorno intimidatorio, degradante u ofensivo&quot;?"/>
    <s v="Acoso sexual."/>
    <s v="Acoso por razón de sexo."/>
    <s v="Acoso por orientación sexual."/>
    <s v="Las respuestas a), b) y c) son correctas."/>
    <s v="a"/>
  </r>
  <r>
    <x v="0"/>
    <n v="5"/>
    <x v="4"/>
    <n v="75"/>
    <s v="1. TestTecMedGestion"/>
    <n v="20"/>
    <s v="Según los artículos 79 a 83 de la Ley 7/1985, de 2 de abril, Reguladora de las Bases del Régimen Local:"/>
    <s v="Las entidades locales gozan respecto de sus bienes patrimoniales de la prerrogativa de recuperar por sí mismas su posesión en cualquier momento."/>
    <s v="Los bienes de dominio público son inembargables."/>
    <s v="Los bienes patrimoniales son inalienables."/>
    <s v="Las respuestas a), b) y c) son correctas."/>
    <s v="b"/>
  </r>
  <r>
    <x v="0"/>
    <n v="5"/>
    <x v="4"/>
    <n v="75"/>
    <s v="1. TestTecMedGestion"/>
    <n v="21"/>
    <s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
    <s v="Por más de veinticinco años."/>
    <s v="Por más de treinta años."/>
    <s v="Por más de cuarenta años."/>
    <s v="Por más de cincuenta años."/>
    <s v="a"/>
  </r>
  <r>
    <x v="0"/>
    <n v="5"/>
    <x v="4"/>
    <n v="75"/>
    <s v="1. TestTecMedGestion"/>
    <n v="23"/>
    <s v="El artículo 85 de la Ley 7/1985, de 2 de abril, Reguladora de las Bases del Régimen Local, enumera las formas de gestión directa de los servicios públicos locales. Entre ellas no se encuentra:"/>
    <s v="El organismo autónomo local."/>
    <s v="La concesión de servicios."/>
    <s v="La entidad pública empresarial local."/>
    <s v="Las respuestas b) y c) son correctas."/>
    <s v="b"/>
  </r>
  <r>
    <x v="0"/>
    <n v="7"/>
    <x v="6"/>
    <n v="75"/>
    <s v="1. TestTecMedGestion"/>
    <n v="28"/>
    <s v="Al amparo del artículo 42 de la Ley 10/2017, de 30 de noviembre, de régimen especial del municipio de Zaragoza como capital de Aragón, le corresponde al Ayuntamiento de Zaragoza lo siguiente:"/>
    <s v="Ejercer la potestad sancionadora en materia de consumo."/>
    <s v="Ejercer la potestad sancionadora en materia de consumo y la actividad de mediación."/>
    <s v="Regular la oficina u oficinas de información al consumidor."/>
    <s v="Ejercer la potestad sancionadora en materia de consumo y la actividad de mediación y regular la oficina u oficinas de información al consumidor."/>
    <s v="c"/>
  </r>
  <r>
    <x v="0"/>
    <n v="3"/>
    <x v="2"/>
    <n v="75"/>
    <s v="1. TestTecMedGestion"/>
    <n v="37"/>
    <s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
    <s v="Las personas jurídicas para determinados trámites del procedimiento administrativo."/>
    <s v="Los notarios y registradores de la propiedad y mercantiles independientemente de que su actuación se realice o no en el ejercicio de su actividad profesional."/>
    <s v="Las personas jurídicas y las entidades sin personalidad jurídica para la realización de cualquier trámite de un procedimiento administrativo."/>
    <s v="Quienes representen a cualquier interesado en un procedimiento administrativo."/>
    <s v="c"/>
  </r>
  <r>
    <x v="0"/>
    <n v="3"/>
    <x v="2"/>
    <n v="75"/>
    <s v="1. TestTecMedGestion"/>
    <n v="38"/>
    <s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
    <s v="Desde la fecha del acuerdo de iniciación en los procedimientos iniciados de oficio."/>
    <s v="Desde el día siguiente a la fecha en que la solicitud haya tenido entrada en el registro electrónico de la Administración u Organismo competente para su tramitación en los procedimientos iniciados a solicitud del interesado."/>
    <s v="Desde el día siguiente a la fecha del acuerdo de iniciación en los procedimientos iniciados de oficio."/>
    <s v="Desde la fecha en que la solicitud haya tenido entrada en el registro electrónico general de cualquier Administración en los procedimientos iniciados a instancia de parte."/>
    <s v="a"/>
  </r>
  <r>
    <x v="0"/>
    <n v="3"/>
    <x v="2"/>
    <n v="75"/>
    <s v="1. TestTecMedGestion"/>
    <n v="39"/>
    <s v="De acuerdo con el artículo 83.1 de la Ley 39/2015, de 1 de octubre, del Procedimiento Administrativo Común de las Administraciones Públicas, cuando la naturaleza del procedimiento lo requiera podrá acordar un período de información pública:"/>
    <s v="El órgano instructor."/>
    <s v="El órgano que ha iniciado el procedimiento."/>
    <s v="El superior jerárquico del órgano al que corresponda la tramitación del procedimiento."/>
    <s v="El órgano al que corresponda la resolución del procedimiento."/>
    <s v="d"/>
  </r>
  <r>
    <x v="0"/>
    <n v="3"/>
    <x v="2"/>
    <n v="75"/>
    <s v="1. TestTecMedGestion"/>
    <n v="40"/>
    <s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
    <s v="El trámite de audiencia al interesado."/>
    <s v="La práctica de la prueba y el periodo de información pública."/>
    <s v="La emisión de informes facultativos."/>
    <s v="La presentación de solicitudes y recursos."/>
    <s v="d"/>
  </r>
  <r>
    <x v="0"/>
    <n v="3"/>
    <x v="2"/>
    <n v="75"/>
    <s v="1. TestTecMedGestion"/>
    <n v="41"/>
    <s v="Tal y como señala el artículo 41 de la Ley 39/2015, de 1 de octubre, del Procedimiento Administrativo Común de las Administraciones Públicas, respecto a las condiciones generales para la práctica de las notificaciones:"/>
    <s v="Se practicarán en todo caso por medios electrónicos."/>
    <s v="Se practicarán en la medida de lo posible por medios electrónicos y, preferentemente, cuando el interesado resulte obligado a recibirlas por esta vía."/>
    <s v="Se practicarán preferentemente por medios electrónicos y, en todo caso, cuando el interesado resulte obligado a recibirlas por esta vía."/>
    <s v="Se practicarán preferentemente por medios electrónicos y, en su caso, cuando el interesado resulte obligado a emitirlas por esta vía."/>
    <s v="c"/>
  </r>
  <r>
    <x v="0"/>
    <n v="3"/>
    <x v="2"/>
    <n v="75"/>
    <s v="1. TestTecMedGestion"/>
    <n v="42"/>
    <s v="Las medidas provisionales, conforme dispone el artículo 56.5 de la Ley 39/2015, de 1 de octubre, del Procedimiento Administrativo Común de las Administraciones Públicas:"/>
    <s v="Deberán ser alzadas o modificadas en cualquier momento del procedimiento en virtud de circunstancias sobrevenidas."/>
    <s v="Podrán ser alzadas o modificadas durante la tramitación del procedimiento, de oficio o a instancia de parte, en virtud de circunstancias sobrevenidas o que no pudieron ser tenidas en cuenta en el momento de su adopción."/>
    <s v="Podrán ser adoptadas cuando concurran perjuicios de difícil o imposible reparación a los interesados."/>
    <s v="Deberán ser alzadas o modificadas conforme a los principios de proporcionalidad, efectividad y menor onerosidad."/>
    <s v="b"/>
  </r>
  <r>
    <x v="0"/>
    <n v="3"/>
    <x v="2"/>
    <n v="75"/>
    <s v="1. TestTecMedGestion"/>
    <n v="43"/>
    <s v="En materia de recursos, el artículo 123.2 de la Ley 39/2015, de 1 de octubre, del Procedimiento Administrativo Común de las Administraciones Públicas, establece que no se podrá interponer recurso contencioso-administrativo hasta que sea resuelto expresamente o se haya producido:"/>
    <s v="La desestimación tácita del recurso de alzada interpuesto."/>
    <s v="La desestimación presunta del procedimiento de conciliación."/>
    <s v="La desestimación presunta del recurso extraordinario de revisión interpuesto ante el órgano superior jerárquico del que dictó el acto impugnado."/>
    <s v="La desestimación presunta del recurso de reposición interpuesto."/>
    <s v="d"/>
  </r>
  <r>
    <x v="0"/>
    <n v="3"/>
    <x v="2"/>
    <n v="75"/>
    <s v="1. TestTecMedGestion"/>
    <n v="44"/>
    <s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
    <s v="Aquellos actos que al dictarlos se hubiera incurrido en error de hecho, que resulte de los propios documentos incorporados al expediente."/>
    <s v="Cuando en la resolución hayan podido afectar en alguna medida documentos o testimonios declarados falsos por sentencia judicial recaída en todo caso en fecha posterior a aquella resolución."/>
    <s v="Cuando aparezcan documentos de valor esencial para la resolución del asunto que, aunque sean posteriores, evidencien el error de la resolución recurrida."/>
    <s v="Cuando la resolución se hubiese dictado como consecuencia de prevaricación, cohecho, violencia, maquinación fraudulenta u otra conducta punible y se haya declarado así en virtud de sentencia judicial firme."/>
    <s v="b"/>
  </r>
  <r>
    <x v="0"/>
    <n v="3"/>
    <x v="2"/>
    <n v="75"/>
    <s v="1. TestTecMedGestion"/>
    <n v="46"/>
    <s v="A tenor de lo dispuesto en el artículo 96.3 de la Ley 39/2015, de 1 de octubre, del Procedimiento Administrativo Común de las Administraciones Públicas, los interesados podrán solicitar la tramitación simplificada del procedimiento:"/>
    <s v="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
    <s v="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
    <s v="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
    <s v="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
    <s v="b"/>
  </r>
  <r>
    <x v="0"/>
    <n v="3"/>
    <x v="2"/>
    <n v="75"/>
    <s v="1. TestTecMedGestion"/>
    <n v="47"/>
    <s v="Respecto a los sistemas de firma admitidos por las Administraciones Públicas, establece el artículo 10 de la Ley 39/2015, de 1 de octubre, del Procedimiento Administrativo Común de las Administraciones Públicas, que los interesados podrán firmar:"/>
    <s v="A través de cualquier medio que permita acreditar su aceptación."/>
    <s v="A través de cualquier medio admisible en derecho que garantice la autenticación de la expresión de su voluntad y consentimiento, así como la integridad e inalterabilidad de la firma."/>
    <s v="A través de cualquier medio que permita acreditar la autenticidad de la expresión de su voluntad y consentimiento, así como la integridad e inalterabilidad del documento."/>
    <s v="A través de cualquier medio válido en derecho que garantice la autenticación de la expresión de su voluntad y consentimiento, así como la identidad fidedigna en la firma del documento."/>
    <s v="c"/>
  </r>
  <r>
    <x v="0"/>
    <n v="3"/>
    <x v="2"/>
    <n v="75"/>
    <s v="1. TestTecMedGestion"/>
    <n v="48"/>
    <s v="Tal y como dispone el artículo 107 de la Ley 39/2015, de 1 de octubre, del Procedimiento Administrativo Común de las Administraciones Públicas, las Administraciones Públicas podrán impugnar ante el orden jurisdiccional contencioso-administrativo los actos:"/>
    <s v="Desfavorables para los interesados, que sean anulables conforme a lo previsto en el artículo 47, previa su declaración de lesividad para el interés público."/>
    <s v="Favorables para los interesados, que sean nulos de pleno derecho conforme a lo previsto en el artículo 48, tras su declaración de lesividad para el interés público."/>
    <s v="Favorables o desfavorables para los interesados, que sean anulables o irregulares conforme a lo previsto en el artículo 48, previa su declaración de lesividad para el interés general."/>
    <s v="Favorables para los interesados, que sean anulables conforme a lo dispuesto en el artículo 48, previa su declaración de lesividad para el interés público."/>
    <s v="d"/>
  </r>
  <r>
    <x v="0"/>
    <n v="3"/>
    <x v="2"/>
    <n v="75"/>
    <s v="1. TestTecMedGestion"/>
    <s v="R2"/>
    <s v="De acuerdo con el artículo 106 de la Ley 39/2015, de 1 de octubre, del Procedimiento Administrativo Común de las Administraciones Públicas:"/>
    <s v="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
    <s v="a"/>
  </r>
  <r>
    <x v="0"/>
    <n v="3"/>
    <x v="2"/>
    <n v="76"/>
    <s v="1. TestTecMedInformatico"/>
    <n v="6"/>
    <s v="Conforme al artículo 30.3 de la Ley 39/2015, de 1 de octubre, del Procedimiento Administrativo Común de las Administraciones Públicas, los plazos expresados en días se contarán a partir del:"/>
    <s v="Mismo día en que se llegue a tener conocimiento de la notificación o publicación del acto de que se trate."/>
    <s v="Mismo día en que tenga lugar la notificación o publicación del acto de que se trate."/>
    <s v="Día siguiente a aquel en que se llegue a tener conocimiento de la notificación o publicación del acto de que se trate."/>
    <s v="Día siguiente a aquel en que tenga lugar la notificación o publicación del acto de que se trate."/>
    <s v="d"/>
  </r>
  <r>
    <x v="1"/>
    <n v="27"/>
    <x v="22"/>
    <n v="77"/>
    <s v="0. Test 2018 PI Of. Mantenimiento"/>
    <n v="1"/>
    <s v="Información, consulta y participación son:"/>
    <s v="Derechos de las/os trabajadoras/es en materia de Prevención de Riesgos Laborales."/>
    <s v="Deberes de las/os trabajadoras/es en materia de Prevención de Riesgos Laborales."/>
    <s v="Son ciertas las dos respuestas anteriores."/>
    <m/>
    <s v="a"/>
  </r>
  <r>
    <x v="1"/>
    <n v="25"/>
    <x v="21"/>
    <n v="77"/>
    <s v="0. Test 2018 PI Of. Mantenimiento"/>
    <n v="2"/>
    <s v="El volumen y las inflexiones de la voz se consideran:"/>
    <s v="Mensajes verbales en la comunicación."/>
    <s v="Mensajes no verbales en la comunicación."/>
    <s v="Volumen, mensaje verbal y las inflexiones, mensaje no verbal."/>
    <m/>
    <s v="b"/>
  </r>
  <r>
    <x v="0"/>
    <n v="8"/>
    <x v="8"/>
    <n v="77"/>
    <s v="0. Test 2018 PI Of. Mantenimiento"/>
    <n v="3"/>
    <s v="El punto 4.5 del Plan de igualdad para empleadas y empleados del Ayuntamiento de Zaragoza se refiere a la metodología, indicando que:"/>
    <s v="Las medidas acordadas tendrán que aplicarse de manera jerárquica puesto que han de implicar a todas las áreas de gestión de la organización municipal."/>
    <s v="Las medidas acordadas tendrán que aplicarse de manera transversal, puesto que han de implicar a todas las áreas de gestión de la organización municipal."/>
    <s v="Las medidas acordadas tendrán que aplicarse de manera transparente y participativa, puesto que han de implicar a todas las áreas de gestión de la organización municipal."/>
    <m/>
    <s v="b"/>
  </r>
  <r>
    <x v="1"/>
    <n v="25"/>
    <x v="21"/>
    <n v="77"/>
    <s v="0. Test 2018 PI Of. Mantenimiento"/>
    <n v="4"/>
    <s v="En la atención a la ciudadanía es muy conveniente:"/>
    <s v="Evitar las profecías negativas"/>
    <s v="Evitar las profecías positivas"/>
    <s v="Las dos anteriores son verdaderas"/>
    <m/>
    <s v="a"/>
  </r>
  <r>
    <x v="0"/>
    <n v="6"/>
    <x v="5"/>
    <n v="77"/>
    <s v="0. Test 2018 PI Of. Mantenimiento"/>
    <n v="5"/>
    <s v="Dentro de los principios de conducta que recoge el artículo 54 del Real Decreto Legislativo 5/2015, de 30 de octubre, por el que se aprueba el Texto Refundido de la Ley del Estatuto Básico del Empleado Público se encuentra el principio de dedicación:"/>
    <s v="Ejercerán sus atribuciones según el principio de dedicación al servicio público"/>
    <s v="Administrarán los recursos y bienes públicos con austeridad"/>
    <s v="Actuarán de acuerdo con los principios de eficacia, economía y eficiencia"/>
    <m/>
    <s v="b"/>
  </r>
  <r>
    <x v="1"/>
    <n v="12"/>
    <x v="11"/>
    <n v="77"/>
    <s v="0. Test 2018 PI Of. Mantenimiento"/>
    <n v="6"/>
    <s v="Necesitamos hacer un rebaje en la parte inferior de una puerta de madera, de forma que resulte un acabado fino. Debemos usar una herramienta adecuada para este trabajo. De las tres opciones que se dan, la más óptima será:"/>
    <s v="Una lima"/>
    <s v="Una escofina"/>
    <s v="Una sierra de calar"/>
    <m/>
    <s v="a"/>
  </r>
  <r>
    <x v="1"/>
    <n v="12"/>
    <x v="11"/>
    <n v="77"/>
    <s v="0. Test 2018 PI Of. Mantenimiento"/>
    <n v="7"/>
    <s v="Cuál de las siguientes respuestas es la más correcta:"/>
    <s v="La capa de barniz es insoluble en agua pero se hincha"/>
    <s v="Los barnices se aplican en frío, con lo cuál no tiene lugar ningún retraso en el secado"/>
    <s v="Ambas son correctas"/>
    <m/>
    <s v="c"/>
  </r>
  <r>
    <x v="1"/>
    <n v="35"/>
    <x v="27"/>
    <n v="77"/>
    <s v="0. Test 2018 PI Of. Mantenimiento"/>
    <n v="8"/>
    <s v="El aguarrás o trementina es un líquido volátil e incoloro. Es un diluyente:"/>
    <s v="Acrílico"/>
    <s v="Vegetal"/>
    <s v="Animal"/>
    <m/>
    <s v="b"/>
  </r>
  <r>
    <x v="1"/>
    <n v="14"/>
    <x v="13"/>
    <n v="77"/>
    <s v="0. Test 2018 PI Of. Mantenimiento"/>
    <n v="9"/>
    <s v="Para limpiar la persiana enrollable de una ventana colocada en la fachada exterior del tercer piso de un edificio municipal, con personal funcionario y optimizando los medios, se debería:"/>
    <s v="Primero, levantar la persiana desde el interior, limpiar las lamas inferiores exteriores con un paño húmedo, seguir quitar la tapa del cajón de persiana y desde el interior limpiar una a una cada lama exterior."/>
    <s v="Contratar con una empresa externa los trabajos para que realice la limpieza tanto exterior como interior, con elementos auxiliares"/>
    <s v="Limpiar las lamas interiores y contratar el trabajo exterior a una empresa de trabajos verticales"/>
    <m/>
    <s v="a"/>
  </r>
  <r>
    <x v="1"/>
    <n v="10"/>
    <x v="9"/>
    <n v="77"/>
    <s v="0. Test 2018 PI Of. Mantenimiento"/>
    <n v="10"/>
    <s v="El canto de un ladrillo:"/>
    <s v="Cara menor del ladrillo (tizón x grueso)"/>
    <s v="Cara mediana del ladrillo (soga x grueso)"/>
    <s v="Dimensión correspondiente a la arista menor o altura"/>
    <m/>
    <s v="b"/>
  </r>
  <r>
    <x v="1"/>
    <n v="9"/>
    <x v="23"/>
    <n v="77"/>
    <s v="0. Test 2018 PI Of. Mantenimiento"/>
    <n v="11"/>
    <s v="Que elemento es el que da impulso a la reactancia para que se produzca la descarga del arco y el encendido de la lámpara:"/>
    <s v="Cebador"/>
    <s v="Condensador"/>
    <s v="Balastro"/>
    <m/>
    <s v="a"/>
  </r>
  <r>
    <x v="1"/>
    <n v="9"/>
    <x v="23"/>
    <n v="77"/>
    <s v="0. Test 2018 PI Of. Mantenimiento"/>
    <n v="12"/>
    <s v="¿Que es el método ARON:"/>
    <s v="Método de lectura con voltímetros para redes trifásicas."/>
    <s v="Medida de la impedancia de un conductor."/>
    <s v="Conexión de dos vatímetros para medir potencias de redes trifásicas."/>
    <m/>
    <s v="c"/>
  </r>
  <r>
    <x v="1"/>
    <n v="18"/>
    <x v="22"/>
    <n v="77"/>
    <s v="0. Test 2018 PI Of. Mantenimiento"/>
    <n v="13"/>
    <s v="Como esta graduada la primera cifra del grado de protección IP:"/>
    <s v="De 0 (cero) hasta 6 (seis)"/>
    <s v="De 0 (cero) hasta 5 (cinco)"/>
    <s v="De 0 (cero) hasta 8 (ocho)"/>
    <m/>
    <s v="a"/>
  </r>
  <r>
    <x v="1"/>
    <n v="9"/>
    <x v="23"/>
    <n v="77"/>
    <s v="0. Test 2018 PI Of. Mantenimiento"/>
    <n v="14"/>
    <s v="Que representa la letra griega Φ:"/>
    <s v="El nivel de iluminación"/>
    <s v="El flujo luminoso"/>
    <s v="La eficacia luminosa"/>
    <m/>
    <s v="b"/>
  </r>
  <r>
    <x v="1"/>
    <n v="9"/>
    <x v="23"/>
    <n v="77"/>
    <s v="0. Test 2018 PI Of. Mantenimiento"/>
    <n v="15"/>
    <s v="¿Cuál es la diferencia de funcionamiento entre una lámpara de vapor de mercurio y un tubo fluorescente:"/>
    <s v="Ninguna. En las dos se encuentra la misma presión de gas y el mismo rendimiento"/>
    <s v="En los tubos fluorescentes se aumenta la presión de gas y disminuye su rendimiento"/>
    <s v="En las lámparas de vapor de mercurio se aumenta la presión de gas obteniendo mayor rendimiento."/>
    <m/>
    <s v="c"/>
  </r>
  <r>
    <x v="1"/>
    <n v="18"/>
    <x v="18"/>
    <n v="77"/>
    <s v="0. Test 2018 PI Of. Mantenimiento"/>
    <n v="16"/>
    <s v="Las medidas de una hoja de papel DIN A4 son:"/>
    <s v="297 x 210 mm."/>
    <s v="210 x 148 mm."/>
    <s v="594 x 420 mm."/>
    <m/>
    <s v="a"/>
  </r>
  <r>
    <x v="1"/>
    <n v="18"/>
    <x v="18"/>
    <n v="77"/>
    <s v="0. Test 2018 PI Of. Mantenimiento"/>
    <n v="17"/>
    <s v="En una fotocopiadora, la bandeja de alimentación directa se utiliza:"/>
    <s v="Cuando es necesario aumentar la capacidad de carga de papel en la máquina."/>
    <s v="Para realizar fotocopias en cartulina o papel de gramaje especial."/>
    <s v="Retirar las hojas que han quedado retenidas cuando se produce un atasco de papel."/>
    <m/>
    <s v="b"/>
  </r>
  <r>
    <x v="1"/>
    <n v="18"/>
    <x v="18"/>
    <n v="77"/>
    <s v="0. Test 2018 PI Of. Mantenimiento"/>
    <n v="18"/>
    <s v="Para la realización de una actividad se nos ha solicitado el video proyector de que dispone el centro de trabajo para conectarlo a un ordenador. Junto con el aparato, entregaremos:"/>
    <s v="El mando a distancia, el cable para la conexión eléctrica y un cable de señal (video compuesto) con terminales RCA."/>
    <s v="El mando a distancia, el cable para la conexión eléctrica y un cable de señal VGA."/>
    <s v="El mando a distancia, el cable para la conexión eléctrica y un cable con terminal RCA y el otro euroconector."/>
    <m/>
    <s v="b"/>
  </r>
  <r>
    <x v="1"/>
    <n v="18"/>
    <x v="18"/>
    <n v="77"/>
    <s v="0. Test 2018 PI Of. Mantenimiento"/>
    <n v="19"/>
    <s v="¿Podemos hacer una fotocopia por dos caras aunque la máquina no disponga de esa función?"/>
    <s v="No, puesto que la máquina no lo admite."/>
    <s v="Sí, haciendo el sistema de la fotocopiadora."/>
    <s v="Sí, volviendo a introducir el papel manualmente."/>
    <m/>
    <s v="c"/>
  </r>
  <r>
    <x v="1"/>
    <n v="18"/>
    <x v="18"/>
    <n v="77"/>
    <s v="0. Test 2018 PI Of. Mantenimiento"/>
    <n v="20"/>
    <s v="¿Cuál es el principal riesgo al que se encuentran expuestos los operarios de fotocopiadoras?"/>
    <s v="La exposición al ozono expulsado por las corrientes de aire que genera la máquina. Sobre todo en largas sesiones de trabajo."/>
    <s v="La respiración de los gases generados por las temperaturas elevadas de trabajo del rodillo fusor."/>
    <s v="Exposición a las fibras del papel que contiene dióxido de titanio."/>
    <m/>
    <s v="a"/>
  </r>
  <r>
    <x v="0"/>
    <n v="6"/>
    <x v="5"/>
    <n v="77"/>
    <s v="0. Test 2018 PI Of. Mantenimiento"/>
    <s v="R1"/>
    <s v="Dentro de los principios éticos que recoge el artículo 53 del Real Decreto Legislativo 5/2015, de 30 de octubre, por el que se aprueba el Texto Refundido de la Ley del Estatuto Básico del Empleado Público se encuentra el siguiente:"/>
    <s v="Informarán a los ciudadanos sobre aquellas materias o asuntos que tengan derecho a conocer, y facilitarán el ejercicio de sus derechos y el cumplimiento de sus obligaciones."/>
    <s v="Obedecerán las instrucciones y órdenes profesionales de los superiores, salvo que constituyan una infracción manifiesta del ordenamiento jurídico."/>
    <s v="Respetarán la Constitución y el resto de normas que integran el ordenamiento jurídico."/>
    <m/>
    <s v="c"/>
  </r>
  <r>
    <x v="0"/>
    <n v="8"/>
    <x v="8"/>
    <n v="77"/>
    <s v="0. Test 2018 PI Of. Mantenimiento"/>
    <s v="R2"/>
    <s v="El punto 4.5 del Plan de Igualdad para empleadas y empleados del Ayuntamiento de Zaragoza que se refiere a metodología, establece que:"/>
    <s v="Es necesaria la utilización de una metodología de carácter horizontal-integral, ya que el Plan de Igualdad del Ayuntamiento de Zaragoza pretende incidir positivamente no solo en la situación de las mujeres sino en toda la plantilla municipal."/>
    <s v="Es necesaria la utilización de una metodología de carácter colectivo-vertical, ya que el Plan de Igualdad del Ayuntamiento de Zaragoza pretende incidir positivamente no solo en la situación de las mujeres sino en toda la plantilla municipal."/>
    <s v="Es necesaria la utilización de una metodología de carácter colectivo-integral, ya que el Plan de Igualdad del Ayuntamiento de Zaragoza pretende incidir positivamente no sólo en la situación de las mujeres sino en toda la plantilla municipal."/>
    <m/>
    <s v="c"/>
  </r>
  <r>
    <x v="1"/>
    <n v="10"/>
    <x v="9"/>
    <n v="77"/>
    <s v="0. Test 2018 PI Of. Mantenimiento"/>
    <s v="R3"/>
    <s v="Con que materiales se elabora un mortero bastardo:"/>
    <s v="Cal, cemento y arena"/>
    <s v="Cal y arena"/>
    <s v="Cemento y agua y arena"/>
    <m/>
    <s v="a"/>
  </r>
  <r>
    <x v="1"/>
    <n v="18"/>
    <x v="18"/>
    <n v="77"/>
    <s v="0. Test 2018 PI Of. Mantenimiento"/>
    <s v="R4"/>
    <s v="El formato A5 ¿qué dimensiones tiene?"/>
    <s v="105 x 148 mm"/>
    <s v="148 x 210 mm"/>
    <s v="105 x 297 mm"/>
    <m/>
    <s v="b"/>
  </r>
  <r>
    <x v="1"/>
    <n v="25"/>
    <x v="21"/>
    <n v="77"/>
    <s v="0. Test 2018 PI Of. Mantenimiento"/>
    <s v="R5"/>
    <s v="El ciudadano valora el servicio recibido en la atención directa con empleados municipales mediante una serie de aspectos, entre los cuales hay aspectos tangibles, que incluyen:"/>
    <s v="La confianza en que van a ser atendidos con exactitud y la tranquilidad de que su demanda va a ser atendida."/>
    <s v="El número, presencia física, etc. del personal de contacto."/>
    <s v="La disponibilidad y rapidez en ser atendidos."/>
    <m/>
    <s v="b"/>
  </r>
  <r>
    <x v="1"/>
    <n v="10"/>
    <x v="9"/>
    <n v="77"/>
    <s v="0. Test 2018 PI Of. Mantenimiento"/>
    <s v="R6"/>
    <s v="Entre los principales riesgos al utilizar andamios, no está:"/>
    <s v="La proyección de fragmentos o partículas."/>
    <s v="Los golpes contra objetos fijos."/>
    <s v="Las caídas a distinto nivel."/>
    <m/>
    <s v="a"/>
  </r>
  <r>
    <x v="1"/>
    <n v="9"/>
    <x v="23"/>
    <n v="78"/>
    <s v="0. Test 2014 TL Of. Mantenimiento SIN Juridico"/>
    <n v="21"/>
    <s v="Según el R.E.B.T. ¿Cuál será la tensión nominal, usualmente utilizada en las distribuciones de corriente alterna trifásica de tres conductores, entre fases?"/>
    <s v="220 voltios"/>
    <s v="240 voltios"/>
    <s v="230 voltios"/>
    <m/>
    <s v="c"/>
  </r>
  <r>
    <x v="1"/>
    <n v="9"/>
    <x v="23"/>
    <n v="78"/>
    <s v="0. Test 2014 TL Of. Mantenimiento SIN Juridico"/>
    <n v="22"/>
    <s v="Según el R.E.B.T. ¿Qué colores tienen los cables de fase?"/>
    <s v="Azul, gris o negro"/>
    <s v="Negro, marrón o gris"/>
    <s v="Verde, amarillo o azul"/>
    <m/>
    <s v="b"/>
  </r>
  <r>
    <x v="1"/>
    <n v="9"/>
    <x v="23"/>
    <n v="78"/>
    <s v="0. Test 2014 TL Of. Mantenimiento SIN Juridico"/>
    <n v="23"/>
    <s v="¿Cuando tenemos que atender a una persona que está sufriendo una descarga, ¿Qué es lo primero que debemos hacer?"/>
    <s v="Desconectar la corriente eléctrica"/>
    <s v="Desarrollar la conciencia"/>
    <s v="Desarrollar aprendizaje"/>
    <m/>
    <s v="b"/>
  </r>
  <r>
    <x v="1"/>
    <n v="9"/>
    <x v="23"/>
    <n v="78"/>
    <s v="0. Test 2014 TL Of. Mantenimiento SIN Juridico"/>
    <n v="24"/>
    <s v="¿Cómo se conecta un amperímetro?"/>
    <s v="En paralelo"/>
    <s v="En serie"/>
    <s v="En cruz"/>
    <m/>
    <s v="c"/>
  </r>
  <r>
    <x v="1"/>
    <n v="12"/>
    <x v="11"/>
    <n v="78"/>
    <s v="0. Test 2014 TL Of. Mantenimiento SIN Juridico"/>
    <n v="26"/>
    <s v="Para el afilado de una herramienta o desbastado de una pieza se emplean abrasivos de mayor o menor dureza, de los materiales indicados a continuación indicar cual de ellos tiene mayor grado de dureza."/>
    <s v="Cuarzo"/>
    <s v="Carburo de silicio"/>
    <s v="Corindón"/>
    <m/>
    <s v="b"/>
  </r>
  <r>
    <x v="1"/>
    <n v="11"/>
    <x v="10"/>
    <n v="78"/>
    <s v="0. Test 2014 TL Of. Mantenimiento SIN Juridico"/>
    <n v="27"/>
    <s v="¿Qué es una grifa?"/>
    <s v="Una herramienta de fontanería"/>
    <s v="Una herramienta de albañilería"/>
    <s v="Son válidas las dos anteriores"/>
    <m/>
    <s v="c"/>
  </r>
  <r>
    <x v="1"/>
    <n v="11"/>
    <x v="10"/>
    <n v="78"/>
    <s v="0. Test 2014 TL Of. Mantenimiento SIN Juridico"/>
    <n v="28"/>
    <s v="¿Cómo se unen las tuberías de P.V.C.?"/>
    <s v="Termofusión"/>
    <s v="Pegado"/>
    <s v="Presión"/>
    <m/>
    <s v="b"/>
  </r>
  <r>
    <x v="1"/>
    <n v="11"/>
    <x v="10"/>
    <n v="78"/>
    <s v="0. Test 2014 TL Of. Mantenimiento SIN Juridico"/>
    <n v="29"/>
    <s v="¿Qué válvulas se utilizan para impedir que el agua pueda invertir su dirección?"/>
    <s v="Limitadoras de presión"/>
    <s v="De bola"/>
    <s v="De retención"/>
    <m/>
    <s v="c"/>
  </r>
  <r>
    <x v="1"/>
    <n v="13"/>
    <x v="12"/>
    <n v="78"/>
    <s v="0. Test 2014 TL Of. Mantenimiento SIN Juridico"/>
    <n v="30"/>
    <s v="En cerrajería, el “moleteado o grafilado” es un tratamiento que se da a una pieza metálica y cuya finalidad es:"/>
    <s v="Hacer un taladro en un eje metálico mediante una amoladora."/>
    <s v="Imprimir mediante serigrafía efectuada en vinilo una superficie cilíndrica."/>
    <s v="Cubrir una superficie cilíndrica con dibujos grabados para que sea rugosa."/>
    <m/>
    <s v="c"/>
  </r>
  <r>
    <x v="1"/>
    <n v="10"/>
    <x v="9"/>
    <n v="78"/>
    <s v="0. Test 2014 TL Of. Mantenimiento SIN Juridico"/>
    <n v="31"/>
    <s v="Las barreras o barandillas de protección, tendrán como mínimo una altura:"/>
    <s v="900 mm., cuando la diferencia de cota que protegen no sea superior a 6 metros."/>
    <s v="1.000 mm., cuando la diferencia de cota que protegen sea superior a 6 metros."/>
    <s v="Las dos respuestas anteriores son ciertas."/>
    <m/>
    <s v="c"/>
  </r>
  <r>
    <x v="1"/>
    <n v="11"/>
    <x v="10"/>
    <n v="78"/>
    <s v="0. Test 2014 TL Of. Mantenimiento SIN Juridico"/>
    <n v="32"/>
    <s v="¿Qué es un bote sifónico?"/>
    <s v="Un elemento donde se acumulan varios desagües"/>
    <s v="Un sumidero"/>
    <s v="Una tubería"/>
    <m/>
    <s v="a"/>
  </r>
  <r>
    <x v="1"/>
    <n v="11"/>
    <x v="10"/>
    <n v="78"/>
    <s v="0. Test 2014 TL Of. Mantenimiento SIN Juridico"/>
    <n v="33"/>
    <s v="¿Cómo solucionaríamos la pérdida de agua de un grifo por el prensaestopas?"/>
    <s v="Cambiando la junta"/>
    <s v="Con un ligero apriete de la tuerca"/>
    <s v="Cambiando la cruceta"/>
    <m/>
    <s v="b"/>
  </r>
  <r>
    <x v="1"/>
    <n v="11"/>
    <x v="10"/>
    <n v="78"/>
    <s v="0. Test 2014 TL Of. Mantenimiento SIN Juridico"/>
    <n v="34"/>
    <s v="¿Qué es una terraja?"/>
    <s v="Una herramienta para cortar tubos"/>
    <s v="Una herramienta para realizar roscas en tubos"/>
    <s v="Una herramienta para curvar tubos"/>
    <m/>
    <s v="b"/>
  </r>
  <r>
    <x v="1"/>
    <n v="11"/>
    <x v="10"/>
    <n v="78"/>
    <s v="0. Test 2014 TL Of. Mantenimiento SIN Juridico"/>
    <n v="35"/>
    <s v="¿Qué es una llave stillson?"/>
    <s v="Pico loro"/>
    <s v="Inglesa"/>
    <s v="Grifa"/>
    <m/>
    <s v="c"/>
  </r>
  <r>
    <x v="1"/>
    <n v="12"/>
    <x v="11"/>
    <n v="78"/>
    <s v="0. Test 2014 TL Of. Mantenimiento SIN Juridico"/>
    <n v="36"/>
    <s v="De las maderas que se indican a continuación indicar cual tiene la mayor densidad (kg/m3):"/>
    <s v="Pino"/>
    <s v="Caoba"/>
    <s v="Boj"/>
    <m/>
    <s v="c"/>
  </r>
  <r>
    <x v="1"/>
    <n v="12"/>
    <x v="11"/>
    <n v="78"/>
    <s v="0. Test 2014 TL Of. Mantenimiento SIN Juridico"/>
    <n v="37"/>
    <s v="El formón es una herramienta que se emplea en carpintería para:"/>
    <s v="Confección de galces y goterones en los marcos de carpintería."/>
    <s v="Desbastado de superficies planas de grandes dimensiones."/>
    <s v="Desbastado de superficies curvas que no se pueden hacer con cepillo"/>
    <m/>
    <s v="c"/>
  </r>
  <r>
    <x v="1"/>
    <n v="11"/>
    <x v="10"/>
    <n v="78"/>
    <s v="0. Test 2014 TL Of. Mantenimiento SIN Juridico"/>
    <n v="38"/>
    <s v="En una instalación de calefacción de radiadores por agua caliente, ¿se debe vaciar al final de la temporada?"/>
    <s v="Nunca"/>
    <s v="Solo si tenemos que realizar una reparación que lo necesite"/>
    <s v="Siempre"/>
    <m/>
    <s v="b"/>
  </r>
  <r>
    <x v="1"/>
    <n v="11"/>
    <x v="10"/>
    <n v="78"/>
    <s v="0. Test 2014 TL Of. Mantenimiento SIN Juridico"/>
    <n v="39"/>
    <s v="¿Para qué sirve la instalación de detentores en los radiadores?"/>
    <s v="Para poder desmontarlos sin parar la calefacción"/>
    <s v="Para controlar su temperatura"/>
    <s v="Las dos anteriores son falsas"/>
    <m/>
    <s v="a"/>
  </r>
  <r>
    <x v="1"/>
    <n v="11"/>
    <x v="10"/>
    <n v="78"/>
    <s v="0. Test 2014 TL Of. Mantenimiento SIN Juridico"/>
    <n v="40"/>
    <s v="¿Para qué sirve el condensador en un equipo de fluorescencia?"/>
    <s v="Para compensar el factor de potencia"/>
    <s v="Para evitar intermitencias"/>
    <s v="Para aumentar la intensidad"/>
    <m/>
    <s v="b"/>
  </r>
  <r>
    <x v="1"/>
    <n v="11"/>
    <x v="10"/>
    <n v="78"/>
    <s v="0. Test 2014 TL Of. Mantenimiento SIN Juridico"/>
    <n v="41"/>
    <s v="¿Cómo debe de ser la pantalla de alumbrado en un cuarto de calderas?"/>
    <s v="Antideflagrante"/>
    <s v="Estanca"/>
    <s v="Ninguna de las anteriores"/>
    <m/>
    <s v="b"/>
  </r>
  <r>
    <x v="1"/>
    <n v="9"/>
    <x v="23"/>
    <n v="78"/>
    <s v="0. Test 2014 TL Of. Mantenimiento SIN Juridico"/>
    <n v="42"/>
    <s v="Según el R.E.B.T. ¿Qué color identifica el cable de toma tierra?"/>
    <s v="Negro"/>
    <s v="Azul"/>
    <s v="Verde-amarillo"/>
    <m/>
    <s v="c"/>
  </r>
  <r>
    <x v="1"/>
    <n v="9"/>
    <x v="23"/>
    <n v="78"/>
    <s v="0. Test 2014 TL Of. Mantenimiento SIN Juridico"/>
    <n v="43"/>
    <s v="¿Qué es un interruptor crepuscular?"/>
    <s v="Un interruptor para encender o apagar en función de la luminosidad"/>
    <s v="Un interruptor para mantener la luminosidad constante"/>
    <s v="Ninguna de las anteriores"/>
    <m/>
    <s v="a"/>
  </r>
  <r>
    <x v="1"/>
    <n v="11"/>
    <x v="10"/>
    <n v="78"/>
    <s v="0. Test 2014 TL Of. Mantenimiento SIN Juridico"/>
    <n v="44"/>
    <s v="¿Cómo uniremos tuberías de cobre?"/>
    <s v="Con soldadura por capilaridad"/>
    <s v="Con racores de compresión"/>
    <s v="Las dos anteriores son ciertas"/>
    <m/>
    <s v="c"/>
  </r>
  <r>
    <x v="1"/>
    <n v="9"/>
    <x v="23"/>
    <n v="78"/>
    <s v="0. Test 2014 TL Of. Mantenimiento SIN Juridico"/>
    <n v="45"/>
    <s v="¿Para qué sirve una pinza amperimétrica?"/>
    <s v="Para diferenciar las fases de una instalación"/>
    <s v="Para medir la intensidad sin intercalar un amperímetro en el circuito"/>
    <s v="Para conocer el voltaje de una instalación"/>
    <m/>
    <s v="b"/>
  </r>
  <r>
    <x v="1"/>
    <n v="17"/>
    <x v="17"/>
    <n v="78"/>
    <s v="0. Test 2014 TL Of. Mantenimiento SIN Juridico"/>
    <n v="46"/>
    <s v="El aparato que permite mezclar dos o más señales procedentes de distintas fuentes se llama:"/>
    <s v="Ecualizador"/>
    <s v="Altavoces"/>
    <s v="Mezclador"/>
    <m/>
    <s v="c"/>
  </r>
  <r>
    <x v="1"/>
    <n v="17"/>
    <x v="17"/>
    <n v="78"/>
    <s v="0. Test 2014 TL Of. Mantenimiento SIN Juridico"/>
    <n v="47"/>
    <s v="Un mal funcionamiento del ventilador de un proyector de transparencia podría:"/>
    <s v="Servir de calefactor improvisado"/>
    <s v="Fundir la lámpara por exceso de calor"/>
    <s v="No influir en el funcionamiento del proyector"/>
    <m/>
    <s v="b"/>
  </r>
  <r>
    <x v="1"/>
    <n v="17"/>
    <x v="17"/>
    <n v="78"/>
    <s v="0. Test 2014 TL Of. Mantenimiento SIN Juridico"/>
    <n v="48"/>
    <s v="El proyector de opacos exige:"/>
    <s v="Una sala bien iluminada"/>
    <s v="Una potencia de la red eléctrica superior"/>
    <s v="Un notable oscurecimiento de la sala"/>
    <m/>
    <s v="c"/>
  </r>
  <r>
    <x v="1"/>
    <n v="17"/>
    <x v="17"/>
    <n v="78"/>
    <s v="0. Test 2014 TL Of. Mantenimiento SIN Juridico"/>
    <n v="49"/>
    <s v="En la proyección con los videoproyectores se debe tener en cuenta:"/>
    <s v="La luz ambiente"/>
    <s v="La humedad"/>
    <s v="La potencia de la red eléctrica"/>
    <m/>
    <s v="a"/>
  </r>
  <r>
    <x v="1"/>
    <n v="17"/>
    <x v="17"/>
    <n v="78"/>
    <s v="0. Test 2014 TL Of. Mantenimiento SIN Juridico"/>
    <n v="50"/>
    <s v="Las pantallas LCD consisten en:"/>
    <s v="Cátodos de plasma para su proyección"/>
    <s v="Microespejos para su proyección"/>
    <s v="Cristal líquido sobre silicona"/>
    <m/>
    <s v="a"/>
  </r>
  <r>
    <x v="1"/>
    <n v="17"/>
    <x v="17"/>
    <n v="78"/>
    <s v="0. Test 2014 TL Of. Mantenimiento SIN Juridico"/>
    <n v="51"/>
    <s v="Las pantallas DLP consisten en:"/>
    <s v="Cristal líquido"/>
    <s v="Microespejos para su proyección"/>
    <s v="Cristal líquido sobre silicona"/>
    <m/>
    <s v="b"/>
  </r>
  <r>
    <x v="1"/>
    <n v="12"/>
    <x v="11"/>
    <n v="78"/>
    <s v="0. Test 2014 TL Of. Mantenimiento SIN Juridico"/>
    <n v="52"/>
    <s v="En una puerta de madera, donde ubicaremos el agujero de instalación del pestillo en una cerradura cilíndrica?"/>
    <s v="En el centro de la puerta, a la altura del tambor."/>
    <s v="En el canto de la puerta, a la altura del tambor."/>
    <s v="En la parte superior de la puerta, a la altura de la placa frontal."/>
    <m/>
    <s v="a"/>
  </r>
  <r>
    <x v="1"/>
    <n v="14"/>
    <x v="13"/>
    <n v="78"/>
    <s v="0. Test 2014 TL Of. Mantenimiento SIN Juridico"/>
    <n v="54"/>
    <s v="Para aislar el tambor de una persiana de las inclemencias del tiempo exterior, preferentemente, colocaremos el aislamiento:"/>
    <s v="Adherido al frontal de la fábrica de fachada que delimita el cajón por la parte exterior."/>
    <s v="Entre el cajón de la persiana y la zona exterior."/>
    <s v="Adherido a todo el perímetro del cajón que delimita el cierre de la persiana."/>
    <m/>
    <s v="c"/>
  </r>
  <r>
    <x v="1"/>
    <n v="18"/>
    <x v="18"/>
    <n v="78"/>
    <s v="0. Test 2014 TL Of. Mantenimiento SIN Juridico"/>
    <n v="55"/>
    <s v="¿Para qué se utiliza el “cristal copla”?"/>
    <s v="Para recoger el original a reproducir en la fotocopiadora."/>
    <s v="Para depositar el original a reproducir."/>
    <s v="Para sostener el papel sobre el que se va a reproducir el original."/>
    <m/>
    <s v="b"/>
  </r>
  <r>
    <x v="1"/>
    <n v="18"/>
    <x v="18"/>
    <n v="78"/>
    <s v="0. Test 2014 TL Of. Mantenimiento SIN Juridico"/>
    <n v="57"/>
    <s v="¿Cómo colocaremos el original en una fotocopiadora, si vamos a realizar una fotocopia sin utilizar el alimentador recirculante de documentos?:"/>
    <s v="Con la cara a fotocopiar hacia arriba."/>
    <s v="Con la cara a fotocopiar hacia abajo."/>
    <s v="Es indiferente la colocación del papel, puede colocarse de las dos maneras descritas en las respuestas anteriores."/>
    <m/>
    <s v="a"/>
  </r>
  <r>
    <x v="1"/>
    <n v="18"/>
    <x v="18"/>
    <n v="78"/>
    <s v="0. Test 2014 TL Of. Mantenimiento SIN Juridico"/>
    <n v="58"/>
    <s v="Las relaciones entre un DIN A2 y un DIN A4 es:"/>
    <s v="Cuatro DIN A2 son un DIN A4."/>
    <s v="Cuatro DIN A4 son un DIN A2."/>
    <s v="Cuatro DIN A2 son un DIN A4."/>
    <m/>
    <s v="c"/>
  </r>
  <r>
    <x v="1"/>
    <n v="18"/>
    <x v="18"/>
    <n v="78"/>
    <s v="0. Test 2014 TL Of. Mantenimiento SIN Juridico"/>
    <n v="59"/>
    <s v="¿En qué paquete software está incluido el procesador de textos Writer?:"/>
    <s v="En el Microsoft Office."/>
    <s v="En el paquete Lotus."/>
    <s v="En el paquete Open Office."/>
    <m/>
    <s v="c"/>
  </r>
  <r>
    <x v="1"/>
    <n v="18"/>
    <x v="18"/>
    <n v="78"/>
    <s v="0. Test 2014 TL Of. Mantenimiento SIN Juridico"/>
    <n v="60"/>
    <s v="En el procesador de textos Writer, ¿qué hace la separación silábica?:"/>
    <s v="Divide todas las palabras en sílabas."/>
    <s v="Permite separar palabras en sílabas cuando son demasiado largas para ajustarse al final de una línea."/>
    <s v="Ninguna de las anteriores."/>
    <m/>
    <s v="c"/>
  </r>
  <r>
    <x v="1"/>
    <n v="18"/>
    <x v="18"/>
    <n v="78"/>
    <s v="0. Test 2014 TL Of. Mantenimiento SIN Juridico"/>
    <n v="61"/>
    <s v="¿Hace falta estar conectado a Internet para la navegación off-line?:"/>
    <s v="Sí."/>
    <s v="No."/>
    <s v="Depende de la conexión."/>
    <m/>
    <s v="b"/>
  </r>
  <r>
    <x v="1"/>
    <n v="10"/>
    <x v="9"/>
    <n v="78"/>
    <s v="0. Test 2014 TL Of. Mantenimiento SIN Juridico"/>
    <n v="63"/>
    <s v="¿Qué es ocurre a algunos de los elementos aislantes de los edificios si les alcanza la humedad?:"/>
    <s v="Pierden sus propiedades aislantes al aumentar la densidad."/>
    <s v="Ganan propiedades aislantes."/>
    <s v="Nada."/>
    <m/>
    <s v="b"/>
  </r>
  <r>
    <x v="1"/>
    <m/>
    <x v="28"/>
    <n v="78"/>
    <s v="0. Test 2014 TL Of. Mantenimiento SIN Juridico"/>
    <n v="64"/>
    <s v="La presentación de solicitudes, escritas y comunicaciones podrá realizarse en los registros telemáticos:"/>
    <s v="Durante la jornada laboral."/>
    <s v="Durante las 24 horas, todos los días del año."/>
    <s v="Solamente domingos y festivos."/>
    <m/>
    <s v="b"/>
  </r>
  <r>
    <x v="1"/>
    <n v="25"/>
    <x v="21"/>
    <n v="78"/>
    <s v="0. Test 2014 TL Of. Mantenimiento SIN Juridico"/>
    <n v="65"/>
    <s v="El libro de quejas y sugerencias estará ubicado:"/>
    <s v="En la recepción de cada edificio."/>
    <s v="Lo tendrá guardado el subalterno y lo entregará cuando se lo soliciten."/>
    <s v="En los registros generales."/>
    <m/>
    <s v="c"/>
  </r>
  <r>
    <x v="1"/>
    <n v="25"/>
    <x v="21"/>
    <n v="78"/>
    <s v="0. Test 2014 TL Of. Mantenimiento SIN Juridico"/>
    <n v="66"/>
    <s v="Una vez que se ha escuchado al cliente, el segundo paso es:"/>
    <s v="Persuadir."/>
    <s v="Convencer."/>
    <s v="Responder."/>
    <m/>
    <s v="c"/>
  </r>
  <r>
    <x v="1"/>
    <n v="25"/>
    <x v="21"/>
    <n v="78"/>
    <s v="0. Test 2014 TL Of. Mantenimiento SIN Juridico"/>
    <n v="67"/>
    <s v="La atención al cliente la realiza:"/>
    <s v="El subalterno."/>
    <s v="El subalterno y el personal administrativo."/>
    <s v="Todo el personal de la Administración."/>
    <m/>
    <s v="c"/>
  </r>
  <r>
    <x v="1"/>
    <n v="25"/>
    <x v="21"/>
    <n v="78"/>
    <s v="0. Test 2014 TL Of. Mantenimiento SIN Juridico"/>
    <n v="68"/>
    <s v="Al ciudadano cliente:"/>
    <s v="Hay que atender con rapidez y reflexión sus reclamaciones."/>
    <s v="Hay que motivar o proporcionar datos prácticos."/>
    <s v="Todas las anteriores son correctas."/>
    <m/>
    <s v="c"/>
  </r>
  <r>
    <x v="1"/>
    <n v="25"/>
    <x v="21"/>
    <n v="78"/>
    <s v="0. Test 2014 TL Of. Mantenimiento SIN Juridico"/>
    <n v="69"/>
    <s v="Consideramos formas de comunicación no verbal:"/>
    <s v="El tono de voz."/>
    <s v="La mirada y la expresión facial."/>
    <s v="Todas las anteriores son correctas."/>
    <m/>
    <s v="c"/>
  </r>
  <r>
    <x v="1"/>
    <n v="12"/>
    <x v="11"/>
    <n v="78"/>
    <s v="0. Test 2014 TL Of. Mantenimiento SIN Juridico"/>
    <n v="70"/>
    <s v="La gubia es una herramienta de uso habitual en carpintería que se emplea para hacer medias cañas y para la inserción de herrajes redondos, por ello la herramienta sufre desgaste en su corte y de vez en cuando es preciso afilarlo. ¿Por qué cara exterior del corte:"/>
    <s v="Por la cara exterior del corte."/>
    <s v="Por la cara interior del corte."/>
    <s v="Ambas respuestas son correctas."/>
    <m/>
    <s v="c"/>
  </r>
  <r>
    <x v="1"/>
    <n v="25"/>
    <x v="21"/>
    <n v="78"/>
    <s v="0. Test 2014 TL Of. Mantenimiento SIN Juridico"/>
    <n v="71"/>
    <s v="¿Cuál de las siguientes no es un Área de Gobierno del Ayuntamiento de Zaragoza:"/>
    <s v="Participación Ciudadana y Régimen Interior."/>
    <s v="Presidencia, Economía y Hacienda."/>
    <s v="Servicios Públicos y Acción Social."/>
    <m/>
    <s v="c"/>
  </r>
  <r>
    <x v="1"/>
    <n v="25"/>
    <x v="21"/>
    <n v="78"/>
    <s v="0. Test 2014 TL Of. Mantenimiento SIN Juridico"/>
    <n v="72"/>
    <s v="La Concejalía Delegada de la Policía Local está integrada en el Área de:"/>
    <s v="Alcaldía."/>
    <s v="Presidencia, Economía y Hacienda."/>
    <s v="Servicios Públicos y Medio Ambiente."/>
    <m/>
    <s v="a"/>
  </r>
  <r>
    <x v="1"/>
    <n v="21"/>
    <x v="19"/>
    <n v="78"/>
    <s v="0. Test 2014 TL Of. Mantenimiento SIN Juridico"/>
    <n v="74"/>
    <s v="La Casa de las Culturas, se encuentra ubicada en:"/>
    <s v="Plaza San de las Culturas."/>
    <s v="Calle Palafox."/>
    <s v="Las Armas."/>
    <m/>
    <s v="b"/>
  </r>
  <r>
    <x v="1"/>
    <n v="12"/>
    <x v="11"/>
    <n v="78"/>
    <s v="0. Test 2014 TL Of. Mantenimiento SIN Juridico"/>
    <n v="75"/>
    <s v="La tenaza triscadora, es una herramienta que en carpintería se emplea para:"/>
    <s v="Para hacer cortes en zig-zag en los cantos de los paneles de madera."/>
    <s v="Doblar a derecha e izquierda los dientes de una sierra."/>
    <s v="Cortar paneles finos de madera."/>
    <m/>
    <s v="b"/>
  </r>
  <r>
    <x v="1"/>
    <m/>
    <x v="28"/>
    <n v="78"/>
    <s v="0. Test 2014 TL Of. Mantenimiento SIN Juridico"/>
    <n v="77"/>
    <s v="¿Cuál de las siguientes es la versión en vigor de la norma ISO 9001 por la que se certifica una parte de los sistemas de la gestión de la calidad en el Ayuntamiento de Zaragoza:"/>
    <s v="2008"/>
    <s v="2010"/>
    <s v="2015"/>
    <m/>
    <s v="a"/>
  </r>
  <r>
    <x v="1"/>
    <m/>
    <x v="28"/>
    <n v="78"/>
    <s v="0. Test 2014 TL Of. Mantenimiento SIN Juridico"/>
    <n v="78"/>
    <s v="El marco estratégico de la calidad del Ayuntamiento de Zaragoza establece que la “visión” del Ayuntamiento es:"/>
    <s v="Potenciar la accesibilidad, transparencia y la igualdad."/>
    <s v="Mejorar continuamente el servicio a los ciudadanos."/>
    <s v="Implantación de un sistema de indicadores que permita el seguimiento y mejora de la gestión municipal."/>
    <m/>
    <s v="b"/>
  </r>
  <r>
    <x v="1"/>
    <m/>
    <x v="28"/>
    <n v="78"/>
    <s v="0. Test 2014 TL Of. Mantenimiento SIN Juridico"/>
    <n v="79"/>
    <s v="El Real Decreto por el que se establece el Marco General para la mejora de la Calidad en la Administración General del Estado es:"/>
    <s v="R.D. 951/2005 de 29 de julio."/>
    <s v="R.D. 256/1996 de 9 de febrero."/>
    <s v="R.D. 421/2003 de 25 de julio."/>
    <m/>
    <s v="b"/>
  </r>
  <r>
    <x v="1"/>
    <m/>
    <x v="28"/>
    <n v="78"/>
    <s v="0. Test 2014 TL Of. Mantenimiento SIN Juridico"/>
    <n v="80"/>
    <s v="Según la Ley 5/2013 de 20 de junio, de Calidad de los Servicios Públicos de la Administración de la Comunidad Autónoma de Aragón, las quejas:"/>
    <s v="No tienen naturaleza de recurso administrativo."/>
    <s v="Las respuestas anteriores son correctas."/>
    <s v="Ninguna de las anteriores."/>
    <m/>
    <s v="c"/>
  </r>
  <r>
    <x v="1"/>
    <m/>
    <x v="28"/>
    <n v="78"/>
    <s v="0. Test 2014 TL Of. Mantenimiento SIN Juridico"/>
    <n v="81"/>
    <s v="En qué fecha fue aprobado el Marco Estratégico de Calidad del Ayuntamiento de Zaragoza:"/>
    <s v="19 de diciembre de 2005."/>
    <s v="19 de noviembre de 2004."/>
    <s v="19 de diciembre de 2004."/>
    <m/>
    <s v="b"/>
  </r>
  <r>
    <x v="1"/>
    <n v="26"/>
    <x v="24"/>
    <n v="78"/>
    <s v="0. Test 2014 TL Of. Mantenimiento SIN Juridico"/>
    <n v="82"/>
    <s v="¿Qué agente extintor se considera muy adecuado para la clase de fuego B (UNE 23.010):"/>
    <s v="Polvo BC (convencional)."/>
    <s v="Polvo ABC (polivalente)."/>
    <s v="Anhídrido carbónico."/>
    <m/>
    <s v="a"/>
  </r>
  <r>
    <x v="1"/>
    <n v="26"/>
    <x v="24"/>
    <n v="78"/>
    <s v="0. Test 2014 TL Of. Mantenimiento SIN Juridico"/>
    <n v="83"/>
    <s v="Cuando la distancia de observación esté comprendida entre 20 y 30 metros, según lo estipulado en la norma UNE-23033-1 de señalización de medidas de protección contra incendios de tamaño utilización manual, el tamaño de las señales definidas en la misma será:"/>
    <s v="420 x 420 mm."/>
    <s v="594 x 594 mm."/>
    <s v="605 x 605 mm."/>
    <m/>
    <s v="b"/>
  </r>
  <r>
    <x v="1"/>
    <n v="26"/>
    <x v="24"/>
    <n v="78"/>
    <s v="0. Test 2014 TL Of. Mantenimiento SIN Juridico"/>
    <n v="84"/>
    <s v="La presión de prueba de estanqueidad y resistencia a la que se someterá el sistema de BIE antes de su puesta en servicio será:"/>
    <s v="Igual a la de servicio y como máximo a 950 kPa durante 2 horas."/>
    <s v="Como mínimo a 980 kPa durante 1 hora."/>
    <s v="Igual a la máxima de servicio y como mínimo a 980 kPa durante 2 horas."/>
    <m/>
    <s v="c"/>
  </r>
  <r>
    <x v="1"/>
    <n v="26"/>
    <x v="24"/>
    <n v="78"/>
    <s v="0. Test 2014 TL Of. Mantenimiento SIN Juridico"/>
    <n v="85"/>
    <s v="¿Qué operaciones deben realizarse anualmente a los extintores por parte de la empresa mantenedora autorizada:"/>
    <s v="Retimbrado."/>
    <s v="Verificación del estado de carga y comprobación de la presión de impulsión del agente extintor, estado boquilla, válvulas y partes mecánicas."/>
    <s v="Ninguna de las respuestas anteriores son correctas."/>
    <m/>
    <s v="b"/>
  </r>
  <r>
    <x v="1"/>
    <n v="26"/>
    <x v="24"/>
    <n v="78"/>
    <s v="0. Test 2014 TL Of. Mantenimiento SIN Juridico"/>
    <n v="86"/>
    <s v="En el sistema de columna seca, la toma de fachada y las salidas en plantas, tendrán el centro de sus bocas a una altura sobre el nivel del suelo de:"/>
    <s v="0,90 metros."/>
    <s v="1,00 metros."/>
    <s v="0,80 metros."/>
    <m/>
    <s v="a"/>
  </r>
  <r>
    <x v="1"/>
    <n v="26"/>
    <x v="24"/>
    <n v="78"/>
    <s v="0. Test 2014 TL Of. Mantenimiento SIN Juridico"/>
    <n v="87"/>
    <s v="¿Cuál será la separación máxima entre cada BIE y su más cercana:"/>
    <s v="50 metros."/>
    <s v="25 metros."/>
    <s v="Longitud de la manguera más 5 metros."/>
    <m/>
    <s v="a"/>
  </r>
  <r>
    <x v="1"/>
    <n v="15"/>
    <x v="16"/>
    <n v="78"/>
    <s v="0. Test 2014 TL Of. Mantenimiento SIN Juridico"/>
    <n v="88"/>
    <s v="El sistema de comunicación de alarma se trata de una señal audible, debiendo ser perceptible en el nivel de ruido donde deba ser percibida supere los:"/>
    <s v="50 dB."/>
    <s v="60 dB."/>
    <s v="70 dB."/>
    <m/>
    <s v="b"/>
  </r>
  <r>
    <x v="1"/>
    <n v="26"/>
    <x v="24"/>
    <n v="78"/>
    <s v="0. Test 2014 TL Of. Mantenimiento SIN Juridico"/>
    <n v="89"/>
    <s v="La presión dinámica mínima en funcionamiento simultáneo de dos BIE durante 1 hora, debe ser:"/>
    <s v="2,5 bar."/>
    <s v="3,5 bar."/>
    <s v="2 bar."/>
    <m/>
    <s v="c"/>
  </r>
  <r>
    <x v="1"/>
    <n v="27"/>
    <x v="22"/>
    <n v="78"/>
    <s v="0. Test 2014 TL Of. Mantenimiento SIN Juridico"/>
    <n v="91"/>
    <s v="Se consideran como “daño derivado del trabajo”:"/>
    <s v="Las enfermedades, patologías o lesiones sufridas con motivo u ocasión del trabajo"/>
    <s v="Las enfermedades, patologías o lesiones anteriores agravadas con motivo u ocasión del trabajo."/>
    <s v="Las dos respuestas anteriores son correctas."/>
    <m/>
    <s v="a"/>
  </r>
  <r>
    <x v="1"/>
    <n v="27"/>
    <x v="22"/>
    <n v="78"/>
    <s v="0. Test 2014 TL Of. Mantenimiento SIN Juridico"/>
    <n v="92"/>
    <s v="En la ficha de seguridad del puesto de trabajo de Oficial de Mantenimiento de Centros Cívicos, se consideran riesgos:"/>
    <s v="Factores físicos, psicosociales y químicos."/>
    <s v="Accidentes de trabajo."/>
    <s v="Las dos respuestas anteriores son correctas."/>
    <m/>
    <s v="c"/>
  </r>
  <r>
    <x v="1"/>
    <n v="27"/>
    <x v="22"/>
    <n v="78"/>
    <s v="0. Test 2014 TL Of. Mantenimiento SIN Juridico"/>
    <n v="93"/>
    <s v="Según el R.D. 486/1997, los lugares de trabajo dispondrán de local de primeros auxilios cuando tengan:"/>
    <s v="50 trabajadores."/>
    <s v="Más de 50 trabajadores."/>
    <s v="Más de 100 trabajadores."/>
    <m/>
    <s v="b"/>
  </r>
  <r>
    <x v="1"/>
    <n v="27"/>
    <x v="22"/>
    <n v="78"/>
    <s v="0. Test 2014 TL Of. Mantenimiento SIN Juridico"/>
    <n v="94"/>
    <s v="Según el R.D. 485/97 sobre disposiciones mínimas en materia de señalización de seguridad y salud en el trabajo:"/>
    <s v="Rojo, verde, blanco y negro, los colores de seguridad son:"/>
    <s v="Rojo, verde, azul y amarillo."/>
    <s v="Rojo, verde, blanco y negro."/>
    <m/>
    <s v="b"/>
  </r>
  <r>
    <x v="1"/>
    <n v="27"/>
    <x v="22"/>
    <n v="78"/>
    <s v="0. Test 2014 TL Of. Mantenimiento SIN Juridico"/>
    <n v="95"/>
    <s v="Señales luminosas y acústicas. Si un dispositivo puede emitir una señal luminosa tanto continua como intermitente, la señal intermitente se utilizará para indicar:"/>
    <s v="Un mayor grado de peligro o menor urgencia."/>
    <s v="Un menor grado de peligro o menor urgencia."/>
    <s v="Un mayor grado de peligro o mayor urgencia."/>
    <m/>
    <s v="c"/>
  </r>
  <r>
    <x v="1"/>
    <n v="12"/>
    <x v="11"/>
    <n v="78"/>
    <s v="0. Test 2014 TL Of. Mantenimiento SIN Juridico"/>
    <n v="96"/>
    <s v="Para cortar un tablero de madera chapada, emplearemos un serrucho específico (serrucho para madera chapada). De las siguientes operaciones que se indican a continuación, ¿cuál de ellas debemos realizar para tener un corte lo más fino posible?:"/>
    <s v="Fijarlo con unas limas para que no se mueva."/>
    <s v="Atornillarlo bien."/>
    <s v="Rectificar los dientes en mal estado."/>
    <m/>
    <s v="b"/>
  </r>
  <r>
    <x v="1"/>
    <n v="10"/>
    <x v="9"/>
    <n v="78"/>
    <s v="0. Test 2014 TL Of. Mantenimiento SIN Juridico"/>
    <n v="98"/>
    <s v="En una pared de fábrica de ladrillo de 15 cm de espesor, la profundidad máxima de una rozas vertical será de:"/>
    <s v="1/3 del espesor de la pared. (50 mm.)"/>
    <s v="1/5 del espesor de la pared. (30 mm.)"/>
    <s v="1/10 del espesor de la pared. (15 mm.)"/>
    <m/>
    <s v="b"/>
  </r>
  <r>
    <x v="1"/>
    <n v="12"/>
    <x v="11"/>
    <n v="78"/>
    <s v="0. Test 2014 TL Of. Mantenimiento SIN Juridico"/>
    <n v="99"/>
    <s v="La altura libre de paso en el umbral de una puerta será como mínimo:"/>
    <s v="1,90 metros"/>
    <s v="2,00 metros"/>
    <s v="2,10 metros"/>
    <m/>
    <s v="b"/>
  </r>
  <r>
    <x v="1"/>
    <n v="10"/>
    <x v="9"/>
    <n v="78"/>
    <s v="0. Test 2014 TL Of. Mantenimiento SIN Juridico"/>
    <n v="100"/>
    <s v="Para salvar un desnivel entre dos planos que disten como máximo 50 mm., la pendiente no podrá exceder del:"/>
    <s v="25%"/>
    <s v="10%"/>
    <s v="6%"/>
    <m/>
    <s v="a"/>
  </r>
  <r>
    <x v="1"/>
    <m/>
    <x v="28"/>
    <n v="78"/>
    <s v="0. Test 2014 TL Of. Mantenimiento SIN Juridico"/>
    <s v="R3"/>
    <s v="Cuál de los teléfonos siguientes no pertenece al Servicio de atención telefónica municipal del Ayuntamiento de Zaragoza:"/>
    <s v="976203004"/>
    <s v="010"/>
    <s v="976721234"/>
    <m/>
    <s v="a"/>
  </r>
  <r>
    <x v="1"/>
    <n v="25"/>
    <x v="21"/>
    <n v="78"/>
    <s v="0. Test 2014 TL Of. Mantenimiento SIN Juridico"/>
    <s v="R4"/>
    <s v="El subalterno que recibe una reclamación de un cliente:"/>
    <s v="Ha de negarse a recibirla."/>
    <s v="Debe convencer al usuario que no la presente."/>
    <s v="Debe recibir cualquier tipo de reclamación que el usuario quiera presentar."/>
    <m/>
    <s v="c"/>
  </r>
  <r>
    <x v="1"/>
    <n v="10"/>
    <x v="9"/>
    <n v="78"/>
    <s v="0. Test 2014 TL Of. Mantenimiento SIN Juridico"/>
    <s v="R5"/>
    <s v="De los áridos que se indican a continuación, indicar cual es el de menor tamaño:"/>
    <s v="Gravilla"/>
    <s v="Garbanzo"/>
    <s v="Cantos rodados"/>
    <m/>
    <s v="b"/>
  </r>
  <r>
    <x v="1"/>
    <n v="10"/>
    <x v="9"/>
    <n v="78"/>
    <s v="0. Test 2014 TL Of. Mantenimiento SIN Juridico"/>
    <s v="R6"/>
    <s v="De las siguientes aguas que se indican a continuación, ¿Cuál será la menos adecuada para la elaboración de un hormigón?"/>
    <s v="El agua de mar."/>
    <s v="Las aguas depuradas con cloro."/>
    <s v="Las aguas de alta montaña."/>
    <m/>
    <s v="c"/>
  </r>
  <r>
    <x v="1"/>
    <n v="17"/>
    <x v="17"/>
    <n v="79"/>
    <s v="0. Test 2014 CO Of. Mantenimiento 2014 SIN Juridico"/>
    <n v="21"/>
    <s v="Cuanto más bajo sea el ratio de contraste:"/>
    <s v="Mejor será la imagen que el proyector es capaz de producir."/>
    <s v="Peor será la imagen que el proyector es capaz de producir."/>
    <s v="Más caro es el aparato."/>
    <m/>
    <s v="b"/>
  </r>
  <r>
    <x v="1"/>
    <n v="17"/>
    <x v="17"/>
    <n v="79"/>
    <s v="0. Test 2014 CO Of. Mantenimiento 2014 SIN Juridico"/>
    <n v="22"/>
    <s v="La tecla marcada como FF en un magnetoscopio es la de:"/>
    <s v="Pausa."/>
    <s v="Avance rápido."/>
    <s v="Rebobinado."/>
    <m/>
    <s v="b"/>
  </r>
  <r>
    <x v="1"/>
    <n v="17"/>
    <x v="17"/>
    <n v="79"/>
    <s v="0. Test 2014 CO Of. Mantenimiento 2014 SIN Juridico"/>
    <n v="23"/>
    <s v="¿Qué característica del sonido es responsable de nuestra percepción del volumen sonoro?:"/>
    <s v="Tono."/>
    <s v="Intensidad."/>
    <s v="Timbre."/>
    <m/>
    <s v="b"/>
  </r>
  <r>
    <x v="1"/>
    <n v="17"/>
    <x v="17"/>
    <n v="79"/>
    <s v="0. Test 2014 CO Of. Mantenimiento 2014 SIN Juridico"/>
    <n v="24"/>
    <s v="Los sonidos de alta frecuencia se llaman también:"/>
    <s v="Agudos."/>
    <s v="Graves."/>
    <s v="Fuertes."/>
    <m/>
    <s v="a"/>
  </r>
  <r>
    <x v="1"/>
    <m/>
    <x v="28"/>
    <n v="79"/>
    <s v="0. Test 2014 CO Of. Mantenimiento 2014 SIN Juridico"/>
    <n v="25"/>
    <s v="Entre los números municipales está el 010 que es el teléfono de:"/>
    <s v="La centralita municipal."/>
    <s v="La centralita de policía."/>
    <s v="Servicio municipal de atención telefónica."/>
    <m/>
    <s v="c"/>
  </r>
  <r>
    <x v="1"/>
    <n v="25"/>
    <x v="21"/>
    <n v="79"/>
    <s v="0. Test 2014 CO Of. Mantenimiento 2014 SIN Juridico"/>
    <n v="26"/>
    <s v="El ciudadano, de cara a la Administración es, ante todo:"/>
    <s v="Una persona."/>
    <s v="Un pagador de impuestos."/>
    <s v="Un votante."/>
    <m/>
    <s v="a"/>
  </r>
  <r>
    <x v="1"/>
    <n v="25"/>
    <x v="21"/>
    <n v="79"/>
    <s v="0. Test 2014 CO Of. Mantenimiento 2014 SIN Juridico"/>
    <n v="27"/>
    <s v="De acuerdo con el Manual de Atención al Ciudadano del Ayuntamiento de Zaragoza, una de las técnicas de comunicación es la escucha activa cuyo objetivo es:"/>
    <s v="Evitar la rutina en la atención a los ciudadanos."/>
    <s v="Demostrar que hemos entendido a la persona que estamos atendiendo."/>
    <s v="Que la atención a los ciudadanos se realice en el menor tiempo posible."/>
    <m/>
    <s v="b"/>
  </r>
  <r>
    <x v="1"/>
    <n v="25"/>
    <x v="21"/>
    <n v="79"/>
    <s v="0. Test 2014 CO Of. Mantenimiento 2014 SIN Juridico"/>
    <n v="28"/>
    <s v="Según el Manual de Atención al ciudadano del Ayuntamiento de Zaragoza uno de los componentes psicológicos en la atención al público son:"/>
    <s v="El sistema nervioso."/>
    <s v="Los sentimientos."/>
    <s v="El contexto social."/>
    <m/>
    <s v="b"/>
  </r>
  <r>
    <x v="1"/>
    <n v="25"/>
    <x v="21"/>
    <n v="79"/>
    <s v="0. Test 2014 CO Of. Mantenimiento 2014 SIN Juridico"/>
    <n v="29"/>
    <s v="Las conductas de los mensajes no verbales son:"/>
    <s v="Miradas, manos, gestos de la cara."/>
    <s v="Tono, volumen e intensidad de la voz."/>
    <s v="Todos los anteriores."/>
    <m/>
    <s v="c"/>
  </r>
  <r>
    <x v="1"/>
    <n v="25"/>
    <x v="21"/>
    <n v="79"/>
    <s v="0. Test 2014 CO Of. Mantenimiento 2014 SIN Juridico"/>
    <n v="30"/>
    <s v="¿Cuáles de las siguientes son fases de una reacción hostil?:"/>
    <s v="Acometimiento, disputa, enfrentamiento."/>
    <s v="Enlentecimiento, confrontación, racional."/>
    <s v="Irracional, enfrentamiento, disparo, solución del problema."/>
    <m/>
    <s v="a"/>
  </r>
  <r>
    <x v="1"/>
    <n v="25"/>
    <x v="21"/>
    <n v="79"/>
    <s v="0. Test 2014 CO Of. Mantenimiento 2014 SIN Juridico"/>
    <n v="31"/>
    <s v="¿Cuándo un ciudadano entra en contacto con un servicio municipal se le llama?:"/>
    <s v="Momento decisivo."/>
    <s v="Afrontamiento."/>
    <s v="Momento de la verdad."/>
    <m/>
    <s v="c"/>
  </r>
  <r>
    <x v="1"/>
    <n v="9"/>
    <x v="23"/>
    <n v="79"/>
    <s v="0. Test 2014 CO Of. Mantenimiento 2014 SIN Juridico"/>
    <n v="32"/>
    <s v="En un tubo fluorescente, el balastro sirve para:"/>
    <s v="Corregir el factor de potencia."/>
    <s v="Limitar y regular la corriente."/>
    <s v="Ninguna de las anteriores."/>
    <m/>
    <s v="b"/>
  </r>
  <r>
    <x v="1"/>
    <n v="9"/>
    <x v="23"/>
    <n v="79"/>
    <s v="0. Test 2014 CO Of. Mantenimiento 2014 SIN Juridico"/>
    <n v="33"/>
    <s v="Los elementos terminales de líneas de corriente son:"/>
    <s v="Interruptores."/>
    <s v="Bases de enchufe."/>
    <s v="Clavijas."/>
    <m/>
    <s v="b"/>
  </r>
  <r>
    <x v="1"/>
    <n v="9"/>
    <x v="23"/>
    <n v="79"/>
    <s v="0. Test 2014 CO Of. Mantenimiento 2014 SIN Juridico"/>
    <n v="34"/>
    <s v="Un interruptor diferencial General está destinado a:"/>
    <s v="Protección contra contactos directos de los circuitos que protege."/>
    <s v="Protección contra contactos indirectos de los circuitos que protege."/>
    <s v="Protección contra contactos directos o indirectos de los circuitos que protege."/>
    <m/>
    <s v="b"/>
  </r>
  <r>
    <x v="1"/>
    <n v="10"/>
    <x v="9"/>
    <n v="79"/>
    <s v="0. Test 2014 CO Of. Mantenimiento 2014 SIN Juridico"/>
    <n v="35"/>
    <s v="De acuerdo con el CTE, los morteros de junta delgada y los morteros ligeros no serán inferiores a:"/>
    <s v="M2."/>
    <s v="M4."/>
    <s v="M6."/>
    <m/>
    <s v="b"/>
  </r>
  <r>
    <x v="1"/>
    <n v="9"/>
    <x v="23"/>
    <n v="79"/>
    <s v="0. Test 2014 CO Of. Mantenimiento 2014 SIN Juridico"/>
    <n v="36"/>
    <s v="El valor de la toma de tierra se mide con:"/>
    <s v="Telurómetro."/>
    <s v="Voltímetro."/>
    <s v="Ohmetro."/>
    <m/>
    <s v="a"/>
  </r>
  <r>
    <x v="1"/>
    <n v="9"/>
    <x v="23"/>
    <n v="79"/>
    <s v="0. Test 2014 CO Of. Mantenimiento 2014 SIN Juridico"/>
    <n v="37"/>
    <s v="La unidad de la tensión eléctrica es el voltio, ¿a qué equivale un Kilovoltio?:"/>
    <s v="Equivale a 100 voltios."/>
    <s v="Equivale a 1000 voltios."/>
    <s v="Equivale a 10.000 voltios."/>
    <m/>
    <s v="b"/>
  </r>
  <r>
    <x v="1"/>
    <n v="9"/>
    <x v="23"/>
    <n v="79"/>
    <s v="0. Test 2014 CO Of. Mantenimiento 2014 SIN Juridico"/>
    <n v="38"/>
    <s v="Cuando usamos un destornillador “tipo philips”:"/>
    <s v="Su punta es de tipo cruciforme."/>
    <s v="Su punta es de tipo plano."/>
    <s v="Su punta es de tipo hexagonal."/>
    <m/>
    <s v="a"/>
  </r>
  <r>
    <x v="1"/>
    <n v="9"/>
    <x v="23"/>
    <n v="79"/>
    <s v="0. Test 2014 CO Of. Mantenimiento 2014 SIN Juridico"/>
    <n v="39"/>
    <s v="Cuando un fluorescente hace ruido:"/>
    <s v="Existe una conexión defectuosa de la reactancia."/>
    <s v="Existe una conexión defectuosa del tubo."/>
    <s v="El contacto del tubo con los bornes no es el adecuado."/>
    <m/>
    <s v="a"/>
  </r>
  <r>
    <x v="1"/>
    <n v="9"/>
    <x v="23"/>
    <n v="79"/>
    <s v="0. Test 2014 CO Of. Mantenimiento 2014 SIN Juridico"/>
    <n v="40"/>
    <s v="En un suministro monofásico de 230V la tensión del neutro será:"/>
    <s v="Cero voltios."/>
    <s v="La mitad de 230V."/>
    <s v="230 voltios."/>
    <m/>
    <s v="b"/>
  </r>
  <r>
    <x v="1"/>
    <n v="9"/>
    <x v="23"/>
    <n v="79"/>
    <s v="0. Test 2014 CO Of. Mantenimiento 2014 SIN Juridico"/>
    <n v="41"/>
    <s v="Si instalamos un interruptor en una instalación monofásica de 230 voltios para maniobrar un receptor, lo haremos en:"/>
    <s v="El neutro."/>
    <s v="En la fase."/>
    <s v="En la toma tierra."/>
    <m/>
    <s v="b"/>
  </r>
  <r>
    <x v="1"/>
    <n v="9"/>
    <x v="23"/>
    <n v="79"/>
    <s v="0. Test 2014 CO Of. Mantenimiento 2014 SIN Juridico"/>
    <n v="42"/>
    <s v="Habitualmente un casquillo del tipo “Edison” en una lámpara, estará relacionado con:"/>
    <s v="Una lámpara compacta de bajo consumo."/>
    <s v="Una bombilla incandescente."/>
    <s v="Ambas son correctas."/>
    <m/>
    <s v="c"/>
  </r>
  <r>
    <x v="1"/>
    <n v="9"/>
    <x v="23"/>
    <n v="79"/>
    <s v="0. Test 2014 CO Of. Mantenimiento 2014 SIN Juridico"/>
    <n v="43"/>
    <s v="Según el R.D. 842/02 que aprueba el reglamento electrotécnico de baja tensión, la frecuencia empleada en la red será de:"/>
    <s v="50 Hz."/>
    <s v="60 Hz."/>
    <s v="50 Vatios."/>
    <m/>
    <s v="a"/>
  </r>
  <r>
    <x v="1"/>
    <n v="9"/>
    <x v="23"/>
    <n v="79"/>
    <s v="0. Test 2014 CO Of. Mantenimiento 2014 SIN Juridico"/>
    <n v="44"/>
    <s v="Habitualmente en una instalación eléctrica interior de tensión 230v entre fase y neutro, en las tomas de corriente de uso general los conductores serán de una sección mínima de:"/>
    <s v="2,5 milímetros cuadrados."/>
    <s v="1,5 milímetros cuadrados."/>
    <s v="6 milímetros cuadrados."/>
    <m/>
    <s v="a"/>
  </r>
  <r>
    <x v="1"/>
    <n v="9"/>
    <x v="23"/>
    <n v="79"/>
    <s v="0. Test 2014 CO Of. Mantenimiento 2014 SIN Juridico"/>
    <n v="45"/>
    <s v="Tenemos una bombilla de 60 vatios funcionando a 230 voltios, esto significa:"/>
    <s v="La potencia que consume es de 60W al conectarla a 230 Voltios de potencial eléctrico."/>
    <s v="La potencia que consume es de 230/60=3,83 vatios."/>
    <s v="La potencia que consume es de 60/230=0,26 vatios."/>
    <m/>
    <s v="a"/>
  </r>
  <r>
    <x v="1"/>
    <n v="9"/>
    <x v="23"/>
    <n v="79"/>
    <s v="0. Test 2014 CO Of. Mantenimiento 2014 SIN Juridico"/>
    <n v="46"/>
    <s v="¿Cuál de estas lámparas es más delicada y requiere una manipulación especial?:"/>
    <s v="Halógena."/>
    <s v="Vapor de mercurio baja presión."/>
    <s v="Tubo fluorescente."/>
    <m/>
    <s v="a"/>
  </r>
  <r>
    <x v="1"/>
    <n v="9"/>
    <x v="23"/>
    <n v="79"/>
    <s v="0. Test 2014 CO Of. Mantenimiento 2014 SIN Juridico"/>
    <n v="47"/>
    <s v="Un fluorescente es una lámpara:"/>
    <s v="Vapor mercurio baja presión."/>
    <s v="Vapor mercurio alta presión."/>
    <s v="Vapor sodio alta presión."/>
    <m/>
    <s v="a"/>
  </r>
  <r>
    <x v="1"/>
    <n v="11"/>
    <x v="10"/>
    <n v="79"/>
    <s v="0. Test 2014 CO Of. Mantenimiento 2014 SIN Juridico"/>
    <n v="48"/>
    <s v="Una válvula de retención es:"/>
    <s v="Un dispositivo que impide automáticamente el paso de un fluido en sentido contrario al normal funcionamiento de la misma."/>
    <s v="Dispositivo que se abre automáticamente cuando la presión del circuito sube por encima del valor de tarado, descargando el exceso de presión a la atmósfera."/>
    <s v="Llave que elimina o evacua el aire de las tuberías en la instalación."/>
    <m/>
    <s v="a"/>
  </r>
  <r>
    <x v="1"/>
    <n v="11"/>
    <x v="10"/>
    <n v="79"/>
    <s v="0. Test 2014 CO Of. Mantenimiento 2014 SIN Juridico"/>
    <n v="49"/>
    <s v="¿Qué es una válvula de aireación?:"/>
    <s v="Es una válvula que permite la entrada de aire en el sistema pero no su salida."/>
    <s v="Es un accesorio destinado a compensar las diferencias de dimensión de material en las uniones entre tuberías."/>
    <s v="Ambas son ciertas."/>
    <m/>
    <s v="a"/>
  </r>
  <r>
    <x v="1"/>
    <n v="11"/>
    <x v="10"/>
    <n v="79"/>
    <s v="0. Test 2014 CO Of. Mantenimiento 2014 SIN Juridico"/>
    <n v="50"/>
    <s v="El código técnico de edificación documento básico HS 4 de suministro de agua, no se considera adecuado para las instalaciones de agua de consumo humano:"/>
    <s v="Tubos de cobre."/>
    <s v="Tubos de polietileno reticulado."/>
    <s v="Tubos de aluminio."/>
    <m/>
    <s v="c"/>
  </r>
  <r>
    <x v="1"/>
    <n v="11"/>
    <x v="10"/>
    <n v="79"/>
    <s v="0. Test 2014 CO Of. Mantenimiento 2014 SIN Juridico"/>
    <n v="51"/>
    <s v="¿Cuál de estas llaves de paso producirán con mayor probabilidad el llamado “golpe de ariete”?:"/>
    <s v="Llave de asiento."/>
    <s v="Llave de bola."/>
    <s v="Llave de compuerta."/>
    <m/>
    <s v="b"/>
  </r>
  <r>
    <x v="1"/>
    <n v="11"/>
    <x v="10"/>
    <n v="79"/>
    <s v="0. Test 2014 CO Of. Mantenimiento 2014 SIN Juridico"/>
    <n v="52"/>
    <s v="La soldadura que se realiza para unir piezas con masilla sintética, que aseguran la estanqueidad de la canalización se denomina:"/>
    <s v="Blanda."/>
    <s v="En frío."/>
    <s v="Fuerte."/>
    <m/>
    <s v="b"/>
  </r>
  <r>
    <x v="1"/>
    <n v="11"/>
    <x v="10"/>
    <n v="79"/>
    <s v="0. Test 2014 CO Of. Mantenimiento 2014 SIN Juridico"/>
    <n v="53"/>
    <s v="¿Cuál de los siguientes elementos transfieren el calor generado en la caldera a las habitaciones?:"/>
    <s v="Acumuladores."/>
    <s v="Radiadores."/>
    <s v="Vaso de expansión."/>
    <m/>
    <s v="b"/>
  </r>
  <r>
    <x v="1"/>
    <n v="11"/>
    <x v="10"/>
    <n v="79"/>
    <s v="0. Test 2014 CO Of. Mantenimiento 2014 SIN Juridico"/>
    <n v="54"/>
    <s v="Según el documento básico HS 5 de evacuación de aguas, los cierres hidráulicos individuales en los que pueden ser:"/>
    <s v="Sifones individuales."/>
    <s v="Botes sifónicos."/>
    <s v="Las dos anteriores son correctas."/>
    <m/>
    <s v="c"/>
  </r>
  <r>
    <x v="1"/>
    <n v="11"/>
    <x v="10"/>
    <n v="79"/>
    <s v="0. Test 2014 CO Of. Mantenimiento 2014 SIN Juridico"/>
    <n v="55"/>
    <s v="¿Qué es el “cardenillo”?:"/>
    <s v="Una pátina verdosa que produce el cobre con la humedad y que lo protege de posteriores alteraciones."/>
    <s v="Una grasa que se usa para las tuberías de acero inoxidable."/>
    <s v="Ambas son incorrectas."/>
    <m/>
    <s v="a"/>
  </r>
  <r>
    <x v="1"/>
    <n v="11"/>
    <x v="10"/>
    <n v="79"/>
    <s v="0. Test 2014 CO Of. Mantenimiento 2014 SIN Juridico"/>
    <n v="56"/>
    <s v="El suministro de gasóleo de calefacción en colegios públicos se gestiona a través de:"/>
    <s v="La Sección de Conservación de Arquitectura destinada a Equipamientos Escolares."/>
    <s v="La Sección de Parques y Jardines."/>
    <s v="La Unidad de Energía e Instalaciones."/>
    <m/>
    <s v="c"/>
  </r>
  <r>
    <x v="1"/>
    <n v="25"/>
    <x v="21"/>
    <n v="79"/>
    <s v="0. Test 2014 CO Of. Mantenimiento 2014 SIN Juridico"/>
    <n v="57"/>
    <s v="¿Qué Área preside el tercer Teniente de Alcalde según el organigrama político del Ayuntamiento de Zaragoza?:"/>
    <s v="Servicios Públicos y Movilidad."/>
    <s v="Presidencia, Economía y Hacienda."/>
    <s v="Acción Social y Deportes."/>
    <m/>
    <s v="a"/>
  </r>
  <r>
    <x v="1"/>
    <n v="25"/>
    <x v="21"/>
    <n v="79"/>
    <s v="0. Test 2014 CO Of. Mantenimiento 2014 SIN Juridico"/>
    <n v="58"/>
    <s v="¿Qué Servicio Municipal remite anualmente a los Colegios Públicos las instrucciones para pequeñas reparaciones en edificios escolares?:"/>
    <s v="Servicio de Distritos."/>
    <s v="Servicio de Educación."/>
    <s v="Servicio de Conservación de Arquitectura."/>
    <m/>
    <s v="b"/>
  </r>
  <r>
    <x v="1"/>
    <n v="25"/>
    <x v="21"/>
    <n v="79"/>
    <s v="0. Test 2014 CO Of. Mantenimiento 2014 SIN Juridico"/>
    <n v="59"/>
    <s v="¿Cuál de las siguientes es una de las normas por la que se certifica la gestión de la calidad en el Ayuntamiento de Zaragoza?:"/>
    <s v="UNE-EN-ISO 9000."/>
    <s v="UNE-EN-ISO 14000."/>
    <s v="UNE-EN-ISO 9001."/>
    <m/>
    <s v="c"/>
  </r>
  <r>
    <x v="1"/>
    <n v="25"/>
    <x v="21"/>
    <n v="79"/>
    <s v="0. Test 2014 CO Of. Mantenimiento 2014 SIN Juridico"/>
    <n v="60"/>
    <s v="Una Carta de Servicios del Ayuntamiento de Zaragoza es:"/>
    <s v="Documento que acredita que un servicio se ha prestado satisfactoriamente."/>
    <s v="Documento que informa sobre los servicios que se prestan y su forma de pago."/>
    <s v="Documento que informa sobre los servicios que se prestan y la forma de prestarlos."/>
    <m/>
    <s v="c"/>
  </r>
  <r>
    <x v="1"/>
    <n v="25"/>
    <x v="21"/>
    <n v="79"/>
    <s v="0. Test 2014 CO Of. Mantenimiento 2014 SIN Juridico"/>
    <n v="61"/>
    <s v="Los escritos de los ciudadanos que tengan por objeto poner de manifiesto las demoras, desatenciones u otras anomalías en el funcionamiento de los servicios prestados por la Administración de la Comunidad Autónoma de Aragón, tendrán la consideración de:"/>
    <s v="Sugerencia."/>
    <s v="Queja."/>
    <s v="Reclamación."/>
    <m/>
    <s v="b"/>
  </r>
  <r>
    <x v="1"/>
    <n v="25"/>
    <x v="21"/>
    <n v="79"/>
    <s v="0. Test 2014 CO Of. Mantenimiento 2014 SIN Juridico"/>
    <n v="62"/>
    <s v="¿Cuál es el Real Decreto por el que se regulan los servicios de información administrativa y atención al ciudadano en la Administración General del Estado:"/>
    <s v="R.D. 208/1996 de 9 de febrero."/>
    <s v="R.D. 429/1993 de 26 de marzo."/>
    <s v="R.D. 1429/1993 de 28 de enero."/>
    <m/>
    <s v="a"/>
  </r>
  <r>
    <x v="1"/>
    <n v="25"/>
    <x v="21"/>
    <n v="79"/>
    <s v="0. Test 2014 CO Of. Mantenimiento 2014 SIN Juridico"/>
    <n v="63"/>
    <s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
    <s v="Información general."/>
    <s v="Información particular."/>
    <s v="Las dos respuestas son correctas."/>
    <m/>
    <s v="b"/>
  </r>
  <r>
    <x v="1"/>
    <n v="25"/>
    <x v="21"/>
    <n v="79"/>
    <s v="0. Test 2014 CO Of. Mantenimiento 2014 SIN Juridico"/>
    <n v="64"/>
    <s v="¿Cuál es una Línea de Actuación dentro del Marco Estratégico de Calidad en el Ayuntamiento de Zaragoza:"/>
    <s v="Código deontológico del empleado municipal."/>
    <s v="Orientación al ciudadano."/>
    <s v="Responsabilidad y contención de costes."/>
    <m/>
    <s v="a"/>
  </r>
  <r>
    <x v="1"/>
    <n v="25"/>
    <x v="21"/>
    <n v="79"/>
    <s v="0. Test 2014 CO Of. Mantenimiento 2014 SIN Juridico"/>
    <n v="65"/>
    <s v="¿En qué fecha fue aprobada la Ley de Calidad de los Servicios Públicos de la Administración de la Comunidad Autónoma de Aragón:"/>
    <s v="20 de junio de 2013."/>
    <s v="20 de julio de 2013."/>
    <s v="20 de junio de 2012."/>
    <m/>
    <s v="a"/>
  </r>
  <r>
    <x v="1"/>
    <n v="27"/>
    <x v="22"/>
    <n v="79"/>
    <s v="0. Test 2014 CO Of. Mantenimiento 2014 SIN Juridico"/>
    <n v="66"/>
    <s v="¿Qué no debe hacerse en el levantamiento manual de cargas:"/>
    <s v="Apoyar siempre los pies firmemente en el suelo lo más juntos posible."/>
    <s v="No inclinar el cuerpo manteniendo la espalda recta en todo momento."/>
    <s v="Mantener la carga tan cerca del cuerpo como sea posible."/>
    <m/>
    <s v="a"/>
  </r>
  <r>
    <x v="1"/>
    <n v="27"/>
    <x v="22"/>
    <n v="79"/>
    <s v="0. Test 2014 CO Of. Mantenimiento 2014 SIN Juridico"/>
    <n v="67"/>
    <s v="Según el R.D. 488/1997 sobre disposiciones mínimas de seguridad y salud relativas al trabajo con equipos que incluyen pantallas de visualización, ¿cuál de las siguientes es una medida preventiva:"/>
    <s v="La pantalla deberá ser orientable e inclinable a voluntad, con facilidad para adaptarse a las necesidades del usuario."/>
    <s v="La pantalla se deberá situar a una distancia superior a 90 cms. respecto a los ojos del usuario."/>
    <s v="La altura comprendida entre la línea de visión horizontal y la línea media de la pantalla de 60º."/>
    <m/>
    <s v="a"/>
  </r>
  <r>
    <x v="1"/>
    <n v="27"/>
    <x v="22"/>
    <n v="79"/>
    <s v="0. Test 2014 CO Of. Mantenimiento 2014 SIN Juridico"/>
    <n v="68"/>
    <s v="En la utilización de la escalera de mano:"/>
    <s v="Únicamente ascenso se realizará de frente."/>
    <s v="El descenso se podrá realizar de espaldas cuando la carga lo imposibilite de frente."/>
    <s v="El ascenso y el descenso se realizarán siempre de frente a esta."/>
    <m/>
    <s v="c"/>
  </r>
  <r>
    <x v="1"/>
    <n v="25"/>
    <x v="21"/>
    <n v="79"/>
    <s v="0. Test 2014 CO Of. Mantenimiento 2014 SIN Juridico"/>
    <n v="69"/>
    <s v="La Concejalía Delegada de Contratación está integrada en el Área de:"/>
    <s v="Presidencia, Economía y Hacienda."/>
    <s v="Alcaldía."/>
    <s v="Urbanismo, Infraestructuras, Equipamientos y Vivienda."/>
    <m/>
    <s v="a"/>
  </r>
  <r>
    <x v="1"/>
    <n v="27"/>
    <x v="22"/>
    <n v="79"/>
    <s v="0. Test 2014 CO Of. Mantenimiento 2014 SIN Juridico"/>
    <n v="70"/>
    <s v="Según el R.D. 486/1997, la humedad relativa en los locales de trabajo:"/>
    <s v="Debe estar comprendida entre el 30% y el 60%."/>
    <s v="Debe ser superior al 40%."/>
    <s v="Debe estar comprendida entre el 30% y el 70% excepto en lugares con electricidad estática que debe ser del 50%."/>
    <m/>
    <s v="c"/>
  </r>
  <r>
    <x v="1"/>
    <n v="27"/>
    <x v="22"/>
    <n v="79"/>
    <s v="0. Test 2014 CO Of. Mantenimiento 2014 SIN Juridico"/>
    <n v="71"/>
    <s v="De acuerdo con el Real Decreto 486/1997, de 14 de abril, las escaleras de mano simples deben apoyarse con la inclinación aproximada:"/>
    <s v="De 55º con la horizontal."/>
    <s v="De 75º con la horizontal."/>
    <s v="De 65º con la horizontal."/>
    <m/>
    <s v="b"/>
  </r>
  <r>
    <x v="1"/>
    <n v="27"/>
    <x v="22"/>
    <n v="79"/>
    <s v="0. Test 2014 CO Of. Mantenimiento 2014 SIN Juridico"/>
    <n v="72"/>
    <s v="Si nos encontramos con una señal en forma de panel, triangular, con el fondo amarillo y pictograma en negro, se trata de una señal de:"/>
    <s v="Prohibición."/>
    <s v="Advertencia."/>
    <s v="Peligro."/>
    <m/>
    <s v="b"/>
  </r>
  <r>
    <x v="1"/>
    <n v="10"/>
    <x v="9"/>
    <n v="79"/>
    <s v="0. Test 2014 CO Of. Mantenimiento 2014 SIN Juridico"/>
    <n v="74"/>
    <s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
    <s v="1 kp/cm²."/>
    <s v="1 kp/m²."/>
    <s v="1 N/mm²."/>
    <m/>
    <s v="c"/>
  </r>
  <r>
    <x v="1"/>
    <n v="10"/>
    <x v="9"/>
    <n v="79"/>
    <s v="0. Test 2014 CO Of. Mantenimiento 2014 SIN Juridico"/>
    <n v="79"/>
    <s v="En construcción un gavión es:"/>
    <s v="Una serie de capas de tierra colocadas irregularmente sobre un terraplén en forma de caja para contención de tierras por gravedad, formado apilando piezas entrelazadas."/>
    <s v="Un paralelepípedo de tela metálica relleno con cantos rodados, para hacer un contrafuerte."/>
    <s v="Una presa de contención de tierras por gravedad, formado apilando piezas entrelazadas."/>
    <m/>
    <s v="c"/>
  </r>
  <r>
    <x v="1"/>
    <n v="12"/>
    <x v="11"/>
    <n v="79"/>
    <s v="0. Test 2014 CO Of. Mantenimiento 2014 SIN Juridico"/>
    <n v="82"/>
    <s v="Para cortar una chapa de madera emplearemos una herramienta específica (cortador de madera chapada). De las siguientes operaciones que se indican a continuación, ¿cuál de ellas no debemos realizar para tener un corte lo más fino posible?:"/>
    <s v="Afilar con lima en ángulo pequeño."/>
    <s v="Triscar los dientes."/>
    <s v="Rectificar los dientes en mal estado."/>
    <m/>
    <s v="b"/>
  </r>
  <r>
    <x v="1"/>
    <n v="14"/>
    <x v="13"/>
    <n v="79"/>
    <s v="0. Test 2014 CO Of. Mantenimiento 2014 SIN Juridico"/>
    <n v="89"/>
    <s v="Si nos dicen que los elementos fundamentales de una persiana lo componen: Un rodillo, una polea, un cable y un mosquetón deduciremos que se trata de:"/>
    <s v="Una persiana enrollable"/>
    <s v="Una persiana de colgajo plegable"/>
    <s v="Una persiana con sistema de accionamiento mecánico"/>
    <m/>
    <s v="c"/>
  </r>
  <r>
    <x v="1"/>
    <n v="13"/>
    <x v="12"/>
    <n v="79"/>
    <s v="0. Test 2014 CO Of. Mantenimiento 2014 SIN Juridico"/>
    <n v="90"/>
    <s v="Entre las tres posibles respuestas de la pregunta, en cerrajería el cincelado o burilado tiene por objeto:"/>
    <s v="Sacar las virutas de una chapa de acero, lo más finas posibles."/>
    <s v="Trocear o cortar trozos de chapa o perfiles sin desprendimiento de virutas."/>
    <s v="Ninguna de las respuestas anteriores son ciertas"/>
    <m/>
    <s v="b"/>
  </r>
  <r>
    <x v="0"/>
    <n v="6"/>
    <x v="5"/>
    <n v="80"/>
    <s v="0. Test 2025 PI Of. Mantenimiento"/>
    <n v="1"/>
    <s v="El Real Decreto Legislativo 5/2015, de 30 de octubre, por el que se aprueba el texto refundido de la Ley del Estatuto Básico del Empleado Público, establece en su artículo 54. 3 que los empleados públicos obedecerán las instrucciones y órdenes profesionales de los superiores:"/>
    <s v="En todo caso."/>
    <s v="Salvo que constituyan una infracción manifiesta del ordenamiento jurídico"/>
    <s v="Salvo que constituyan delito."/>
    <m/>
    <s v="b"/>
  </r>
  <r>
    <x v="0"/>
    <n v="6"/>
    <x v="5"/>
    <n v="80"/>
    <s v="0. Test 2025 PI Of. Mantenimiento"/>
    <n v="2"/>
    <s v="El Real Decreto Legislativo 5/2015, de 30 de octubre, por el que se aprueba el texto refundido de la Ley del Estatuto Básico del Empleado Público, establece en su artículo 53.12 que los empleados públicos guardarán secreto:"/>
    <s v="De las materias clasificadas."/>
    <s v="Sobre aquellos asuntos que conozcan por razón de su cargo"/>
    <s v="Las respuestas a) y b) son correctas."/>
    <m/>
    <s v="a"/>
  </r>
  <r>
    <x v="0"/>
    <n v="6"/>
    <x v="5"/>
    <n v="80"/>
    <s v="0. Test 2025 PI Of. Mantenimiento"/>
    <n v="3"/>
    <s v="El Real Decreto Legislativo 5/2015, de 30 de octubre, por el que se aprueba el texto refundido de la Ley del Estatuto Básico del Empleado Público, establece en su artículo 53.9 que los empleados públicos:"/>
    <s v="Influirán en la agilización o resolución de trámites y procedimientos administrativos."/>
    <s v="No influirán en la agilización o resolución de trámite o procedimiento administrativo sin causa."/>
    <s v="No influirán en la agilización o resolución de trámite o procedimiento administrativo justa"/>
    <m/>
    <s v="b"/>
  </r>
  <r>
    <x v="0"/>
    <n v="8"/>
    <x v="8"/>
    <n v="80"/>
    <s v="0. Test 2025 PI Of. Mantenimiento"/>
    <n v="4"/>
    <s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
    <s v="Acoso sexual."/>
    <s v="Acoso por razón de sexo."/>
    <s v="Acoso por orientación sexual"/>
    <m/>
    <s v="b"/>
  </r>
  <r>
    <x v="0"/>
    <n v="8"/>
    <x v="8"/>
    <n v="80"/>
    <s v="0. Test 2025 PI Of. Mantenimiento"/>
    <n v="5"/>
    <s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
    <s v="Acoso sexual."/>
    <s v="Acoso por razón de sexo."/>
    <s v="Acoso por orientación sexual"/>
    <m/>
    <s v="a"/>
  </r>
  <r>
    <x v="0"/>
    <n v="8"/>
    <x v="8"/>
    <n v="80"/>
    <s v="0. Test 2025 PI Of. Mantenimiento"/>
    <n v="6"/>
    <s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
    <s v="Acoso sexual."/>
    <s v="Acoso por razón de sexo."/>
    <s v="Acoso por orientación sexual."/>
    <m/>
    <s v="c"/>
  </r>
  <r>
    <x v="1"/>
    <n v="25"/>
    <x v="21"/>
    <n v="80"/>
    <s v="0. Test 2025 PI Of. Mantenimiento"/>
    <n v="7"/>
    <s v="Según el Manual de Atención a la Ciudadanía del Ayuntamiento de Zaragoza nos comunicamos con:"/>
    <s v="Mensajes verbales y no verbales."/>
    <s v="Palabras y conductas."/>
    <s v="Las dos respuestas anteriores son correctas"/>
    <m/>
    <s v="c"/>
  </r>
  <r>
    <x v="1"/>
    <n v="25"/>
    <x v="21"/>
    <n v="80"/>
    <s v="0. Test 2025 PI Of. Mantenimiento"/>
    <n v="8"/>
    <s v="Según el Manual de Atención a la Ciudadanía del Ayuntamiento de Zaragoza la baja calidad de un servicio de atención directa es consecuencia de factores relativos a quien presta su atención, fundamentalmente:"/>
    <s v="La falta de interés."/>
    <s v="La falta de interés y la escasez de habilidades sociales."/>
    <s v="La escasez de habilidades sociales."/>
    <m/>
    <s v="b"/>
  </r>
  <r>
    <x v="1"/>
    <n v="25"/>
    <x v="21"/>
    <n v="80"/>
    <s v="0. Test 2025 PI Of. Mantenimiento"/>
    <n v="9"/>
    <s v="Según el Manual de Atención a la Ciudadanía del Ayuntamiento de Zaragoza escuchar es algo activo. No basta con oir. Hay que poner."/>
    <s v="Observación."/>
    <s v="Observación y empatía"/>
    <s v="Empatía."/>
    <m/>
    <s v="b"/>
  </r>
  <r>
    <x v="1"/>
    <n v="25"/>
    <x v="21"/>
    <n v="80"/>
    <s v="0. Test 2025 PI Of. Mantenimiento"/>
    <n v="10"/>
    <s v="Según el Manual Básico de Prevención de Riesgos Laborales del Ayuntamiento de Zaragoza los trabajadores deben informar de las situaciones de riesgo para la seguridad y salud de los trabajadores. ¿A quién deben informar?"/>
    <s v="A los superiores y a los trabajadores designados o, en su caso, al servicio de prevención"/>
    <s v="A los superiores."/>
    <s v="A los trabajadores designados o, en su caso, al servicio de prevención."/>
    <m/>
    <s v="a"/>
  </r>
  <r>
    <x v="1"/>
    <n v="10"/>
    <x v="9"/>
    <n v="80"/>
    <s v="0. Test 2025 PI Of. Mantenimiento"/>
    <n v="11"/>
    <s v="Existen diferencias entre el mazo y el martillo, herramientas usadas en albañilería. De las siguientes afirmaciones, indicar la respuesta INCORRECTA."/>
    <s v="El martillo tendrá siempre la superficie de impacto de metal. El mazo no."/>
    <s v="Un martillo es más pequeño qué un mazo."/>
    <s v="Tanto el martillo como el mazo antirrebotan absorbiendo el impacto sobre una superficie."/>
    <m/>
    <s v="c"/>
  </r>
  <r>
    <x v="1"/>
    <n v="10"/>
    <x v="9"/>
    <n v="80"/>
    <s v="0. Test 2025 PI Of. Mantenimiento"/>
    <n v="12"/>
    <s v="Tipos I, III y V. En este tipo de cementos, en su elaboración, se reduce en gran parte el óxido ferroso por aluminio. Indicar la respuesta que se ajusta a la definición:"/>
    <s v="Cemento rápido."/>
    <s v="Cementos de aluminato de calcio."/>
    <s v="Cemento blanco."/>
    <m/>
    <s v="c"/>
  </r>
  <r>
    <x v="1"/>
    <n v="10"/>
    <x v="9"/>
    <n v="80"/>
    <s v="0. Test 2025 PI Of. Mantenimiento"/>
    <n v="13"/>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80"/>
    <s v="0. Test 2025 PI Of. Mantenimiento"/>
    <n v="14"/>
    <s v="Es el material que resulta de la desintegración natural de la roca o trituración de la misma y cuyo tamaño es inferior a 5 mm. Nos referimos a:"/>
    <s v="Arena."/>
    <s v="Grava."/>
    <s v="Bolos."/>
    <m/>
    <s v="a"/>
  </r>
  <r>
    <x v="1"/>
    <n v="10"/>
    <x v="9"/>
    <n v="80"/>
    <s v="0. Test 2025 PI Of. Mantenimiento"/>
    <n v="15"/>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80"/>
    <s v="0. Test 2025 PI Of. Mantenimiento"/>
    <n v="16"/>
    <s v="Revestimiento con yeso, utilización. Se aplica para revestir superficies previamente guarnecidas o enfoscadas fratasadas, en paredes y en techos, cuando su terminación deba realizarse con pinturas lisas o acabados de análogo poder cubriente. Nos referimos a:"/>
    <s v="El estuco."/>
    <s v="El enlucido"/>
    <s v="El revoco."/>
    <m/>
    <s v="b"/>
  </r>
  <r>
    <x v="1"/>
    <n v="10"/>
    <x v="9"/>
    <n v="80"/>
    <s v="0. Test 2025 PI Of. Mantenimiento"/>
    <n v="17"/>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80"/>
    <s v="0. Test 2025 PI Of. Mantenimiento"/>
    <n v="18"/>
    <s v="Alicatado. Las piezas se pueden colocar en capa gruesa (10-20 mm) o en capa fina (3-6 mm). La fijación mediante capa gruesa sólo se puede realizar con baldosas de tamaño:"/>
    <s v="Mayor a 900 cm²."/>
    <s v="Menor o igual a 900 cm2 o de 30x30 cm."/>
    <s v="No se puede realizar la fijación de piezas mediante capa gruesa"/>
    <m/>
    <s v="b"/>
  </r>
  <r>
    <x v="1"/>
    <n v="11"/>
    <x v="10"/>
    <n v="80"/>
    <s v="0. Test 2025 PI Of. Mantenimiento"/>
    <n v="19"/>
    <s v="Según el DB HS, ¿Dónde se localiza el filtro de la instalación general de agua potable?"/>
    <s v="Antes de la llave de corte general."/>
    <s v="A continuación de la llave de corte general."/>
    <s v="Posterior al armario o arqueta del contador general"/>
    <m/>
    <s v="b"/>
  </r>
  <r>
    <x v="1"/>
    <n v="11"/>
    <x v="10"/>
    <n v="80"/>
    <s v="0. Test 2025 PI Of. Mantenimiento"/>
    <n v="20"/>
    <s v="Tal y como se indica en el HS4 Suministro de Agua, ¿Qué elementos de la instalación particular de agua deberán disponer de una llave de corte?"/>
    <s v="Una llave de corte individual, en todos los aparatos de descarga."/>
    <s v="Las derivaciones particulares."/>
    <s v="Ambas son correctas."/>
    <m/>
    <s v="c"/>
  </r>
  <r>
    <x v="1"/>
    <n v="11"/>
    <x v="10"/>
    <n v="80"/>
    <s v="0. Test 2025 PI Of. Mantenimiento"/>
    <n v="21"/>
    <s v="Según el RITE, modificado por el RD 17812021, de 23 de Marzo, para el dimensionamiento de los sistemas de calefacción ¿qué temperatura de cálculo de las condiciones interiores se empleará?"/>
    <s v="25º C"/>
    <s v="21º C"/>
    <s v="19º C"/>
    <m/>
    <s v="b"/>
  </r>
  <r>
    <x v="1"/>
    <n v="11"/>
    <x v="10"/>
    <n v="80"/>
    <s v="0. Test 2025 PI Of. Mantenimiento"/>
    <n v="22"/>
    <s v="El asiento de un inodoro se cierra de golpe y ya no cierra suavemente, ¿qué herramienta de las indicadas a continuación usaría para su reparación?"/>
    <s v="Llave Allen."/>
    <s v="Llave Inglesa."/>
    <s v="Llave de Lavabo."/>
    <m/>
    <s v="a"/>
  </r>
  <r>
    <x v="1"/>
    <n v="11"/>
    <x v="10"/>
    <n v="80"/>
    <s v="0. Test 2025 PI Of. Mantenimiento"/>
    <n v="23"/>
    <s v="Cuando se purgan todos los radiadores disponibles ¿qué consecuencias tendrá esta acción sobre la presión del circuito de calefacción?"/>
    <s v="El purgado de los radiadores produce una bajada de la presión del circuito."/>
    <s v="El purgado de los radiadores no afecta a la presión del circuito."/>
    <s v="El purgado de los radiadores produce una subida de la presión del circuito."/>
    <m/>
    <s v="a"/>
  </r>
  <r>
    <x v="1"/>
    <n v="18"/>
    <x v="18"/>
    <n v="80"/>
    <s v="0. Test 2025 PI Of. Mantenimiento"/>
    <n v="24"/>
    <s v="¿A qué corresponden las letras CMYK en una fotocopiadora? Señale la respuesta correcta o más correcta."/>
    <s v="Al modelo de color usado para el mundo digital no impreso, también denominado RGB."/>
    <s v="Al modelo habitual de impresión usado para las fotocopiadoras en blanco y negro."/>
    <s v="Al modelo de color usado para las fotocopiadoras habitualmente."/>
    <m/>
    <s v="c"/>
  </r>
  <r>
    <x v="1"/>
    <n v="18"/>
    <x v="18"/>
    <n v="80"/>
    <s v="0. Test 2025 PI Of. Mantenimiento"/>
    <n v="25"/>
    <s v="Necesita realizar un escaneo de un documento directamente sin usar un ordenador ¿Cuál de estos equipos le ofrece la posibilidad de realizarlo?"/>
    <s v="Fotocopiadora Offset."/>
    <s v="Equipo Multifunción."/>
    <s v="Ninguna de las dos porque es necesario un equipo externo para configurar previamente el documento."/>
    <m/>
    <s v="b"/>
  </r>
  <r>
    <x v="1"/>
    <n v="18"/>
    <x v="18"/>
    <n v="80"/>
    <s v="0. Test 2025 PI Of. Mantenimiento"/>
    <n v="26"/>
    <s v="¿Para qué se usa la bandeja de recepción en una máquina fotocopiadora?"/>
    <s v="Situada en la parte exterior de la fotocopiadora, su función consiste en depositar el documento fotocopiado."/>
    <s v="En esta bandeja se encuentra depositado el papel que se va a utilizar para reproducir el documento original."/>
    <s v="Situada habitualmente en la parte superior de la fotocopiadora, su función es la de cargar automáticamente los documentos a fotocopiar."/>
    <m/>
    <s v="a"/>
  </r>
  <r>
    <x v="1"/>
    <n v="27"/>
    <x v="22"/>
    <n v="80"/>
    <s v="0. Test 2025 PI Of. Mantenimiento"/>
    <n v="27"/>
    <s v="Cuá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l apartado a) menos la puesta a tierra y en cortocircuito."/>
    <s v="Las anteriores del apartado a) menos la delimitación y señalización de zona de trabajo"/>
    <m/>
    <s v="a"/>
  </r>
  <r>
    <x v="1"/>
    <n v="9"/>
    <x v="23"/>
    <n v="80"/>
    <s v="0. Test 2025 PI Of. Mantenimiento"/>
    <n v="28"/>
    <s v="La energía activa que consume un equipo se mide en"/>
    <s v="Watios."/>
    <s v="KWh."/>
    <s v="Voltios."/>
    <m/>
    <s v="b"/>
  </r>
  <r>
    <x v="1"/>
    <n v="9"/>
    <x v="23"/>
    <n v="80"/>
    <s v="0. Test 2025 PI Of. Mantenimiento"/>
    <n v="29"/>
    <s v="Cuando se realizan reparaciones eléctricas, es importante:"/>
    <s v="Llevar herramientas y guantes aislantes."/>
    <s v="Realizar los trabajos muy rápido."/>
    <s v="Utilizar herramientas con mangos y asideros metálicos"/>
    <m/>
    <s v="a"/>
  </r>
  <r>
    <x v="1"/>
    <n v="9"/>
    <x v="23"/>
    <n v="80"/>
    <s v="0. Test 2025 PI Of. Mantenimiento"/>
    <n v="30"/>
    <s v="La iluminancia o iluminación:"/>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80"/>
    <s v="0. Test 2025 PI Of. Mantenimiento"/>
    <n v="31"/>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9"/>
    <x v="23"/>
    <n v="80"/>
    <s v="0. Test 2025 PI Of. Mantenimiento"/>
    <n v="32"/>
    <s v="Un reloj programador horario nos permite:"/>
    <s v="El encendido y apagado de la calefacción y de la iluminación."/>
    <s v="La modificación de la consigna de temperatura en calefacción"/>
    <s v="Aumentar y disminuir la intensidad luminosa."/>
    <m/>
    <s v="a"/>
  </r>
  <r>
    <x v="1"/>
    <n v="17"/>
    <x v="17"/>
    <n v="80"/>
    <s v="0. Test 2025 PI Of. Mantenimiento"/>
    <n v="33"/>
    <s v="El cable HDMI del equipo permite la alimentación eléctrica del equipo."/>
    <s v="No."/>
    <s v="Sí, siempre."/>
    <s v="Sí, pero solo en los ordenadores de sobremesa."/>
    <m/>
    <s v="a"/>
  </r>
  <r>
    <x v="1"/>
    <n v="12"/>
    <x v="11"/>
    <n v="80"/>
    <s v="0. Test 2025 PI Of. Mantenimiento"/>
    <n v="34"/>
    <s v="¿Qué es un cepillo redondo de carpintero?"/>
    <s v="Es un cepillo combinado con una serie de cuchillas adicionales, que sirve para hacer molduras de cuarto bocel, de pecho paloma, de media caña y de baquetón."/>
    <s v="Es un cepillo con una caja o prisma perfectamente curvo y se utiliza para el labrado de los espaldones curvos."/>
    <s v="Es semejante al cepillo de debastar, en lo que se refiere a cuchilla, el contrahierro y la cuña; pero la base está hecha de una plancha de acero flexible que se ajusta mediante una tuerca pudiendo formar una superficie cóncava o convexa."/>
    <m/>
    <s v="c"/>
  </r>
  <r>
    <x v="1"/>
    <n v="12"/>
    <x v="11"/>
    <n v="80"/>
    <s v="0. Test 2025 PI Of. Mantenimiento"/>
    <n v="35"/>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profunda."/>
    <s v="Es un escoplo acodado, que se utiliza para hacer escopleaduras en los lugares de difícil acceso."/>
    <m/>
    <s v="a"/>
  </r>
  <r>
    <x v="1"/>
    <n v="12"/>
    <x v="11"/>
    <n v="80"/>
    <s v="0. Test 2025 PI Of. Mantenimiento"/>
    <n v="36"/>
    <s v="¿Cuál es la finalidad del triscado en una sierra?"/>
    <s v="Lubricar el paso de la hoja para que el corte sea fino."/>
    <s v="Evitar que se clave o se agarrote la sierra."/>
    <s v="Fijar de forma segura la hoja de la sierra con el mango"/>
    <m/>
    <s v="b"/>
  </r>
  <r>
    <x v="1"/>
    <n v="12"/>
    <x v="11"/>
    <n v="80"/>
    <s v="0. Test 2025 PI Of. Mantenimiento"/>
    <n v="37"/>
    <s v="Con el cortador a inglete o cizalla de ingletes que sirve para cortar los listones a inglete."/>
    <s v="Las superficies de corte que se consiguen requieren un trabajo posterior de ajuste y lijado ."/>
    <s v="Las superficies de corte que se consiguen requieren un trabajo posterior de reembalso para asegurarnos el ajuste."/>
    <s v="Las superficies de corte que se consiguen son tan limpias y precisas que no se necesita un trabajo posterior."/>
    <m/>
    <s v="c"/>
  </r>
  <r>
    <x v="1"/>
    <n v="12"/>
    <x v="11"/>
    <n v="80"/>
    <s v="0. Test 2025 PI Of. Mantenimiento"/>
    <n v="38"/>
    <s v="En las uniones desmontables de muebles de cocina ¿dónde va alojado, normalmente, la excéntrica y dónde el bulón de unión?"/>
    <s v="La excéntrica en la balda y el bulón de unión en los costados laterales"/>
    <s v="El bulón de unión en la balda y la excéntrica los costados laterales."/>
    <s v="El bulón de unión en el zócalo y la excéntrica en la balda de arriba."/>
    <m/>
    <s v="a"/>
  </r>
  <r>
    <x v="1"/>
    <n v="12"/>
    <x v="11"/>
    <n v="80"/>
    <s v="0. Test 2025 PI Of. Mantenimiento"/>
    <n v="39"/>
    <s v="¿De estos dos ensambles cuál tiene más superficie de encolado?"/>
    <s v="Ensamble media madera a inglete."/>
    <s v="Ensamble media madera a escuadra."/>
    <s v="Los dos tipos de ensambles tienen la misma superficie de encolado."/>
    <m/>
    <s v="b"/>
  </r>
  <r>
    <x v="1"/>
    <n v="13"/>
    <x v="12"/>
    <n v="80"/>
    <s v="0. Test 2025 PI Of. Mantenimiento"/>
    <n v="40"/>
    <s v="¿Qué elementos son los que componen el interior del cilindro de un bombillo?"/>
    <s v="Palanca retractora, palanca impulsora y diente."/>
    <s v="Fayeba, gozne y pestillo."/>
    <s v="Resortes, pernos y contrapernos."/>
    <m/>
    <s v="c"/>
  </r>
  <r>
    <x v="1"/>
    <n v="10"/>
    <x v="9"/>
    <n v="80"/>
    <s v="0. Test 2025 PI Of. Mantenimiento"/>
    <s v="R1"/>
    <s v="Cales que se componen principalmente de óxido e hidróxido de calcio y magnesio, y no presentan propiedades hidráulicas, es decir, no endurecen con el agua. Nos referimos a:"/>
    <s v="Cales aéreas."/>
    <s v="Cales hidráulicas."/>
    <s v="Cal muerta o cal apagada."/>
    <m/>
    <s v="a"/>
  </r>
  <r>
    <x v="1"/>
    <n v="17"/>
    <x v="17"/>
    <n v="80"/>
    <s v="0. Test 2025 PI Of. Mantenimiento"/>
    <s v="R2"/>
    <s v="¿Qué es un vídeo proyector?"/>
    <s v="Es similar a una cámara fotográfica."/>
    <s v="Es un aparato óptico que recibe una señal de video y proyecta la imagen en una pantalla de proyección usando un sistema de lentes. Permite mostrar imágenes fijas o en movimiento."/>
    <s v="Ninguna de las anteriores es correcta."/>
    <m/>
    <s v="b"/>
  </r>
  <r>
    <x v="1"/>
    <n v="10"/>
    <x v="9"/>
    <n v="80"/>
    <s v="0. Test 2025 PI Of. Mantenimiento"/>
    <s v="R3"/>
    <s v="Si estamos trabajando en la ejecución de un muro impermeable, que dosificación de mortero deberemos usar. De las señaladas, señalar la más óptima."/>
    <s v="1 de cemento, 1 de cal y 6 de arena."/>
    <s v="1 parte de cemento, 2 de cal y 6 de arena."/>
    <s v="1 de cemento, 1 de cal y 10 de arena."/>
    <m/>
    <s v="a"/>
  </r>
  <r>
    <x v="1"/>
    <n v="27"/>
    <x v="22"/>
    <n v="80"/>
    <s v="0. Test 2025 PI Of. Mantenimiento"/>
    <s v="R4"/>
    <s v="Según el Manual Básico de Prevención de Riesgos Laborales del Ayuntamiento de Zaragoza, los trabajadores tienen derecho:"/>
    <s v="A recibir gratuitamente los equipos de protección individual necesarios para el desempeño de sus funciones."/>
    <s v="A recibir los equipos de protección individual necesarios para el desempeño de sus funciones."/>
    <s v="Ninguna de las respuestas anteriores es correcta."/>
    <m/>
    <s v="a"/>
  </r>
  <r>
    <x v="1"/>
    <n v="27"/>
    <x v="22"/>
    <n v="80"/>
    <s v="0. Test 2025 PI Of. Mantenimiento"/>
    <s v="R5"/>
    <s v="Según el Manual Básico de Prevención de Riesgos Laborales del Ayuntamiento de Zaragoza, los trabajadores tienen derecho a ser informados acerca:"/>
    <s v="De las situaciones y medidas de emergencia."/>
    <s v="De primeros auxilios y evacuación."/>
    <s v="Las respuestas a) y b) son correctas."/>
    <m/>
    <s v="c"/>
  </r>
  <r>
    <x v="1"/>
    <n v="0"/>
    <x v="29"/>
    <n v="81"/>
    <s v="0. Pract. 2025 PI Of. Mantenimiento"/>
    <n v="1"/>
    <s v="Las piezas de ladrillo no suficientemente humedecidas provocarán la deshidratación de la pasta por succión excesiva de aquellas, que sustraerán el agua del mortero imprescindible para la reacción del cemento. Esto provoca una lesión denominada:"/>
    <s v="Eflorescencia."/>
    <s v="Afogaramiento"/>
    <s v="Calcinosis."/>
    <s v="Aluminosis."/>
    <s v="b"/>
  </r>
  <r>
    <x v="1"/>
    <n v="0"/>
    <x v="29"/>
    <n v="81"/>
    <s v="0. Pract. 2025 PI Of. Mantenimiento"/>
    <n v="2"/>
    <s v="Las baldosas que debemos sustituir deben reunir unas características determinadas definidas en la normativa de azulejos. Según la normativa, qué tipo tiene la menor resistencia al deslizamiento:"/>
    <s v="C0."/>
    <s v="C3."/>
    <s v="C1."/>
    <s v="C2."/>
    <s v="a"/>
  </r>
  <r>
    <x v="1"/>
    <n v="0"/>
    <x v="29"/>
    <n v="81"/>
    <s v="0. Pract. 2025 PI Of. Mantenimiento"/>
    <n v="3"/>
    <s v="Qué tipo de azulejo se debería elegir para la zona de bar y cocina"/>
    <s v="C0."/>
    <s v="C3."/>
    <s v="C1."/>
    <s v="C2."/>
    <s v="b"/>
  </r>
  <r>
    <x v="1"/>
    <n v="0"/>
    <x v="29"/>
    <n v="81"/>
    <s v="0. Pract. 2025 PI Of. Mantenimiento"/>
    <n v="4"/>
    <s v="Qué tipo de azulejo se debería elegir para la zona de salón de juegos:"/>
    <s v="C0."/>
    <s v="C3"/>
    <s v="C1"/>
    <s v="C2"/>
    <s v="d"/>
  </r>
  <r>
    <x v="1"/>
    <n v="0"/>
    <x v="29"/>
    <n v="81"/>
    <s v="0. Pract. 2025 PI Of. Mantenimiento"/>
    <n v="8"/>
    <s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
    <s v="No se deben mantener,"/>
    <s v="Cada 6 meses."/>
    <s v="Cada 10 años."/>
    <s v="Una vez al año."/>
    <s v="d"/>
  </r>
  <r>
    <x v="1"/>
    <n v="0"/>
    <x v="29"/>
    <n v="81"/>
    <s v="0. Pract. 2025 PI Of. Mantenimiento"/>
    <n v="9"/>
    <s v="Otra de las tareas propias del mantenimiento es la limpieza de los elementos de desagüe (sumideros, canalones y rebosaderos) y comprobación de su correcto funcionamiento. ¿Con qué periodicidad se revisarán, según normativa?"/>
    <s v="Una vez al año, además cada vez que haya habido tormentas importantes"/>
    <s v="Cada 2 años."/>
    <s v="Cada 3 años."/>
    <s v="Cada 4 años."/>
    <s v="a"/>
  </r>
  <r>
    <x v="1"/>
    <n v="0"/>
    <x v="29"/>
    <n v="81"/>
    <s v="0. Pract. 2025 PI Of. Mantenimiento"/>
    <n v="10"/>
    <s v="Y por último, otra de las tareas que debe realizar un Oficial de Mantenimiento es la comprobación del estado de limpieza de las llagas o de las aberturas de ventilación de la cámara. ¿Con qué periodicidad se revisarán, según normativa?"/>
    <s v="Cada 5 años."/>
    <s v="Cada 10 años."/>
    <s v="Cada 3 años."/>
    <s v="Una vez al año, además cada vez que haya vientos fuertes"/>
    <s v="b"/>
  </r>
  <r>
    <x v="1"/>
    <n v="0"/>
    <x v="29"/>
    <n v="81"/>
    <s v="0. Pract. 2025 PI Of. Mantenimiento"/>
    <n v="23"/>
    <s v="En el interior de los edificios municipales, donde se permite el tránsito de personas el voltaje puede ser:"/>
    <s v="5000 Voltios."/>
    <s v="1250 Voltios."/>
    <s v="230 Voltios."/>
    <s v="1000 Voltios."/>
    <s v="c"/>
  </r>
  <r>
    <x v="1"/>
    <n v="0"/>
    <x v="29"/>
    <n v="81"/>
    <s v="0. Pract. 2025 PI Of. Mantenimiento"/>
    <n v="31"/>
    <s v="Es una puerta doble que tiene pasadores de gatillo embutidos arriba y abajo en la puerta secundaria. El de abajo no sube del todo y no queda enrasado con el canto; por lo cual, la puerta que lleva el bombillo pega en el gatillo y no se puede cerrar. ¿Cuál será su problema?"/>
    <s v="El cambrón de la puerta secundaria no está a la altura correcta para que se introduzca el cerrojo."/>
    <s v="El alojamiento del pasador en el suelo de terrazo está obstruído y lleno de suciedad."/>
    <s v="El resbalón de la cerradura está demasiado engrasado."/>
    <s v="Las tres respuestas anteriores son correctas."/>
    <s v="b"/>
  </r>
  <r>
    <x v="1"/>
    <n v="0"/>
    <x v="29"/>
    <n v="81"/>
    <s v="0. Pract. 2025 PI Of. Mantenimiento"/>
    <n v="32"/>
    <s v="Cuando hemos resuelto el problema anterior observamos que la puerta se cierra solo con el resbalón y no se puede girar la llave. Hace un cuarto de giro y no se puede dejar cerrada. ¿Cuál será el motivo?"/>
    <s v="El resbalón de la cerradura está demasiado engrasado."/>
    <s v="No hemos introducido la llave correcta."/>
    <s v="El cambrón de la puerta secundaria no está a la altura correcta para que se introduzca el cerrojo."/>
    <s v="El alojamiento del pasador en el suelo de terrazo está obstruído y lleno de suciedad."/>
    <s v="c"/>
  </r>
  <r>
    <x v="1"/>
    <n v="0"/>
    <x v="29"/>
    <n v="81"/>
    <s v="0. Pract. 2025 PI Of. Mantenimiento"/>
    <n v="33"/>
    <s v="Cuando hemos resuelto el problema anterior nos damos cuenta de que la segunda vuelta de la llave en el bombillo no se realiza por completo. Por lo tanto no podemos sacar la llave en esta posición. ¿Cómo solucionaremos este problema?"/>
    <s v="Recreciendo la caja donde se aloja el cerrojo de la cerradura"/>
    <s v="Cambiando la bisagra del medio."/>
    <s v="Introduciendo la llave correcta."/>
    <s v="Las tres respuestas anteriores son correctas."/>
    <s v="a"/>
  </r>
  <r>
    <x v="1"/>
    <n v="0"/>
    <x v="29"/>
    <n v="81"/>
    <s v="0. Pract. 2025 PI Of. Mantenimiento"/>
    <n v="34"/>
    <s v="Una vez reparados los problemas anteriores vemos que la puerta secundaria no tiene tapeta. ¿Cuál es la función de la tapeta en este tipo de puertas?"/>
    <s v="Ocultar el espacio o junta de encuentro, dejando un acabado uniforme"/>
    <s v="Ayudar a reducir corrientes de aire, luz o ruido entre hojas."/>
    <s v="Dar un aspecto uniforme y elegante a la puerta doble."/>
    <s v="Las tres respuestas anteriores son correctas."/>
    <s v="d"/>
  </r>
  <r>
    <x v="1"/>
    <n v="0"/>
    <x v="29"/>
    <n v="81"/>
    <s v="0. Pract. 2025 PI Of. Mantenimiento"/>
    <n v="35"/>
    <s v="Si las dos hojas de la puerta abren hacia el interior del Aula, una a derechas y la otra a izquierda, ¿dónde tendremos que poner la tapeta?"/>
    <s v="En la puerta secundaria, en la cara que da al pasillo."/>
    <s v="En la puerta primaria, en la cara que da al pasillo."/>
    <s v="En la puerta secundaria, en la cara que da al Aula."/>
    <s v="Las tres respuestas anteriores son correctas."/>
    <s v="a"/>
  </r>
  <r>
    <x v="1"/>
    <n v="0"/>
    <x v="29"/>
    <n v="81"/>
    <s v="0. Pract. 2025 PI Of. Mantenimiento"/>
    <n v="36"/>
    <s v="La directora del centro nos ha dado orden de cambiar el bombillo por otro nuevo que está amaestrado con el resto de llaves del centro. ¿Qué operaciones y en qué orden serán realizadas para cambiar el bombillo?"/>
    <s v="Quitaremos el bombillo con un extractor, sin necesidad de abrir la puerta, y lo cambiaremos por el nuevo."/>
    <s v="Con la llave del bombillo que tenemos que cambiar abriremos la puerta, una vez abierta desmontaremos las tapetas del lado exterior de la puerta, para poder acceder a la placa del pestillo y desde allí podremos cambiar el bombillo viejo por el nuevo."/>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9"/>
    <n v="81"/>
    <s v="0. Pract. 2025 PI Of. Mantenimiento"/>
    <n v="37"/>
    <s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
    <s v="Que a la última persona que ha manipulado la persiana se le ha partido la cinta cuando estaba a media altura."/>
    <s v="Que la cinta estaba muy desgastada por el uso y al intentar subirla se ha partido la cinta."/>
    <s v="Que las lamas no estaban bien alineadas y al subir se ha atascado la persiana y como hemos seguido tirando al final se ha partido la cinta."/>
    <s v="Las tres respuestas anteriores podrían ser correctas."/>
    <s v="d"/>
  </r>
  <r>
    <x v="1"/>
    <n v="0"/>
    <x v="29"/>
    <n v="81"/>
    <s v="0. Pract. 2025 PI Of. Mantenimiento"/>
    <n v="38"/>
    <s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
    <s v="C, B, D, A, E."/>
    <s v="D, A, E, B, C."/>
    <s v="B, C, A, E, D."/>
    <s v="A, D, C, B, E."/>
    <s v="b"/>
  </r>
  <r>
    <x v="1"/>
    <n v="0"/>
    <x v="29"/>
    <n v="81"/>
    <s v="0. Pract. 2025 PI Of. Mantenimiento"/>
    <n v="39"/>
    <s v="¿Cuál será la medida mínima de largo de la cinta en una persiana?"/>
    <s v="La misma altura que la persiana más un metro."/>
    <s v="El doble de la altura de la persiana más un metro."/>
    <s v="El doble de la altura de la persiana menos un metro."/>
    <s v="La misma altura que la persiana menos un metro."/>
    <s v="b"/>
  </r>
  <r>
    <x v="1"/>
    <n v="0"/>
    <x v="29"/>
    <n v="81"/>
    <s v="0. Pract. 2025 PI Of. Mantenimiento"/>
    <n v="40"/>
    <s v="Para la realización de todos los trabajos que hemos tenido que hacer, según los enunciados anteriores, qué tipo de Normativa hemos tenido que aplicar en cuanto a Seguridad, para nosotros como trabajadores y para el resto de usuarios del Centro?"/>
    <s v="Tendríamos que aplicar la Norma UNE-EN 1125 (seguridad en puertas de paso)."/>
    <s v="No hay normativa específica, para este caso, más allá de la Prevención de Riesgos Laborales, que sería equipos de protección individual y señalización de la zona de trabajo."/>
    <s v="Tendríamos que aplicar la Norma UNE-EN 16005 (seguridad en puertas de paso)."/>
    <s v="Las tres respuestas anteriores son correctas."/>
    <s v="b"/>
  </r>
  <r>
    <x v="0"/>
    <n v="6"/>
    <x v="5"/>
    <n v="82"/>
    <s v="0. Test 2025 PI DS Of. Mantenimiento"/>
    <n v="1"/>
    <s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
    <s v="Deberes de los empleados públicos. Código de Conducta."/>
    <s v="Principios éticos."/>
    <s v="Principios de conducta."/>
    <m/>
    <s v="c"/>
  </r>
  <r>
    <x v="0"/>
    <n v="6"/>
    <x v="5"/>
    <n v="82"/>
    <s v="0. Test 2025 PI DS Of. Mantenimiento"/>
    <n v="2"/>
    <s v="El Real Decreto Legislativo 5/2015, de 30 de octubre, por el que se aprueba el texto refundido de la Ley del Estatuto Básico del Empleado Público, dice en el artículo 54,4 que los empleados públicos facilitarán a los ciudadanos:"/>
    <s v="El ejercicio de sus derechos y el cumplimiento de sus obligaciones"/>
    <s v="El cumplimiento de sus obligaciones."/>
    <s v="El ejercicio de sus derechos."/>
    <m/>
    <s v="a"/>
  </r>
  <r>
    <x v="0"/>
    <n v="6"/>
    <x v="5"/>
    <n v="82"/>
    <s v="0. Test 2025 PI DS Of. Mantenimiento"/>
    <n v="3"/>
    <s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
    <s v="Del régimen económico de los empleados públicos."/>
    <s v="Del régimen disciplinario de los empleados públicos."/>
    <s v="Del régimen presupuestario de los empleados públicos"/>
    <m/>
    <s v="b"/>
  </r>
  <r>
    <x v="0"/>
    <n v="27"/>
    <x v="22"/>
    <n v="82"/>
    <s v="0. Test 2025 PI DS Of. Mantenimiento"/>
    <n v="4"/>
    <s v="De acuerdo con el Manual Básico de Prevención de Riesgos Laborales del Ayuntamiento de Zaragoza todos los trabajadores tienen derecho:"/>
    <s v="A la contribución de la salud"/>
    <s v="A la vigilancia de la salud."/>
    <s v="A la pervivencia de la salud."/>
    <m/>
    <s v="b"/>
  </r>
  <r>
    <x v="0"/>
    <n v="27"/>
    <x v="22"/>
    <n v="82"/>
    <s v="0. Test 2025 PI DS Of. Mantenimiento"/>
    <n v="5"/>
    <s v="De acuerdo con el Manual Básico de Prevención de Riesgos Laborales del Ayuntamiento de Zaragoza, contribuir al cumplimiento de las obligaciones establecidas por la autoridad competente:"/>
    <s v="Es un derecho de los trabajadores."/>
    <s v="Es un deber de los trabajadores."/>
    <s v="Es un derecho y un deber de los trabajadores"/>
    <m/>
    <s v="b"/>
  </r>
  <r>
    <x v="0"/>
    <n v="27"/>
    <x v="22"/>
    <n v="82"/>
    <s v="0. Test 2025 PI DS Of. Mantenimiento"/>
    <n v="6"/>
    <s v="¿En qué año se aprobó el Manual Básico de Prevención de Riesgos Laborales del Ayuntamiento de Zaragoza?"/>
    <s v="En 2005."/>
    <s v="En 2015."/>
    <s v="Ninguna de las respuestas anteriores es correcta."/>
    <m/>
    <s v="b"/>
  </r>
  <r>
    <x v="0"/>
    <n v="8"/>
    <x v="8"/>
    <n v="82"/>
    <s v="0. Test 2025 PI DS Of. Mantenimiento"/>
    <n v="7"/>
    <s v="El vigente Plan de Igualdad para empleadas y empleados del Ayuntamiento de Zaragoza fue aprobado el 22 de diciembre 2023:"/>
    <s v="Por el Alcalde."/>
    <s v="Por el Gobierno de Zaragoza"/>
    <s v="Por el Pleno"/>
    <m/>
    <s v="b"/>
  </r>
  <r>
    <x v="0"/>
    <n v="8"/>
    <x v="8"/>
    <n v="82"/>
    <s v="0. Test 2025 PI DS Of. Mantenimiento"/>
    <n v="8"/>
    <s v="El vigente Plan de Igualdad para empleadas y empleados del Ayuntamiento de Zaragoza afirma en su apartado 2 (marco normativo) que la igualdad entre hombres y mujeres está reconocida en normativa:"/>
    <s v="De ámbito internacional y de ámbito nacional."/>
    <s v="De ámbito autonómico y de ámbito municipal"/>
    <s v="Las respuestas a) y b) son correctas."/>
    <m/>
    <s v="c"/>
  </r>
  <r>
    <x v="0"/>
    <n v="8"/>
    <x v="8"/>
    <n v="82"/>
    <s v="0. Test 2025 PI DS Of. Mantenimiento"/>
    <n v="9"/>
    <s v="Según el vigente Plan de Igualdad para empleadas y empleados del Ayuntamiento de Zaragoza la Constitución española de 1978:"/>
    <s v="No reconoce la igualdad y la no discriminación por razón de sexo."/>
    <s v="Reconoce en su artículo 14 la igualdad y la no discriminación por razón de sexo."/>
    <s v="Reconoce la igualdad y la no discriminación por razón de sexo."/>
    <m/>
    <s v="b"/>
  </r>
  <r>
    <x v="1"/>
    <n v="25"/>
    <x v="21"/>
    <n v="82"/>
    <s v="0. Test 2025 PI DS Of. Mantenimiento"/>
    <n v="10"/>
    <s v="Según el Manual de Atención a la Ciudadanía del Ayuntamiento de Zaragoza, como norma general ¿quién debe tomar la iniciativa, iniciar el saludo y centrar el diálogo?"/>
    <s v="El ciudadano."/>
    <s v="El empleado público."/>
    <s v="Indistintamente el ciudadano o el empleado público."/>
    <m/>
    <s v="b"/>
  </r>
  <r>
    <x v="1"/>
    <n v="10"/>
    <x v="9"/>
    <n v="82"/>
    <s v="0. Test 2025 PI DS Of. Mantenimiento"/>
    <n v="11"/>
    <s v="Recipiente para amasar pequeñas cantidades de mortero, nos referimos a:"/>
    <s v="Cedazo metálico."/>
    <s v="Regola de aluminio."/>
    <s v="Artesa de plástico."/>
    <m/>
    <s v="c"/>
  </r>
  <r>
    <x v="1"/>
    <n v="10"/>
    <x v="9"/>
    <n v="82"/>
    <s v="0. Test 2025 PI DS Of. Mantenimiento"/>
    <n v="12"/>
    <s v="CEM II/C-M. Las siglas hacen referencia a un cemento:"/>
    <s v="Cemento rápido."/>
    <s v="Cemento compuesto."/>
    <s v="Cemento pórtland compuesto."/>
    <m/>
    <s v="c"/>
  </r>
  <r>
    <x v="1"/>
    <n v="10"/>
    <x v="9"/>
    <n v="82"/>
    <s v="0. Test 2025 PI DS Of. Mantenimiento"/>
    <n v="13"/>
    <s v="EN 197-1- CEM I 42,5 N. La denominación corresponde a un cemento pórtland pero, ¿qué significa 42,5 N?"/>
    <s v="Clase resistente 42,5 y alta resistencia nominal."/>
    <s v="Clase resistente 42,5 y resistencia inicial normal"/>
    <s v="Clase resistente 42,5 y baja resistencia nominal."/>
    <m/>
    <s v="b"/>
  </r>
  <r>
    <x v="1"/>
    <n v="10"/>
    <x v="9"/>
    <n v="82"/>
    <s v="0. Test 2025 PI DS Of. Mantenimiento"/>
    <n v="14"/>
    <s v="Son partículas con diámetro equivalente mayor de 2 mm. llegando hasta 20 cm., formadas al desintegrarse la roca, y el transporte es generalmente arrastrado por el agua. Nos referimos a:"/>
    <s v="Arenas."/>
    <s v="Gravas."/>
    <s v="Bolos."/>
    <m/>
    <s v="b"/>
  </r>
  <r>
    <x v="1"/>
    <n v="10"/>
    <x v="9"/>
    <n v="82"/>
    <s v="0. Test 2025 PI DS Of. Mantenimiento"/>
    <n v="15"/>
    <s v="Son agregados de partículas microscópicas (diámetro equivalente por debajo de 0,002 mm.) que proceden por la erosión física y química de las rocas, dando lugar a materiales cuya constitución es distinta de la roca primitiva. Señale la respuesta correcta:"/>
    <s v="Limo orgánico"/>
    <s v="Arena."/>
    <s v="Arcilla."/>
    <m/>
    <s v="c"/>
  </r>
  <r>
    <x v="1"/>
    <n v="10"/>
    <x v="9"/>
    <n v="82"/>
    <s v="0. Test 2025 PI DS Of. Mantenimiento"/>
    <n v="16"/>
    <s v="Revestimiento con yeso, utilización. Se aplica para revestir superficies cerámicas o de hormigón, en paredes y en techos, cuando su terminación deba realizarse con pinturas rugosas, papel de poco cuerpo o acabado de análogo poder cubriente. Nos referimos a:"/>
    <s v="El guarnecido"/>
    <s v="El tendido."/>
    <s v="El revoco."/>
    <m/>
    <s v="b"/>
  </r>
  <r>
    <x v="1"/>
    <n v="10"/>
    <x v="9"/>
    <n v="82"/>
    <s v="0. Test 2025 PI DS Of. Mantenimiento"/>
    <n v="17"/>
    <s v="En construcción, según la normativa actual, la denominación A (yesos de construcción y conglomerantes), hace referencia entre otros a:"/>
    <s v="Yeso fino de construcción YF."/>
    <s v="Yeso grueso de construcción YG."/>
    <s v="Escayola E 35 Lenta E."/>
    <m/>
    <s v="c"/>
  </r>
  <r>
    <x v="1"/>
    <n v="10"/>
    <x v="9"/>
    <n v="82"/>
    <s v="0. Test 2025 PI DS Of. Mantenimiento"/>
    <n v="18"/>
    <s v="Alicatado. Según la Norma Española para la Instalación de Baldosas Cerámicas, uno de los requisitos mínimos para los adhesivos será tener la:"/>
    <s v="Certificación Euroclase A para zonas húmedas."/>
    <s v="Certificación Euroclase E para zonas húmedas."/>
    <s v="Certificación Euroclase F para zonas húmedas."/>
    <m/>
    <s v="b"/>
  </r>
  <r>
    <x v="1"/>
    <n v="11"/>
    <x v="10"/>
    <n v="82"/>
    <s v="0. Test 2025 PI DS Of. Mantenimiento"/>
    <n v="19"/>
    <s v="¿Cuál es la mejor práctica para mantener en buen estado una llave de paso?"/>
    <s v="Mantenerla siempre medio abierta."/>
    <s v="Abrirla y cerrarla periódicamente."/>
    <s v="Envolverla con materiales fáciles de sustituir que la protejan de cambios de temperatura y suciedad."/>
    <m/>
    <s v="b"/>
  </r>
  <r>
    <x v="1"/>
    <n v="11"/>
    <x v="10"/>
    <n v="82"/>
    <s v="0. Test 2025 PI DS Of. Mantenimiento"/>
    <n v="20"/>
    <s v="¿Cuál es la causa más probable de una fuga en una tubería de cobre en un local antiguo?"/>
    <s v="Exceso de presión en la red."/>
    <s v="Dilatación y contracción excesiva por cambios bruscos de temperatura."/>
    <s v="Corrosión galvánica debido a la interacción con otros materiales."/>
    <m/>
    <s v="c"/>
  </r>
  <r>
    <x v="1"/>
    <n v="11"/>
    <x v="10"/>
    <n v="82"/>
    <s v="0. Test 2025 PI DS Of. Mantenimiento"/>
    <n v="21"/>
    <s v="¿Qué herramienta es esencial para desenroscar un grifo atascado sin dañar la tubería?"/>
    <s v="Llave inglesa ajustable."/>
    <s v="Llave Stilson."/>
    <s v="Llave grifa."/>
    <m/>
    <s v="a"/>
  </r>
  <r>
    <x v="1"/>
    <n v="11"/>
    <x v="10"/>
    <n v="82"/>
    <s v="0. Test 2025 PI DS Of. Mantenimiento"/>
    <n v="22"/>
    <s v="¿Cuál es la función de un sifón en un desagüe?"/>
    <s v="Aumentar la velocidad del flujo del agua."/>
    <s v="Evitar el retorno de malos olores provenientes de la red de alcantarillado."/>
    <s v="Filtrar impurezas del agua residual."/>
    <m/>
    <s v="b"/>
  </r>
  <r>
    <x v="1"/>
    <n v="11"/>
    <x v="10"/>
    <n v="82"/>
    <s v="0. Test 2025 PI DS Of. Mantenimiento"/>
    <n v="23"/>
    <s v="¿Qué debe de hacer antes de intentar reparar una fuga en una tubería?"/>
    <s v="Aplicar cinta aislante para detener en la medida de lo posible la fuga y marcar el punto de rotura"/>
    <s v="Aumentar la presión del agua para localizar la fuga con mayor claridad."/>
    <s v="Cerrar la llave de paso general."/>
    <m/>
    <s v="c"/>
  </r>
  <r>
    <x v="1"/>
    <n v="11"/>
    <x v="10"/>
    <n v="82"/>
    <s v="0. Test 2025 PI DS Of. Mantenimiento"/>
    <n v="24"/>
    <s v="¿Qué indica un radiador que está frío en la parte superior y caliente en la parte inferior?"/>
    <s v="Exceso de presión en el circuito."/>
    <s v="Aire atrapado en el radiador."/>
    <s v="Lodo u óxido dentro del radiador"/>
    <m/>
    <s v="b"/>
  </r>
  <r>
    <x v="1"/>
    <n v="11"/>
    <x v="10"/>
    <n v="82"/>
    <s v="0. Test 2025 PI DS Of. Mantenimiento"/>
    <n v="25"/>
    <s v="¿Cuál es la función del vaso de expansión en un sistema de calefacción?"/>
    <s v="Almacenar agua caliente para su uso posterior."/>
    <s v="Compensar las variaciones de volumen de agua debido a los cambios de temperatura."/>
    <s v="Filtrar las impurezas del circuito."/>
    <m/>
    <s v="b"/>
  </r>
  <r>
    <x v="1"/>
    <n v="11"/>
    <x v="10"/>
    <n v="82"/>
    <s v="0. Test 2025 PI DS Of. Mantenimiento"/>
    <n v="26"/>
    <s v="¿Qué componente de un sistema de calefacción por radiadores controla el flujo de agua caliente a cada radiador individualmente?"/>
    <s v="Válvula termostática."/>
    <s v="Bomba de circulación"/>
    <s v="Fancoil."/>
    <m/>
    <s v="a"/>
  </r>
  <r>
    <x v="1"/>
    <n v="12"/>
    <x v="11"/>
    <n v="82"/>
    <s v="0. Test 2025 PI DS Of. Mantenimiento"/>
    <n v="27"/>
    <s v="¿Qué es un gramil?"/>
    <s v="Es un cepillo rascador, que tiene una cuchilla recta. Se emplea para trabajar bordes contorneados."/>
    <s v="Es un instrumento para trazar, cuyo tope con dos puntas de trazado en los dos brazos regulables permite marcar rayas paralelas a bordes rectos."/>
    <s v="Es del tamaño de una lima para sierras. Puede ser de sección redonda, oval o triangular."/>
    <m/>
    <s v="b"/>
  </r>
  <r>
    <x v="1"/>
    <n v="12"/>
    <x v="11"/>
    <n v="82"/>
    <s v="0. Test 2025 PI DS Of. Mantenimiento"/>
    <n v="28"/>
    <s v="El martillo de carpintero o de construcción consta de dos partes:"/>
    <s v="Una parte estrecha, llamada cotillo y una parte ancha llamada boca."/>
    <s v="Una parte ancha, llamada cotillo y una parte estrecha llamada boca."/>
    <s v="Una parte estrecha, llamada lumbrera y otra parte ancha llamada arma"/>
    <m/>
    <s v="b"/>
  </r>
  <r>
    <x v="1"/>
    <n v="13"/>
    <x v="12"/>
    <n v="82"/>
    <s v="0. Test 2025 PI DS Of. Mantenimiento"/>
    <n v="29"/>
    <s v="¿Cómo se llama la cerradura que cierra las puertas por sus cantos superior e inferior en los cuales sus varillas entran en los cerraderos o goznes de cierre que se encuentran respectivamente en el techo y en el suelo?"/>
    <s v="Cerraduras de cremona"/>
    <s v="Cerraduras de fayeba."/>
    <s v="Cerraduras entalladas"/>
    <m/>
    <s v="a"/>
  </r>
  <r>
    <x v="1"/>
    <n v="13"/>
    <x v="12"/>
    <n v="82"/>
    <s v="0. Test 2025 PI DS Of. Mantenimiento"/>
    <n v="30"/>
    <s v="¿Qué elementos son los que componen parte del interior del cilindro de un bombillo?"/>
    <s v="La palanca retractora, la palanca impulsora y el diente"/>
    <s v="Los goznes y el pestillo."/>
    <s v="Los resortes, los pernos y los contrapernos."/>
    <m/>
    <s v="c"/>
  </r>
  <r>
    <x v="1"/>
    <n v="12"/>
    <x v="11"/>
    <n v="82"/>
    <s v="0. Test 2025 PI DS Of. Mantenimiento"/>
    <n v="31"/>
    <s v="En el afilado de sierras ¿cuál debe de ser la altura del triscado?"/>
    <s v="No debe de ser superior al doble del grueso de la anchura de la hoja"/>
    <s v="Debe de ser aproximadamente sólo la mitad de la altura del diente."/>
    <s v="Debe de ser aproximadamente el doble de la altura del diente."/>
    <m/>
    <s v="b"/>
  </r>
  <r>
    <x v="1"/>
    <n v="12"/>
    <x v="11"/>
    <n v="82"/>
    <s v="0. Test 2025 PI DS Of. Mantenimiento"/>
    <n v="32"/>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s v="Es un escoplo acodado, que se utiliza para hacer escopleaduras en los lugares de difícil acceso."/>
    <m/>
    <s v="a"/>
  </r>
  <r>
    <x v="1"/>
    <n v="13"/>
    <x v="12"/>
    <n v="82"/>
    <s v="0. Test 2025 PI DS Of. Mantenimiento"/>
    <n v="33"/>
    <s v="¿Cómo se llama la placa metálica que se coloca como embellecedor alrededor de un ojo de cerradura abierto en la madera, o de un bombillo? La mayoría se fijan sobre la superficie, pero también los hay para embutir en la madera"/>
    <s v="Pestillo."/>
    <s v="Resbalón."/>
    <s v="Escudo o bocallave."/>
    <m/>
    <s v="c"/>
  </r>
  <r>
    <x v="1"/>
    <n v="11"/>
    <x v="10"/>
    <n v="82"/>
    <s v="0. Test 2025 PI DS Of. Mantenimiento"/>
    <n v="34"/>
    <s v="El retorno invertido en un sistema de calefacción:"/>
    <s v="Consiste en que el radiador que es alimentado en primer lugar tiene el retorno más corto."/>
    <s v="Consiste en que el radiador que es alimentado en primer lugar tiene el retorno más largo."/>
    <s v="Este sistema no se utiliza en sistemas de calefacción."/>
    <m/>
    <s v="b"/>
  </r>
  <r>
    <x v="1"/>
    <n v="11"/>
    <x v="10"/>
    <n v="82"/>
    <s v="0. Test 2025 PI DS Of. Mantenimiento"/>
    <n v="35"/>
    <s v="Para seleccionar la bomba en una instalación de calefacción nos basta con conocer:"/>
    <s v="Pérdidas totales de la instalación y caudal total de agua."/>
    <s v="El volumen del depósito de expansión y las pérdidas totales de la instalación"/>
    <s v="El combustible que utiliza la bomba de calor."/>
    <m/>
    <s v="a"/>
  </r>
  <r>
    <x v="1"/>
    <n v="11"/>
    <x v="10"/>
    <n v="82"/>
    <s v="0. Test 2025 PI DS Of. Mantenimiento"/>
    <n v="36"/>
    <s v="Un vaso de expansión"/>
    <s v="Absorbe el agua expandida debido a su calentamiento."/>
    <s v="Suministra energía a la instalación de calefacción."/>
    <s v="Sirve como depósito de agua en condiciones de ausencia de la misma"/>
    <m/>
    <s v="a"/>
  </r>
  <r>
    <x v="1"/>
    <n v="11"/>
    <x v="10"/>
    <n v="82"/>
    <s v="0. Test 2025 PI DS Of. Mantenimiento"/>
    <n v="37"/>
    <s v="Instalación de radiadores bitubular es"/>
    <s v="Cuando los radiadores se conectan en serie. La temperatura de entrada de los emisores disminuye según se alejan de la caldera. Un único tubo enlaza los radiadores."/>
    <s v="Cuando existen dos tuberías principales una de ida y otra de retorno, donde se van conectando los emisores. La temperatura de entrada a los radiadores es prácticamente la misma en todos."/>
    <s v="En sistemas de calefacción sólo se pueden hacer instalaciones monotubulares."/>
    <m/>
    <s v="b"/>
  </r>
  <r>
    <x v="1"/>
    <n v="9"/>
    <x v="23"/>
    <n v="82"/>
    <s v="0. Test 2025 PI DS Of. Mantenimiento"/>
    <n v="38"/>
    <s v="Para determinar la sección de las líneas eléctricas se han de tener en cuenta al menos los siguientes criterios:"/>
    <s v="La estética buscada arquitectónicamente."/>
    <s v="Criterio sobre el uso del edificio."/>
    <s v="Criterio de intensidad admisible y criterio de caída de tensión."/>
    <m/>
    <s v="c"/>
  </r>
  <r>
    <x v="1"/>
    <n v="9"/>
    <x v="23"/>
    <n v="82"/>
    <s v="0. Test 2025 PI DS Of. Mantenimiento"/>
    <n v="39"/>
    <s v="En los sistemas monofásicos de corriente alterna:"/>
    <s v="Se utilizan tres o cuatro conductores eléctricos para su distribución y consumo,"/>
    <s v="No existen sistemas monofásicos de corriente alterna."/>
    <s v="Se utilizan dos conductores eléctricos para su distribución y consumo."/>
    <m/>
    <s v="c"/>
  </r>
  <r>
    <x v="1"/>
    <n v="9"/>
    <x v="23"/>
    <n v="82"/>
    <s v="0. Test 2025 PI DS Of. Mantenimiento"/>
    <n v="40"/>
    <s v="Un interruptor general es"/>
    <s v="Es un elemento destinado a la protección de las personas. Desconecta la instalación cuando se produce una derivación en algún aparato o punto de la instalación."/>
    <s v="Es un elemento encargado de proteger de sobrecargas o cortocircuitos la instalación completa de la vivienda."/>
    <s v="Es un elemento de corte y protección de cada uno de los circuitos interiores."/>
    <m/>
    <s v="b"/>
  </r>
  <r>
    <x v="1"/>
    <n v="10"/>
    <x v="9"/>
    <n v="82"/>
    <s v="0. Test 2025 PI DS Of. Mantenimiento"/>
    <s v="R1"/>
    <s v="Endurecen en contacto con el agua. Nos referimos a las:"/>
    <s v="Cales aéreas."/>
    <s v="Cales hidráulicas."/>
    <s v="Cal muerta o cal apagada."/>
    <m/>
    <s v="b"/>
  </r>
  <r>
    <x v="1"/>
    <n v="12"/>
    <x v="11"/>
    <n v="82"/>
    <s v="0. Test 2025 PI DS Of. Mantenimiento"/>
    <s v="R2"/>
    <s v="¿Cuál es la densidad de las placas de fibra de madera de densidad media (MDF)?"/>
    <s v="Entre 300 kg/m³ y 550 kg/m³."/>
    <s v="Entre 900 kg/m³ y 950 kg/m³."/>
    <s v="Entre 600 kg/m³ y 850 kg/m³."/>
    <m/>
    <s v="c"/>
  </r>
  <r>
    <x v="1"/>
    <n v="9"/>
    <x v="23"/>
    <n v="82"/>
    <s v="0. Test 2025 PI DS Of. Mantenimiento"/>
    <s v="R3"/>
    <s v="La intensidad luminosa (I)"/>
    <s v="Es la cantidad de energía luminosa en el espectro visible que produce una fuente, nos indica la cantidad de luz por unidad."/>
    <s v="Es el flujo luminoso en una determinada dirección, se mide la cantidad de flujo (lm) en la unidad de ángulo sólido (estereorradián)."/>
    <s v="Es el flujo luminoso que llega a una superficie determinada."/>
    <m/>
    <s v="b"/>
  </r>
  <r>
    <x v="1"/>
    <n v="25"/>
    <x v="21"/>
    <n v="82"/>
    <s v="0. Test 2025 PI DS Of. Mantenimiento"/>
    <s v="R4"/>
    <s v="El Manual de Atención a la Ciudadanía del Ayuntamiento de Zaragoza dice que hay que escuchar activamente y que la escucha activa requiere:"/>
    <s v="Concentración y disciplina"/>
    <s v="Disciplina."/>
    <s v="Concentración."/>
    <m/>
    <s v="a"/>
  </r>
  <r>
    <x v="1"/>
    <n v="25"/>
    <x v="21"/>
    <n v="82"/>
    <s v="0. Test 2025 PI DS Of. Mantenimiento"/>
    <s v="R5"/>
    <s v="Según el Manual de Atención a la Ciudadanía del Ayuntamiento de Zaragoza una última forma de agradecer la colaboración ciudadana es:"/>
    <s v="Dar una despedida cordial."/>
    <s v="Ofrecerse para futuras ocasiones."/>
    <s v="Las respuestas a) y b) son correctas."/>
    <m/>
    <s v="c"/>
  </r>
  <r>
    <x v="1"/>
    <n v="0"/>
    <x v="29"/>
    <n v="83"/>
    <s v="0. Pract. 2025 PI DS Of. Mantenimiento"/>
    <n v="1"/>
    <s v="Los morteros para albañilería diseñados se pueden designar por su clase resistente, es decir por la letra M seguida de su:"/>
    <s v="Resistencia a flexión a 28 días, en N/mm2."/>
    <s v="Resistencia a compresión a 28 días, en N/mm2"/>
    <s v="Resistencia a tracción a 28 días, en N/mm2."/>
    <s v="Ninguna de las anteriores es correcta."/>
    <s v="b"/>
  </r>
  <r>
    <x v="1"/>
    <n v="0"/>
    <x v="29"/>
    <n v="83"/>
    <s v="0. Pract. 2025 PI DS Of. Mantenimiento"/>
    <n v="2"/>
    <s v="En los trabajos en suelos, deberemos colocar una: “Capa de grava de diámetro grande que sirve de base a una solera apoyada en el terreno con el fin de dificultar la ascensión del agua del terreno por capilaridad a ésta”. Esta se denomina:"/>
    <s v="Encachado."/>
    <s v="Enjarje."/>
    <s v="Enlucido."/>
    <s v="Empeine."/>
    <s v="a"/>
  </r>
  <r>
    <x v="1"/>
    <n v="0"/>
    <x v="29"/>
    <n v="83"/>
    <s v="0. Pract. 2025 PI DS Of. Mantenimiento"/>
    <n v="3"/>
    <s v="Necesitamos realizar reparaciones en el “Trasdós” de un paramento vertical. Nos referimos a la:"/>
    <s v="Superficie interior de un muro."/>
    <s v="Superficie exterior de un muro"/>
    <s v="Parte superior de un muro."/>
    <s v="Parte inferior de un muro."/>
    <s v="b"/>
  </r>
  <r>
    <x v="1"/>
    <n v="0"/>
    <x v="29"/>
    <n v="83"/>
    <s v="0. Pract. 2025 PI DS Of. Mantenimiento"/>
    <n v="4"/>
    <s v="Si decidimos utilizar un mortero que tiene una dosificación, expresada en Kg. de cemento por m3 de arena, menor o igual que 1/8, nos referimos a un:"/>
    <s v="Mortero consistente"/>
    <s v="Mortero aéreo."/>
    <s v="Mortero hidrófugo."/>
    <s v="Mortero pobre."/>
    <s v="d"/>
  </r>
  <r>
    <x v="1"/>
    <n v="0"/>
    <x v="29"/>
    <n v="83"/>
    <s v="0. Pract. 2025 PI DS Of. Mantenimiento"/>
    <n v="5"/>
    <s v="Cada uno de los dentellones que se forman en la interrupción lateral de un muro para su trabazón al proseguirlo, se denomina en construcción:"/>
    <s v="Enjarje."/>
    <s v="Encachado."/>
    <s v="Enganche."/>
    <s v="Ninguna de las anteriores es correcta"/>
    <s v="a"/>
  </r>
  <r>
    <x v="1"/>
    <n v="0"/>
    <x v="29"/>
    <n v="83"/>
    <s v="0. Pract. 2025 PI DS Of. Mantenimiento"/>
    <n v="6"/>
    <m/>
    <s v="Llana de margen."/>
    <s v="Llana de acabado"/>
    <s v="Llana calibradora,"/>
    <s v="Llana punteadora."/>
    <s v="a"/>
  </r>
  <r>
    <x v="1"/>
    <n v="0"/>
    <x v="29"/>
    <n v="83"/>
    <s v="0. Pract. 2025 PI DS Of. Mantenimiento"/>
    <n v="7"/>
    <s v="Las brocas para azulejos pueden utilizarse fácilmente con un taladro manual normal, pero es importante usar correctamente el taladro para evitar que se sobrecaliente o dañe el azulejo. Por tanto deberemos usar el taladro:"/>
    <s v="A baja velocidad."/>
    <s v="A velocidad media."/>
    <s v="A una velocidad alta."/>
    <s v="No deben usarse brocas para azulejos"/>
    <s v="a"/>
  </r>
  <r>
    <x v="1"/>
    <n v="0"/>
    <x v="29"/>
    <n v="83"/>
    <s v="0. Pract. 2025 PI DS Of. Mantenimiento"/>
    <n v="8"/>
    <s v="Dentro de las tareas propias del mantenimiento del Centro se deberá comprobar del estado de limpieza de las llagas o de las aberturas de ventilación de la cámara. ¿Con qué periodicidad se revisarán, según normativa?"/>
    <s v="No se deben mantener"/>
    <s v="Cada 20 años."/>
    <s v="Cada 5 años."/>
    <s v="Cada 10 años."/>
    <s v="d"/>
  </r>
  <r>
    <x v="1"/>
    <n v="0"/>
    <x v="29"/>
    <n v="83"/>
    <s v="0. Pract. 2025 PI DS Of. Mantenimiento"/>
    <n v="9"/>
    <s v="Son las que aparecen por la suciedad, por humedad o por la erosión. Nos referimos a un tipo de lesión constructiva según su origen. Señalar la respuesta correcta."/>
    <s v="Físicas."/>
    <s v="Químicas."/>
    <s v="Mecánicas."/>
    <s v="Ninguna de las anteriores es correcta"/>
    <s v="a"/>
  </r>
  <r>
    <x v="1"/>
    <n v="0"/>
    <x v="29"/>
    <n v="83"/>
    <s v="0. Pract. 2025 PI DS Of. Mantenimiento"/>
    <n v="10"/>
    <s v="Siguiendo con las lesiones constructivas según su origen, las fisuras se enmarcarían dentro de las lesiones:"/>
    <s v="Físicas."/>
    <s v="Químicas."/>
    <s v="Mecánicas."/>
    <s v="Ninguna de las anteriores es correcta."/>
    <s v="c"/>
  </r>
  <r>
    <x v="2"/>
    <m/>
    <x v="30"/>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38" firstHeaderRow="1" firstDataRow="1" firstDataCol="1"/>
  <pivotFields count="12">
    <pivotField axis="axisRow" showAll="0">
      <items count="5">
        <item m="1" x="3"/>
        <item x="1"/>
        <item x="0"/>
        <item x="2"/>
        <item t="default"/>
      </items>
    </pivotField>
    <pivotField showAll="0"/>
    <pivotField axis="axisRow" showAll="0" sortType="descending">
      <items count="39">
        <item m="1" x="31"/>
        <item x="9"/>
        <item x="17"/>
        <item x="11"/>
        <item x="19"/>
        <item x="20"/>
        <item x="12"/>
        <item x="0"/>
        <item x="10"/>
        <item x="2"/>
        <item x="4"/>
        <item x="1"/>
        <item m="1" x="37"/>
        <item x="18"/>
        <item x="13"/>
        <item x="3"/>
        <item m="1" x="32"/>
        <item x="14"/>
        <item m="1" x="33"/>
        <item x="7"/>
        <item x="30"/>
        <item x="6"/>
        <item m="1" x="34"/>
        <item x="26"/>
        <item x="24"/>
        <item x="22"/>
        <item x="8"/>
        <item m="1" x="36"/>
        <item x="5"/>
        <item x="23"/>
        <item m="1" x="35"/>
        <item x="25"/>
        <item x="15"/>
        <item x="16"/>
        <item x="21"/>
        <item x="27"/>
        <item x="28"/>
        <item x="29"/>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36">
    <i>
      <x v="1"/>
    </i>
    <i r="1">
      <x v="3"/>
    </i>
    <i r="1">
      <x v="1"/>
    </i>
    <i r="1">
      <x v="13"/>
    </i>
    <i r="1">
      <x v="2"/>
    </i>
    <i r="1">
      <x v="8"/>
    </i>
    <i r="1">
      <x v="14"/>
    </i>
    <i r="1">
      <x v="25"/>
    </i>
    <i r="1">
      <x v="24"/>
    </i>
    <i r="1">
      <x v="29"/>
    </i>
    <i r="1">
      <x v="6"/>
    </i>
    <i r="1">
      <x v="33"/>
    </i>
    <i r="1">
      <x v="32"/>
    </i>
    <i r="1">
      <x v="34"/>
    </i>
    <i r="1">
      <x v="37"/>
    </i>
    <i r="1">
      <x v="19"/>
    </i>
    <i r="1">
      <x v="17"/>
    </i>
    <i r="1">
      <x v="4"/>
    </i>
    <i r="1">
      <x v="23"/>
    </i>
    <i r="1">
      <x v="5"/>
    </i>
    <i r="1">
      <x v="36"/>
    </i>
    <i r="1">
      <x v="31"/>
    </i>
    <i r="1">
      <x v="35"/>
    </i>
    <i>
      <x v="2"/>
    </i>
    <i r="1">
      <x v="28"/>
    </i>
    <i r="1">
      <x v="9"/>
    </i>
    <i r="1">
      <x v="7"/>
    </i>
    <i r="1">
      <x v="15"/>
    </i>
    <i r="1">
      <x v="10"/>
    </i>
    <i r="1">
      <x v="11"/>
    </i>
    <i r="1">
      <x v="26"/>
    </i>
    <i r="1">
      <x v="21"/>
    </i>
    <i r="1">
      <x v="25"/>
    </i>
    <i>
      <x v="3"/>
    </i>
    <i r="1">
      <x v="20"/>
    </i>
    <i t="grand">
      <x/>
    </i>
  </rowItems>
  <colItems count="1">
    <i/>
  </colItems>
  <dataFields count="1">
    <dataField name="Cuenta de Pregunta" fld="5" subtotal="count" baseField="0" baseItem="1"/>
  </dataFields>
  <formats count="14">
    <format dxfId="13">
      <pivotArea dataOnly="0" labelOnly="1" fieldPosition="0">
        <references count="2">
          <reference field="0" count="1" selected="0">
            <x v="1"/>
          </reference>
          <reference field="2" count="1">
            <x v="8"/>
          </reference>
        </references>
      </pivotArea>
    </format>
    <format dxfId="12">
      <pivotArea dataOnly="0" labelOnly="1" fieldPosition="0">
        <references count="2">
          <reference field="0" count="1" selected="0">
            <x v="1"/>
          </reference>
          <reference field="2" count="1">
            <x v="3"/>
          </reference>
        </references>
      </pivotArea>
    </format>
    <format dxfId="11">
      <pivotArea dataOnly="0" labelOnly="1" fieldPosition="0">
        <references count="2">
          <reference field="0" count="1" selected="0">
            <x v="1"/>
          </reference>
          <reference field="2" count="1">
            <x v="1"/>
          </reference>
        </references>
      </pivotArea>
    </format>
    <format dxfId="10">
      <pivotArea dataOnly="0" labelOnly="1" fieldPosition="0">
        <references count="2">
          <reference field="0" count="1" selected="0">
            <x v="1"/>
          </reference>
          <reference field="2" count="1">
            <x v="8"/>
          </reference>
        </references>
      </pivotArea>
    </format>
    <format dxfId="9">
      <pivotArea dataOnly="0" labelOnly="1" fieldPosition="0">
        <references count="2">
          <reference field="0" count="1" selected="0">
            <x v="1"/>
          </reference>
          <reference field="2" count="1">
            <x v="3"/>
          </reference>
        </references>
      </pivotArea>
    </format>
    <format dxfId="8">
      <pivotArea dataOnly="0" labelOnly="1" fieldPosition="0">
        <references count="2">
          <reference field="0" count="1" selected="0">
            <x v="1"/>
          </reference>
          <reference field="2" count="1">
            <x v="1"/>
          </reference>
        </references>
      </pivotArea>
    </format>
    <format dxfId="7">
      <pivotArea dataOnly="0" labelOnly="1" fieldPosition="0">
        <references count="2">
          <reference field="0" count="1" selected="0">
            <x v="1"/>
          </reference>
          <reference field="2" count="1">
            <x v="6"/>
          </reference>
        </references>
      </pivotArea>
    </format>
    <format dxfId="6">
      <pivotArea dataOnly="0" labelOnly="1" fieldPosition="0">
        <references count="2">
          <reference field="0" count="1" selected="0">
            <x v="1"/>
          </reference>
          <reference field="2" count="1">
            <x v="14"/>
          </reference>
        </references>
      </pivotArea>
    </format>
    <format dxfId="5">
      <pivotArea dataOnly="0" labelOnly="1" fieldPosition="0">
        <references count="2">
          <reference field="0" count="1" selected="0">
            <x v="1"/>
          </reference>
          <reference field="2" count="1">
            <x v="29"/>
          </reference>
        </references>
      </pivotArea>
    </format>
    <format dxfId="4">
      <pivotArea dataOnly="0" labelOnly="1" fieldPosition="0">
        <references count="2">
          <reference field="0" count="1" selected="0">
            <x v="1"/>
          </reference>
          <reference field="2" count="2">
            <x v="24"/>
            <x v="25"/>
          </reference>
        </references>
      </pivotArea>
    </format>
    <format dxfId="3">
      <pivotArea dataOnly="0" labelOnly="1" fieldPosition="0">
        <references count="2">
          <reference field="0" count="1" selected="0">
            <x v="1"/>
          </reference>
          <reference field="2" count="2">
            <x v="32"/>
            <x v="33"/>
          </reference>
        </references>
      </pivotArea>
    </format>
    <format dxfId="2">
      <pivotArea dataOnly="0" labelOnly="1" fieldPosition="0">
        <references count="2">
          <reference field="0" count="1" selected="0">
            <x v="1"/>
          </reference>
          <reference field="2" count="2">
            <x v="2"/>
            <x v="13"/>
          </reference>
        </references>
      </pivotArea>
    </format>
    <format dxfId="1">
      <pivotArea dataOnly="0" labelOnly="1" fieldPosition="0">
        <references count="2">
          <reference field="0" count="1" selected="0">
            <x v="1"/>
          </reference>
          <reference field="2" count="1">
            <x v="34"/>
          </reference>
        </references>
      </pivotArea>
    </format>
    <format dxfId="0">
      <pivotArea dataOnly="0" labelOnly="1" fieldPosition="0">
        <references count="2">
          <reference field="0" count="1" selected="0">
            <x v="1"/>
          </reference>
          <reference field="2" count="5">
            <x v="4"/>
            <x v="5"/>
            <x v="17"/>
            <x v="19"/>
            <x v="2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456"/>
  <sheetViews>
    <sheetView tabSelected="1" zoomScaleNormal="100" workbookViewId="0">
      <pane ySplit="1" topLeftCell="A2" activePane="bottomLeft" state="frozen"/>
      <selection pane="bottomLeft" activeCell="G286" sqref="G286"/>
    </sheetView>
  </sheetViews>
  <sheetFormatPr baseColWidth="10" defaultColWidth="14.42578125" defaultRowHeight="15" customHeight="1" x14ac:dyDescent="0.25"/>
  <cols>
    <col min="1" max="1" width="9.28515625" customWidth="1"/>
    <col min="2" max="2" width="4.5703125" customWidth="1"/>
    <col min="3" max="3" width="14.7109375" customWidth="1"/>
    <col min="4" max="4" width="5" customWidth="1"/>
    <col min="5" max="5" width="19.5703125" customWidth="1"/>
    <col min="6" max="6" width="8.28515625" customWidth="1"/>
    <col min="7" max="7" width="11.140625" customWidth="1"/>
    <col min="8" max="8" width="9.85546875" customWidth="1"/>
    <col min="9" max="9" width="11.5703125" customWidth="1"/>
    <col min="10" max="11" width="9.85546875" customWidth="1"/>
    <col min="12" max="12" width="10.7109375" bestFit="1" customWidth="1"/>
    <col min="13" max="13" width="5" customWidth="1"/>
    <col min="14" max="23" width="10.7109375"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1" t="s">
        <v>12</v>
      </c>
      <c r="B2" s="21">
        <v>1</v>
      </c>
      <c r="C2" s="1" t="s">
        <v>13</v>
      </c>
      <c r="D2" s="21">
        <v>1</v>
      </c>
      <c r="E2" s="1" t="s">
        <v>14</v>
      </c>
      <c r="F2" s="21">
        <v>1</v>
      </c>
      <c r="G2" s="1" t="s">
        <v>15</v>
      </c>
      <c r="H2" s="1" t="s">
        <v>16</v>
      </c>
      <c r="I2" s="1" t="s">
        <v>17</v>
      </c>
      <c r="J2" s="1" t="s">
        <v>18</v>
      </c>
      <c r="L2" s="1" t="s">
        <v>8</v>
      </c>
    </row>
    <row r="3" spans="1:12" x14ac:dyDescent="0.25">
      <c r="A3" s="1" t="s">
        <v>12</v>
      </c>
      <c r="B3" s="21">
        <v>1</v>
      </c>
      <c r="C3" s="1" t="s">
        <v>13</v>
      </c>
      <c r="D3" s="21">
        <v>1</v>
      </c>
      <c r="E3" s="1" t="s">
        <v>14</v>
      </c>
      <c r="F3" s="21">
        <v>2</v>
      </c>
      <c r="G3" s="1" t="s">
        <v>19</v>
      </c>
      <c r="H3" s="1" t="s">
        <v>20</v>
      </c>
      <c r="I3" s="1" t="s">
        <v>21</v>
      </c>
      <c r="J3" s="1" t="s">
        <v>22</v>
      </c>
      <c r="L3" s="1" t="s">
        <v>8</v>
      </c>
    </row>
    <row r="4" spans="1:12" x14ac:dyDescent="0.25">
      <c r="A4" s="1" t="s">
        <v>12</v>
      </c>
      <c r="B4" s="21">
        <v>1</v>
      </c>
      <c r="C4" s="1" t="s">
        <v>13</v>
      </c>
      <c r="D4" s="21">
        <v>2</v>
      </c>
      <c r="E4" s="1" t="s">
        <v>23</v>
      </c>
      <c r="F4" s="21">
        <v>1</v>
      </c>
      <c r="G4" s="1" t="s">
        <v>24</v>
      </c>
      <c r="H4" s="1" t="s">
        <v>25</v>
      </c>
      <c r="I4" s="1" t="s">
        <v>26</v>
      </c>
      <c r="J4" s="1" t="s">
        <v>27</v>
      </c>
      <c r="K4" s="1" t="s">
        <v>28</v>
      </c>
      <c r="L4" s="1" t="s">
        <v>8</v>
      </c>
    </row>
    <row r="5" spans="1:12" x14ac:dyDescent="0.25">
      <c r="A5" s="1" t="s">
        <v>12</v>
      </c>
      <c r="B5" s="21">
        <v>1</v>
      </c>
      <c r="C5" s="1" t="s">
        <v>13</v>
      </c>
      <c r="D5" s="21">
        <v>2</v>
      </c>
      <c r="E5" s="1" t="s">
        <v>23</v>
      </c>
      <c r="F5" s="21">
        <v>2</v>
      </c>
      <c r="G5" s="1" t="s">
        <v>29</v>
      </c>
      <c r="H5" s="1" t="s">
        <v>30</v>
      </c>
      <c r="I5" s="1" t="s">
        <v>31</v>
      </c>
      <c r="J5" s="1" t="s">
        <v>32</v>
      </c>
      <c r="K5" s="1" t="s">
        <v>28</v>
      </c>
      <c r="L5" s="1" t="s">
        <v>9</v>
      </c>
    </row>
    <row r="6" spans="1:12" x14ac:dyDescent="0.25">
      <c r="A6" s="1" t="s">
        <v>12</v>
      </c>
      <c r="B6" s="21">
        <v>1</v>
      </c>
      <c r="C6" s="1" t="s">
        <v>13</v>
      </c>
      <c r="D6" s="21">
        <v>2</v>
      </c>
      <c r="E6" s="1" t="s">
        <v>23</v>
      </c>
      <c r="F6" s="21">
        <v>3</v>
      </c>
      <c r="G6" s="1" t="s">
        <v>33</v>
      </c>
      <c r="H6" s="1" t="s">
        <v>34</v>
      </c>
      <c r="I6" s="1" t="s">
        <v>35</v>
      </c>
      <c r="J6" s="1" t="s">
        <v>36</v>
      </c>
      <c r="K6" s="1" t="s">
        <v>37</v>
      </c>
      <c r="L6" s="1" t="s">
        <v>10</v>
      </c>
    </row>
    <row r="7" spans="1:12" x14ac:dyDescent="0.25">
      <c r="A7" s="1" t="s">
        <v>12</v>
      </c>
      <c r="B7" s="21">
        <v>1</v>
      </c>
      <c r="C7" s="1" t="s">
        <v>13</v>
      </c>
      <c r="D7" s="21">
        <v>2</v>
      </c>
      <c r="E7" s="1" t="s">
        <v>23</v>
      </c>
      <c r="F7" s="21">
        <v>4</v>
      </c>
      <c r="G7" s="1" t="s">
        <v>38</v>
      </c>
      <c r="H7" s="1" t="s">
        <v>39</v>
      </c>
      <c r="I7" s="1" t="s">
        <v>40</v>
      </c>
      <c r="J7" s="1" t="s">
        <v>41</v>
      </c>
      <c r="K7" s="1" t="s">
        <v>42</v>
      </c>
      <c r="L7" s="1" t="s">
        <v>7</v>
      </c>
    </row>
    <row r="8" spans="1:12" x14ac:dyDescent="0.25">
      <c r="A8" s="1" t="s">
        <v>12</v>
      </c>
      <c r="B8" s="21">
        <v>1</v>
      </c>
      <c r="C8" s="1" t="s">
        <v>13</v>
      </c>
      <c r="D8" s="21">
        <v>2</v>
      </c>
      <c r="E8" s="1" t="s">
        <v>23</v>
      </c>
      <c r="F8" s="21">
        <v>5</v>
      </c>
      <c r="G8" s="1" t="s">
        <v>43</v>
      </c>
      <c r="H8" s="1" t="s">
        <v>44</v>
      </c>
      <c r="I8" s="1" t="s">
        <v>45</v>
      </c>
      <c r="J8" s="1" t="s">
        <v>46</v>
      </c>
      <c r="K8" s="1" t="s">
        <v>47</v>
      </c>
      <c r="L8" s="1" t="s">
        <v>9</v>
      </c>
    </row>
    <row r="9" spans="1:12" x14ac:dyDescent="0.25">
      <c r="A9" s="1" t="s">
        <v>12</v>
      </c>
      <c r="B9" s="21">
        <v>1</v>
      </c>
      <c r="C9" s="1" t="s">
        <v>13</v>
      </c>
      <c r="D9" s="21">
        <v>2</v>
      </c>
      <c r="E9" s="1" t="s">
        <v>23</v>
      </c>
      <c r="F9" s="21">
        <v>6</v>
      </c>
      <c r="G9" s="9" t="s">
        <v>48</v>
      </c>
      <c r="H9" s="1" t="s">
        <v>49</v>
      </c>
      <c r="I9" s="1" t="s">
        <v>50</v>
      </c>
      <c r="J9" s="1" t="s">
        <v>51</v>
      </c>
      <c r="K9" s="1" t="s">
        <v>52</v>
      </c>
      <c r="L9" s="1" t="s">
        <v>10</v>
      </c>
    </row>
    <row r="10" spans="1:12" x14ac:dyDescent="0.25">
      <c r="A10" s="1" t="s">
        <v>12</v>
      </c>
      <c r="B10" s="21">
        <v>1</v>
      </c>
      <c r="C10" s="1" t="s">
        <v>13</v>
      </c>
      <c r="D10" s="21">
        <v>2</v>
      </c>
      <c r="E10" s="1" t="s">
        <v>23</v>
      </c>
      <c r="F10" s="21">
        <v>7</v>
      </c>
      <c r="G10" s="1" t="s">
        <v>53</v>
      </c>
      <c r="H10" s="1" t="s">
        <v>54</v>
      </c>
      <c r="I10" s="1" t="s">
        <v>55</v>
      </c>
      <c r="J10" s="1" t="s">
        <v>56</v>
      </c>
      <c r="K10" s="1" t="s">
        <v>57</v>
      </c>
      <c r="L10" s="1" t="s">
        <v>7</v>
      </c>
    </row>
    <row r="11" spans="1:12" x14ac:dyDescent="0.25">
      <c r="A11" s="1" t="s">
        <v>12</v>
      </c>
      <c r="B11" s="21">
        <v>1</v>
      </c>
      <c r="C11" s="1" t="s">
        <v>13</v>
      </c>
      <c r="D11" s="21">
        <v>2</v>
      </c>
      <c r="E11" s="1" t="s">
        <v>23</v>
      </c>
      <c r="F11" s="21">
        <v>8</v>
      </c>
      <c r="G11" s="1" t="s">
        <v>58</v>
      </c>
      <c r="H11" s="1" t="s">
        <v>59</v>
      </c>
      <c r="I11" s="1" t="s">
        <v>60</v>
      </c>
      <c r="J11" s="1" t="s">
        <v>61</v>
      </c>
      <c r="K11" s="1" t="s">
        <v>62</v>
      </c>
      <c r="L11" s="1" t="s">
        <v>10</v>
      </c>
    </row>
    <row r="12" spans="1:12" x14ac:dyDescent="0.25">
      <c r="A12" s="1" t="s">
        <v>12</v>
      </c>
      <c r="B12" s="21">
        <v>1</v>
      </c>
      <c r="C12" s="1" t="s">
        <v>13</v>
      </c>
      <c r="D12" s="21">
        <v>2</v>
      </c>
      <c r="E12" s="1" t="s">
        <v>23</v>
      </c>
      <c r="F12" s="21">
        <v>9</v>
      </c>
      <c r="G12" s="1" t="s">
        <v>63</v>
      </c>
      <c r="H12" s="1" t="s">
        <v>64</v>
      </c>
      <c r="I12" s="1" t="s">
        <v>65</v>
      </c>
      <c r="J12" s="1" t="s">
        <v>66</v>
      </c>
      <c r="K12" s="1" t="s">
        <v>67</v>
      </c>
      <c r="L12" s="1" t="s">
        <v>7</v>
      </c>
    </row>
    <row r="13" spans="1:12" x14ac:dyDescent="0.25">
      <c r="A13" s="1" t="s">
        <v>12</v>
      </c>
      <c r="B13" s="21">
        <v>1</v>
      </c>
      <c r="C13" s="1" t="s">
        <v>13</v>
      </c>
      <c r="D13" s="21">
        <v>2</v>
      </c>
      <c r="E13" s="1" t="s">
        <v>23</v>
      </c>
      <c r="F13" s="21">
        <v>10</v>
      </c>
      <c r="G13" s="1" t="s">
        <v>68</v>
      </c>
      <c r="H13" s="1" t="s">
        <v>69</v>
      </c>
      <c r="I13" s="1" t="s">
        <v>70</v>
      </c>
      <c r="J13" s="1" t="s">
        <v>71</v>
      </c>
      <c r="K13" s="1" t="s">
        <v>72</v>
      </c>
      <c r="L13" s="1" t="s">
        <v>10</v>
      </c>
    </row>
    <row r="14" spans="1:12" x14ac:dyDescent="0.25">
      <c r="A14" s="1" t="s">
        <v>12</v>
      </c>
      <c r="B14" s="21">
        <v>1</v>
      </c>
      <c r="C14" s="1" t="s">
        <v>13</v>
      </c>
      <c r="D14" s="21">
        <v>2</v>
      </c>
      <c r="E14" s="1" t="s">
        <v>23</v>
      </c>
      <c r="F14" s="21">
        <v>11</v>
      </c>
      <c r="G14" s="1" t="s">
        <v>73</v>
      </c>
      <c r="H14" s="1" t="s">
        <v>74</v>
      </c>
      <c r="I14" s="1" t="s">
        <v>75</v>
      </c>
      <c r="J14" s="1" t="s">
        <v>76</v>
      </c>
      <c r="K14" s="1" t="s">
        <v>77</v>
      </c>
      <c r="L14" s="1" t="s">
        <v>8</v>
      </c>
    </row>
    <row r="15" spans="1:12" x14ac:dyDescent="0.25">
      <c r="A15" s="1" t="s">
        <v>12</v>
      </c>
      <c r="B15" s="21">
        <v>1</v>
      </c>
      <c r="C15" s="1" t="s">
        <v>13</v>
      </c>
      <c r="D15" s="21">
        <v>2</v>
      </c>
      <c r="E15" s="1" t="s">
        <v>23</v>
      </c>
      <c r="F15" s="21">
        <v>12</v>
      </c>
      <c r="G15" s="1" t="s">
        <v>78</v>
      </c>
      <c r="H15" s="1" t="s">
        <v>79</v>
      </c>
      <c r="I15" s="1" t="s">
        <v>80</v>
      </c>
      <c r="J15" s="1" t="s">
        <v>81</v>
      </c>
      <c r="K15" s="1" t="s">
        <v>82</v>
      </c>
      <c r="L15" s="1" t="s">
        <v>9</v>
      </c>
    </row>
    <row r="16" spans="1:12" x14ac:dyDescent="0.25">
      <c r="A16" s="1" t="s">
        <v>12</v>
      </c>
      <c r="B16" s="21">
        <v>1</v>
      </c>
      <c r="C16" s="1" t="s">
        <v>13</v>
      </c>
      <c r="D16" s="21">
        <v>2</v>
      </c>
      <c r="E16" s="1" t="s">
        <v>23</v>
      </c>
      <c r="F16" s="21">
        <v>13</v>
      </c>
      <c r="G16" s="1" t="s">
        <v>83</v>
      </c>
      <c r="H16" s="1" t="s">
        <v>84</v>
      </c>
      <c r="I16" s="1" t="s">
        <v>85</v>
      </c>
      <c r="J16" s="1" t="s">
        <v>86</v>
      </c>
      <c r="K16" s="1" t="s">
        <v>87</v>
      </c>
      <c r="L16" s="1" t="s">
        <v>7</v>
      </c>
    </row>
    <row r="17" spans="1:12" x14ac:dyDescent="0.25">
      <c r="A17" s="1" t="s">
        <v>12</v>
      </c>
      <c r="B17" s="21">
        <v>1</v>
      </c>
      <c r="C17" s="1" t="s">
        <v>13</v>
      </c>
      <c r="D17" s="21">
        <v>2</v>
      </c>
      <c r="E17" s="1" t="s">
        <v>23</v>
      </c>
      <c r="F17" s="21">
        <v>14</v>
      </c>
      <c r="G17" s="1" t="s">
        <v>88</v>
      </c>
      <c r="H17" s="1" t="s">
        <v>89</v>
      </c>
      <c r="I17" s="1" t="s">
        <v>90</v>
      </c>
      <c r="J17" s="1" t="s">
        <v>91</v>
      </c>
      <c r="K17" s="1" t="s">
        <v>92</v>
      </c>
      <c r="L17" s="1" t="s">
        <v>8</v>
      </c>
    </row>
    <row r="18" spans="1:12" x14ac:dyDescent="0.25">
      <c r="A18" s="1" t="s">
        <v>12</v>
      </c>
      <c r="B18" s="21">
        <v>1</v>
      </c>
      <c r="C18" s="1" t="s">
        <v>13</v>
      </c>
      <c r="D18" s="21">
        <v>2</v>
      </c>
      <c r="E18" s="1" t="s">
        <v>23</v>
      </c>
      <c r="F18" s="21">
        <v>15</v>
      </c>
      <c r="G18" s="1" t="s">
        <v>93</v>
      </c>
      <c r="H18" s="1" t="s">
        <v>94</v>
      </c>
      <c r="I18" s="1" t="s">
        <v>95</v>
      </c>
      <c r="J18" s="1" t="s">
        <v>96</v>
      </c>
      <c r="K18" s="1" t="s">
        <v>97</v>
      </c>
      <c r="L18" s="1" t="s">
        <v>10</v>
      </c>
    </row>
    <row r="19" spans="1:12" x14ac:dyDescent="0.25">
      <c r="A19" s="1" t="s">
        <v>12</v>
      </c>
      <c r="B19" s="21">
        <v>1</v>
      </c>
      <c r="C19" s="1" t="s">
        <v>13</v>
      </c>
      <c r="D19" s="21">
        <v>2</v>
      </c>
      <c r="E19" s="1" t="s">
        <v>23</v>
      </c>
      <c r="F19" s="21">
        <v>16</v>
      </c>
      <c r="G19" s="1" t="s">
        <v>98</v>
      </c>
      <c r="H19" s="1" t="s">
        <v>99</v>
      </c>
      <c r="I19" s="1" t="s">
        <v>100</v>
      </c>
      <c r="J19" s="1" t="s">
        <v>101</v>
      </c>
      <c r="K19" s="1" t="s">
        <v>102</v>
      </c>
      <c r="L19" s="1" t="s">
        <v>7</v>
      </c>
    </row>
    <row r="20" spans="1:12" x14ac:dyDescent="0.25">
      <c r="A20" s="1" t="s">
        <v>12</v>
      </c>
      <c r="B20" s="21">
        <v>1</v>
      </c>
      <c r="C20" s="1" t="s">
        <v>13</v>
      </c>
      <c r="D20" s="21">
        <v>2</v>
      </c>
      <c r="E20" s="1" t="s">
        <v>23</v>
      </c>
      <c r="F20" s="21">
        <v>17</v>
      </c>
      <c r="G20" s="1" t="s">
        <v>103</v>
      </c>
      <c r="H20" s="1" t="s">
        <v>104</v>
      </c>
      <c r="I20" s="1" t="s">
        <v>105</v>
      </c>
      <c r="J20" s="1" t="s">
        <v>106</v>
      </c>
      <c r="K20" s="1" t="s">
        <v>107</v>
      </c>
      <c r="L20" s="1" t="s">
        <v>10</v>
      </c>
    </row>
    <row r="21" spans="1:12" ht="15.75" customHeight="1" x14ac:dyDescent="0.25">
      <c r="A21" s="1" t="s">
        <v>12</v>
      </c>
      <c r="B21" s="21">
        <v>1</v>
      </c>
      <c r="C21" s="1" t="s">
        <v>13</v>
      </c>
      <c r="D21" s="21">
        <v>2</v>
      </c>
      <c r="E21" s="1" t="s">
        <v>23</v>
      </c>
      <c r="F21" s="21">
        <v>18</v>
      </c>
      <c r="G21" s="1" t="s">
        <v>108</v>
      </c>
      <c r="H21" s="1" t="s">
        <v>109</v>
      </c>
      <c r="I21" s="1" t="s">
        <v>110</v>
      </c>
      <c r="J21" s="1" t="s">
        <v>111</v>
      </c>
      <c r="K21" s="1" t="s">
        <v>112</v>
      </c>
      <c r="L21" s="1" t="s">
        <v>10</v>
      </c>
    </row>
    <row r="22" spans="1:12" ht="15.75" customHeight="1" x14ac:dyDescent="0.25">
      <c r="A22" s="1" t="s">
        <v>12</v>
      </c>
      <c r="B22" s="21">
        <v>1</v>
      </c>
      <c r="C22" s="1" t="s">
        <v>13</v>
      </c>
      <c r="D22" s="21">
        <v>2</v>
      </c>
      <c r="E22" s="1" t="s">
        <v>23</v>
      </c>
      <c r="F22" s="21">
        <v>19</v>
      </c>
      <c r="G22" s="1" t="s">
        <v>113</v>
      </c>
      <c r="H22" s="1" t="s">
        <v>114</v>
      </c>
      <c r="I22" s="1" t="s">
        <v>115</v>
      </c>
      <c r="J22" s="1" t="s">
        <v>116</v>
      </c>
      <c r="K22" s="1" t="s">
        <v>117</v>
      </c>
      <c r="L22" s="1" t="s">
        <v>8</v>
      </c>
    </row>
    <row r="23" spans="1:12" ht="15.75" customHeight="1" x14ac:dyDescent="0.25">
      <c r="A23" s="1" t="s">
        <v>12</v>
      </c>
      <c r="B23" s="21">
        <v>1</v>
      </c>
      <c r="C23" s="1" t="s">
        <v>13</v>
      </c>
      <c r="D23" s="21">
        <v>2</v>
      </c>
      <c r="E23" s="1" t="s">
        <v>23</v>
      </c>
      <c r="F23" s="21">
        <v>20</v>
      </c>
      <c r="G23" s="1" t="s">
        <v>118</v>
      </c>
      <c r="H23" s="1" t="s">
        <v>119</v>
      </c>
      <c r="I23" s="1" t="s">
        <v>120</v>
      </c>
      <c r="J23" s="1" t="s">
        <v>121</v>
      </c>
      <c r="K23" s="1" t="s">
        <v>122</v>
      </c>
      <c r="L23" s="1" t="s">
        <v>8</v>
      </c>
    </row>
    <row r="24" spans="1:12" ht="15.75" customHeight="1" x14ac:dyDescent="0.25">
      <c r="A24" s="1" t="s">
        <v>12</v>
      </c>
      <c r="B24" s="21">
        <v>1</v>
      </c>
      <c r="C24" s="1" t="s">
        <v>13</v>
      </c>
      <c r="D24" s="21">
        <v>2</v>
      </c>
      <c r="E24" s="1" t="s">
        <v>23</v>
      </c>
      <c r="F24" s="21">
        <v>21</v>
      </c>
      <c r="G24" s="1" t="s">
        <v>123</v>
      </c>
      <c r="H24" s="1" t="s">
        <v>124</v>
      </c>
      <c r="I24" s="1" t="s">
        <v>125</v>
      </c>
      <c r="J24" s="1" t="s">
        <v>126</v>
      </c>
      <c r="K24" s="1" t="s">
        <v>127</v>
      </c>
      <c r="L24" s="1" t="s">
        <v>8</v>
      </c>
    </row>
    <row r="25" spans="1:12" ht="15.75" customHeight="1" x14ac:dyDescent="0.25">
      <c r="A25" s="1" t="s">
        <v>12</v>
      </c>
      <c r="B25" s="21">
        <v>1</v>
      </c>
      <c r="C25" s="1" t="s">
        <v>13</v>
      </c>
      <c r="D25" s="21">
        <v>2</v>
      </c>
      <c r="E25" s="1" t="s">
        <v>23</v>
      </c>
      <c r="F25" s="21">
        <v>22</v>
      </c>
      <c r="G25" s="1" t="s">
        <v>128</v>
      </c>
      <c r="H25" s="1" t="s">
        <v>129</v>
      </c>
      <c r="I25" s="1" t="s">
        <v>130</v>
      </c>
      <c r="J25" s="1" t="s">
        <v>131</v>
      </c>
      <c r="K25" s="1" t="s">
        <v>132</v>
      </c>
      <c r="L25" s="1" t="s">
        <v>7</v>
      </c>
    </row>
    <row r="26" spans="1:12" ht="15.75" customHeight="1" x14ac:dyDescent="0.25">
      <c r="A26" s="1" t="s">
        <v>12</v>
      </c>
      <c r="B26" s="21">
        <v>1</v>
      </c>
      <c r="C26" s="1" t="s">
        <v>13</v>
      </c>
      <c r="D26" s="21">
        <v>2</v>
      </c>
      <c r="E26" s="1" t="s">
        <v>23</v>
      </c>
      <c r="F26" s="21">
        <v>23</v>
      </c>
      <c r="G26" s="1" t="s">
        <v>133</v>
      </c>
      <c r="H26" s="1" t="s">
        <v>134</v>
      </c>
      <c r="I26" s="1" t="s">
        <v>135</v>
      </c>
      <c r="J26" s="1" t="s">
        <v>136</v>
      </c>
      <c r="K26" s="1" t="s">
        <v>137</v>
      </c>
      <c r="L26" s="1" t="s">
        <v>10</v>
      </c>
    </row>
    <row r="27" spans="1:12" ht="15.75" customHeight="1" x14ac:dyDescent="0.25">
      <c r="A27" s="1" t="s">
        <v>12</v>
      </c>
      <c r="B27" s="21">
        <v>1</v>
      </c>
      <c r="C27" s="1" t="s">
        <v>13</v>
      </c>
      <c r="D27" s="21">
        <v>2</v>
      </c>
      <c r="E27" s="1" t="s">
        <v>23</v>
      </c>
      <c r="F27" s="21">
        <v>24</v>
      </c>
      <c r="G27" s="1" t="s">
        <v>138</v>
      </c>
      <c r="H27" s="1" t="s">
        <v>139</v>
      </c>
      <c r="I27" s="1" t="s">
        <v>140</v>
      </c>
      <c r="J27" s="1" t="s">
        <v>141</v>
      </c>
      <c r="K27" s="1" t="s">
        <v>142</v>
      </c>
      <c r="L27" s="1" t="s">
        <v>10</v>
      </c>
    </row>
    <row r="28" spans="1:12" ht="15.75" customHeight="1" x14ac:dyDescent="0.25">
      <c r="A28" s="1" t="s">
        <v>12</v>
      </c>
      <c r="B28" s="21">
        <v>1</v>
      </c>
      <c r="C28" s="1" t="s">
        <v>13</v>
      </c>
      <c r="D28" s="21">
        <v>3</v>
      </c>
      <c r="E28" s="1" t="s">
        <v>143</v>
      </c>
      <c r="F28" s="21">
        <v>1</v>
      </c>
      <c r="G28" s="1" t="s">
        <v>144</v>
      </c>
      <c r="H28" s="1" t="s">
        <v>145</v>
      </c>
      <c r="I28" s="1" t="s">
        <v>146</v>
      </c>
      <c r="J28" s="1" t="s">
        <v>147</v>
      </c>
      <c r="K28" s="1" t="s">
        <v>148</v>
      </c>
      <c r="L28" s="1" t="s">
        <v>7</v>
      </c>
    </row>
    <row r="29" spans="1:12" ht="15.75" customHeight="1" x14ac:dyDescent="0.25">
      <c r="A29" s="1" t="s">
        <v>12</v>
      </c>
      <c r="B29" s="21">
        <v>1</v>
      </c>
      <c r="C29" s="1" t="s">
        <v>13</v>
      </c>
      <c r="D29" s="21">
        <v>3</v>
      </c>
      <c r="E29" s="1" t="s">
        <v>143</v>
      </c>
      <c r="F29" s="21">
        <v>2</v>
      </c>
      <c r="G29" s="1" t="s">
        <v>149</v>
      </c>
      <c r="H29" s="1" t="s">
        <v>150</v>
      </c>
      <c r="I29" s="1" t="s">
        <v>151</v>
      </c>
      <c r="J29" s="1" t="s">
        <v>152</v>
      </c>
      <c r="K29" s="1" t="s">
        <v>153</v>
      </c>
      <c r="L29" s="1" t="s">
        <v>10</v>
      </c>
    </row>
    <row r="30" spans="1:12" ht="15.75" customHeight="1" x14ac:dyDescent="0.25">
      <c r="A30" s="1" t="s">
        <v>12</v>
      </c>
      <c r="B30" s="21">
        <v>1</v>
      </c>
      <c r="C30" s="1" t="s">
        <v>13</v>
      </c>
      <c r="D30" s="21">
        <v>3</v>
      </c>
      <c r="E30" s="1" t="s">
        <v>143</v>
      </c>
      <c r="F30" s="21">
        <v>3</v>
      </c>
      <c r="G30" s="1" t="s">
        <v>154</v>
      </c>
      <c r="H30" s="1" t="s">
        <v>155</v>
      </c>
      <c r="I30" s="1" t="s">
        <v>156</v>
      </c>
      <c r="J30" s="1" t="s">
        <v>157</v>
      </c>
      <c r="K30" s="1" t="s">
        <v>158</v>
      </c>
      <c r="L30" s="1" t="s">
        <v>7</v>
      </c>
    </row>
    <row r="31" spans="1:12" ht="15.75" customHeight="1" x14ac:dyDescent="0.25">
      <c r="A31" s="1" t="s">
        <v>12</v>
      </c>
      <c r="B31" s="21">
        <v>1</v>
      </c>
      <c r="C31" s="1" t="s">
        <v>13</v>
      </c>
      <c r="D31" s="21">
        <v>3</v>
      </c>
      <c r="E31" s="1" t="s">
        <v>143</v>
      </c>
      <c r="F31" s="21">
        <v>4</v>
      </c>
      <c r="G31" s="1" t="s">
        <v>159</v>
      </c>
      <c r="H31" s="1" t="s">
        <v>160</v>
      </c>
      <c r="I31" s="1" t="s">
        <v>161</v>
      </c>
      <c r="J31" s="1" t="s">
        <v>162</v>
      </c>
      <c r="K31" s="1" t="s">
        <v>163</v>
      </c>
      <c r="L31" s="1" t="s">
        <v>9</v>
      </c>
    </row>
    <row r="32" spans="1:12" ht="15.75" customHeight="1" x14ac:dyDescent="0.25">
      <c r="A32" s="1" t="s">
        <v>12</v>
      </c>
      <c r="B32" s="21">
        <v>1</v>
      </c>
      <c r="C32" s="1" t="s">
        <v>13</v>
      </c>
      <c r="D32" s="21">
        <v>3</v>
      </c>
      <c r="E32" s="1" t="s">
        <v>143</v>
      </c>
      <c r="F32" s="21">
        <v>5</v>
      </c>
      <c r="G32" s="1" t="s">
        <v>164</v>
      </c>
      <c r="H32" s="1" t="s">
        <v>165</v>
      </c>
      <c r="I32" s="1" t="s">
        <v>166</v>
      </c>
      <c r="J32" s="1" t="s">
        <v>161</v>
      </c>
      <c r="K32" s="1" t="s">
        <v>167</v>
      </c>
      <c r="L32" s="1" t="s">
        <v>9</v>
      </c>
    </row>
    <row r="33" spans="1:12" ht="15.75" customHeight="1" x14ac:dyDescent="0.25">
      <c r="A33" s="1" t="s">
        <v>12</v>
      </c>
      <c r="B33" s="21">
        <v>1</v>
      </c>
      <c r="C33" s="1" t="s">
        <v>13</v>
      </c>
      <c r="D33" s="21">
        <v>3</v>
      </c>
      <c r="E33" s="1" t="s">
        <v>143</v>
      </c>
      <c r="F33" s="21">
        <v>6</v>
      </c>
      <c r="G33" s="1" t="s">
        <v>168</v>
      </c>
      <c r="H33" s="1" t="s">
        <v>169</v>
      </c>
      <c r="I33" s="1" t="s">
        <v>170</v>
      </c>
      <c r="J33" s="1" t="s">
        <v>171</v>
      </c>
      <c r="K33" s="1" t="s">
        <v>172</v>
      </c>
      <c r="L33" s="1" t="s">
        <v>10</v>
      </c>
    </row>
    <row r="34" spans="1:12" ht="15.75" customHeight="1" x14ac:dyDescent="0.25">
      <c r="A34" s="1" t="s">
        <v>12</v>
      </c>
      <c r="B34" s="21">
        <v>1</v>
      </c>
      <c r="C34" s="1" t="s">
        <v>13</v>
      </c>
      <c r="D34" s="21">
        <v>3</v>
      </c>
      <c r="E34" s="1" t="s">
        <v>143</v>
      </c>
      <c r="F34" s="21">
        <v>7</v>
      </c>
      <c r="G34" s="1" t="s">
        <v>173</v>
      </c>
      <c r="H34" s="1" t="s">
        <v>174</v>
      </c>
      <c r="I34" s="1" t="s">
        <v>175</v>
      </c>
      <c r="J34" s="1" t="s">
        <v>176</v>
      </c>
      <c r="K34" s="1" t="s">
        <v>177</v>
      </c>
      <c r="L34" s="1" t="s">
        <v>10</v>
      </c>
    </row>
    <row r="35" spans="1:12" ht="15.75" customHeight="1" x14ac:dyDescent="0.25">
      <c r="A35" s="1" t="s">
        <v>12</v>
      </c>
      <c r="B35" s="21">
        <v>1</v>
      </c>
      <c r="C35" s="1" t="s">
        <v>13</v>
      </c>
      <c r="D35" s="21">
        <v>3</v>
      </c>
      <c r="E35" s="1" t="s">
        <v>143</v>
      </c>
      <c r="F35" s="21">
        <v>8</v>
      </c>
      <c r="G35" s="1" t="s">
        <v>178</v>
      </c>
      <c r="H35" s="1" t="s">
        <v>179</v>
      </c>
      <c r="I35" s="1" t="s">
        <v>180</v>
      </c>
      <c r="J35" s="1" t="s">
        <v>181</v>
      </c>
      <c r="K35" s="1" t="s">
        <v>182</v>
      </c>
      <c r="L35" s="1" t="s">
        <v>8</v>
      </c>
    </row>
    <row r="36" spans="1:12" ht="15.75" customHeight="1" x14ac:dyDescent="0.25">
      <c r="A36" s="1" t="s">
        <v>12</v>
      </c>
      <c r="B36" s="21">
        <v>1</v>
      </c>
      <c r="C36" s="1" t="s">
        <v>13</v>
      </c>
      <c r="D36" s="21">
        <v>3</v>
      </c>
      <c r="E36" s="1" t="s">
        <v>143</v>
      </c>
      <c r="F36" s="21">
        <v>9</v>
      </c>
      <c r="G36" s="1" t="s">
        <v>183</v>
      </c>
      <c r="H36" s="1" t="s">
        <v>184</v>
      </c>
      <c r="I36" s="1" t="s">
        <v>185</v>
      </c>
      <c r="J36" s="1" t="s">
        <v>186</v>
      </c>
      <c r="K36" s="1" t="s">
        <v>187</v>
      </c>
      <c r="L36" s="1" t="s">
        <v>7</v>
      </c>
    </row>
    <row r="37" spans="1:12" ht="15.75" customHeight="1" x14ac:dyDescent="0.25">
      <c r="A37" s="1" t="s">
        <v>12</v>
      </c>
      <c r="B37" s="21">
        <v>1</v>
      </c>
      <c r="C37" s="1" t="s">
        <v>13</v>
      </c>
      <c r="D37" s="21">
        <v>3</v>
      </c>
      <c r="E37" s="1" t="s">
        <v>143</v>
      </c>
      <c r="F37" s="21">
        <v>10</v>
      </c>
      <c r="G37" s="1" t="s">
        <v>188</v>
      </c>
      <c r="H37" s="1" t="s">
        <v>189</v>
      </c>
      <c r="I37" s="1" t="s">
        <v>190</v>
      </c>
      <c r="J37" s="1" t="s">
        <v>161</v>
      </c>
      <c r="K37" s="1" t="s">
        <v>191</v>
      </c>
      <c r="L37" s="1" t="s">
        <v>9</v>
      </c>
    </row>
    <row r="38" spans="1:12" ht="15.75" customHeight="1" x14ac:dyDescent="0.25">
      <c r="A38" s="1" t="s">
        <v>12</v>
      </c>
      <c r="B38" s="21">
        <v>1</v>
      </c>
      <c r="C38" s="1" t="s">
        <v>13</v>
      </c>
      <c r="D38" s="21">
        <v>3</v>
      </c>
      <c r="E38" s="1" t="s">
        <v>143</v>
      </c>
      <c r="F38" s="21">
        <v>11</v>
      </c>
      <c r="G38" s="1" t="s">
        <v>192</v>
      </c>
      <c r="H38" s="1" t="s">
        <v>193</v>
      </c>
      <c r="I38" s="1" t="s">
        <v>194</v>
      </c>
      <c r="J38" s="1" t="s">
        <v>195</v>
      </c>
      <c r="K38" s="1" t="s">
        <v>196</v>
      </c>
      <c r="L38" s="1" t="s">
        <v>8</v>
      </c>
    </row>
    <row r="39" spans="1:12" ht="15.75" customHeight="1" x14ac:dyDescent="0.25">
      <c r="A39" s="1" t="s">
        <v>12</v>
      </c>
      <c r="B39" s="21">
        <v>1</v>
      </c>
      <c r="C39" s="1" t="s">
        <v>13</v>
      </c>
      <c r="D39" s="21">
        <v>3</v>
      </c>
      <c r="E39" s="1" t="s">
        <v>143</v>
      </c>
      <c r="F39" s="21">
        <v>12</v>
      </c>
      <c r="G39" s="1" t="s">
        <v>197</v>
      </c>
      <c r="H39" s="1" t="s">
        <v>198</v>
      </c>
      <c r="I39" s="1" t="s">
        <v>199</v>
      </c>
      <c r="J39" s="1" t="s">
        <v>200</v>
      </c>
      <c r="K39" s="1" t="s">
        <v>201</v>
      </c>
      <c r="L39" s="1" t="s">
        <v>10</v>
      </c>
    </row>
    <row r="40" spans="1:12" ht="15.75" customHeight="1" x14ac:dyDescent="0.25">
      <c r="A40" s="1" t="s">
        <v>12</v>
      </c>
      <c r="B40" s="21">
        <v>1</v>
      </c>
      <c r="C40" s="1" t="s">
        <v>13</v>
      </c>
      <c r="D40" s="21">
        <v>3</v>
      </c>
      <c r="E40" s="1" t="s">
        <v>143</v>
      </c>
      <c r="F40" s="21">
        <v>13</v>
      </c>
      <c r="G40" s="1" t="s">
        <v>202</v>
      </c>
      <c r="H40" s="1" t="s">
        <v>203</v>
      </c>
      <c r="I40" s="1" t="s">
        <v>204</v>
      </c>
      <c r="J40" s="1" t="s">
        <v>205</v>
      </c>
      <c r="K40" s="1" t="s">
        <v>206</v>
      </c>
      <c r="L40" s="1" t="s">
        <v>8</v>
      </c>
    </row>
    <row r="41" spans="1:12" ht="15.75" customHeight="1" x14ac:dyDescent="0.25">
      <c r="A41" s="1" t="s">
        <v>12</v>
      </c>
      <c r="B41" s="21">
        <v>1</v>
      </c>
      <c r="C41" s="1" t="s">
        <v>13</v>
      </c>
      <c r="D41" s="21">
        <v>3</v>
      </c>
      <c r="E41" s="1" t="s">
        <v>143</v>
      </c>
      <c r="F41" s="21">
        <v>14</v>
      </c>
      <c r="G41" s="1" t="s">
        <v>207</v>
      </c>
      <c r="H41" s="1" t="s">
        <v>208</v>
      </c>
      <c r="I41" s="1" t="s">
        <v>209</v>
      </c>
      <c r="J41" s="1" t="s">
        <v>210</v>
      </c>
      <c r="K41" s="1" t="s">
        <v>211</v>
      </c>
      <c r="L41" s="1" t="s">
        <v>10</v>
      </c>
    </row>
    <row r="42" spans="1:12" ht="15.75" customHeight="1" x14ac:dyDescent="0.25">
      <c r="A42" s="1" t="s">
        <v>12</v>
      </c>
      <c r="B42" s="21">
        <v>1</v>
      </c>
      <c r="C42" s="1" t="s">
        <v>13</v>
      </c>
      <c r="D42" s="21">
        <v>3</v>
      </c>
      <c r="E42" s="1" t="s">
        <v>143</v>
      </c>
      <c r="F42" s="21">
        <v>15</v>
      </c>
      <c r="G42" s="1" t="s">
        <v>144</v>
      </c>
      <c r="H42" s="1" t="s">
        <v>212</v>
      </c>
      <c r="I42" s="1" t="s">
        <v>213</v>
      </c>
      <c r="J42" s="1" t="s">
        <v>214</v>
      </c>
      <c r="K42" s="1" t="s">
        <v>215</v>
      </c>
      <c r="L42" s="1" t="s">
        <v>8</v>
      </c>
    </row>
    <row r="43" spans="1:12" ht="15.75" customHeight="1" x14ac:dyDescent="0.25">
      <c r="A43" s="1" t="s">
        <v>12</v>
      </c>
      <c r="B43" s="21">
        <v>1</v>
      </c>
      <c r="C43" s="1" t="s">
        <v>13</v>
      </c>
      <c r="D43" s="21">
        <v>3</v>
      </c>
      <c r="E43" s="1" t="s">
        <v>143</v>
      </c>
      <c r="F43" s="21">
        <v>16</v>
      </c>
      <c r="G43" s="1" t="s">
        <v>216</v>
      </c>
      <c r="H43" s="1" t="s">
        <v>217</v>
      </c>
      <c r="I43" s="1" t="s">
        <v>218</v>
      </c>
      <c r="J43" s="1" t="s">
        <v>219</v>
      </c>
      <c r="K43" s="1" t="s">
        <v>161</v>
      </c>
      <c r="L43" s="1" t="s">
        <v>10</v>
      </c>
    </row>
    <row r="44" spans="1:12" ht="15.75" customHeight="1" x14ac:dyDescent="0.25">
      <c r="A44" s="1" t="s">
        <v>12</v>
      </c>
      <c r="B44" s="21">
        <v>1</v>
      </c>
      <c r="C44" s="1" t="s">
        <v>13</v>
      </c>
      <c r="D44" s="21">
        <v>3</v>
      </c>
      <c r="E44" s="1" t="s">
        <v>143</v>
      </c>
      <c r="F44" s="21">
        <v>17</v>
      </c>
      <c r="G44" s="1" t="s">
        <v>220</v>
      </c>
      <c r="H44" s="1" t="s">
        <v>221</v>
      </c>
      <c r="I44" s="1" t="s">
        <v>222</v>
      </c>
      <c r="J44" s="1" t="s">
        <v>223</v>
      </c>
      <c r="K44" s="1" t="s">
        <v>224</v>
      </c>
      <c r="L44" s="1" t="s">
        <v>9</v>
      </c>
    </row>
    <row r="45" spans="1:12" ht="15.75" customHeight="1" x14ac:dyDescent="0.25">
      <c r="A45" s="1" t="s">
        <v>12</v>
      </c>
      <c r="B45" s="21">
        <v>1</v>
      </c>
      <c r="C45" s="1" t="s">
        <v>13</v>
      </c>
      <c r="D45" s="21">
        <v>3</v>
      </c>
      <c r="E45" s="1" t="s">
        <v>143</v>
      </c>
      <c r="F45" s="21">
        <v>18</v>
      </c>
      <c r="G45" s="1" t="s">
        <v>225</v>
      </c>
      <c r="H45" s="1" t="s">
        <v>226</v>
      </c>
      <c r="I45" s="1" t="s">
        <v>227</v>
      </c>
      <c r="J45" s="1" t="s">
        <v>228</v>
      </c>
      <c r="K45" s="1" t="s">
        <v>229</v>
      </c>
      <c r="L45" s="1" t="s">
        <v>8</v>
      </c>
    </row>
    <row r="46" spans="1:12" ht="15.75" customHeight="1" x14ac:dyDescent="0.25">
      <c r="A46" s="1" t="s">
        <v>12</v>
      </c>
      <c r="B46" s="21">
        <v>1</v>
      </c>
      <c r="C46" s="1" t="s">
        <v>13</v>
      </c>
      <c r="D46" s="21">
        <v>3</v>
      </c>
      <c r="E46" s="1" t="s">
        <v>143</v>
      </c>
      <c r="F46" s="21">
        <v>19</v>
      </c>
      <c r="G46" s="1" t="s">
        <v>230</v>
      </c>
      <c r="H46" s="1" t="s">
        <v>231</v>
      </c>
      <c r="I46" s="1" t="s">
        <v>232</v>
      </c>
      <c r="J46" s="1" t="s">
        <v>233</v>
      </c>
      <c r="K46" s="1" t="s">
        <v>234</v>
      </c>
      <c r="L46" s="1" t="s">
        <v>10</v>
      </c>
    </row>
    <row r="47" spans="1:12" ht="15.75" customHeight="1" x14ac:dyDescent="0.25">
      <c r="A47" s="1" t="s">
        <v>12</v>
      </c>
      <c r="B47" s="21">
        <v>1</v>
      </c>
      <c r="C47" s="1" t="s">
        <v>13</v>
      </c>
      <c r="D47" s="21">
        <v>3</v>
      </c>
      <c r="E47" s="1" t="s">
        <v>143</v>
      </c>
      <c r="F47" s="21">
        <v>23</v>
      </c>
      <c r="G47" s="1" t="s">
        <v>235</v>
      </c>
      <c r="H47" s="1" t="s">
        <v>236</v>
      </c>
      <c r="I47" s="1" t="s">
        <v>237</v>
      </c>
      <c r="J47" s="1" t="s">
        <v>238</v>
      </c>
      <c r="K47" s="1" t="s">
        <v>239</v>
      </c>
      <c r="L47" s="1" t="s">
        <v>8</v>
      </c>
    </row>
    <row r="48" spans="1:12" ht="15.75" customHeight="1" x14ac:dyDescent="0.25">
      <c r="A48" s="1" t="s">
        <v>12</v>
      </c>
      <c r="B48" s="21">
        <v>1</v>
      </c>
      <c r="C48" s="1" t="s">
        <v>13</v>
      </c>
      <c r="D48" s="21">
        <v>3</v>
      </c>
      <c r="E48" s="1" t="s">
        <v>143</v>
      </c>
      <c r="F48" s="21">
        <v>24</v>
      </c>
      <c r="G48" s="1" t="s">
        <v>240</v>
      </c>
      <c r="H48" s="1" t="s">
        <v>241</v>
      </c>
      <c r="I48" s="1" t="s">
        <v>242</v>
      </c>
      <c r="J48" s="1" t="s">
        <v>243</v>
      </c>
      <c r="K48" s="1" t="s">
        <v>244</v>
      </c>
      <c r="L48" s="1" t="s">
        <v>7</v>
      </c>
    </row>
    <row r="49" spans="1:12" ht="15.75" customHeight="1" x14ac:dyDescent="0.25">
      <c r="A49" s="1" t="s">
        <v>12</v>
      </c>
      <c r="B49" s="21">
        <v>1</v>
      </c>
      <c r="C49" s="1" t="s">
        <v>13</v>
      </c>
      <c r="D49" s="21">
        <v>3</v>
      </c>
      <c r="E49" s="1" t="s">
        <v>143</v>
      </c>
      <c r="F49" s="21">
        <v>25</v>
      </c>
      <c r="G49" s="1" t="s">
        <v>245</v>
      </c>
      <c r="H49" s="1" t="s">
        <v>246</v>
      </c>
      <c r="I49" s="1" t="s">
        <v>247</v>
      </c>
      <c r="J49" s="1" t="s">
        <v>248</v>
      </c>
      <c r="K49" s="1" t="s">
        <v>249</v>
      </c>
      <c r="L49" s="1" t="s">
        <v>9</v>
      </c>
    </row>
    <row r="50" spans="1:12" ht="15.75" customHeight="1" x14ac:dyDescent="0.25">
      <c r="A50" s="1" t="s">
        <v>12</v>
      </c>
      <c r="B50" s="21">
        <v>1</v>
      </c>
      <c r="C50" s="1" t="s">
        <v>13</v>
      </c>
      <c r="D50" s="21">
        <v>3</v>
      </c>
      <c r="E50" s="1" t="s">
        <v>143</v>
      </c>
      <c r="F50" s="21">
        <v>26</v>
      </c>
      <c r="G50" s="1" t="s">
        <v>144</v>
      </c>
      <c r="H50" s="1" t="s">
        <v>250</v>
      </c>
      <c r="I50" s="1" t="s">
        <v>251</v>
      </c>
      <c r="J50" s="1" t="s">
        <v>252</v>
      </c>
      <c r="K50" s="1" t="s">
        <v>253</v>
      </c>
      <c r="L50" s="1" t="s">
        <v>10</v>
      </c>
    </row>
    <row r="51" spans="1:12" ht="15.75" customHeight="1" x14ac:dyDescent="0.25">
      <c r="A51" s="1" t="s">
        <v>12</v>
      </c>
      <c r="B51" s="21">
        <v>1</v>
      </c>
      <c r="C51" s="1" t="s">
        <v>13</v>
      </c>
      <c r="D51" s="21">
        <v>4</v>
      </c>
      <c r="E51" s="1" t="s">
        <v>254</v>
      </c>
      <c r="F51" s="21">
        <v>27</v>
      </c>
      <c r="G51" s="1" t="s">
        <v>255</v>
      </c>
      <c r="H51" s="1" t="s">
        <v>256</v>
      </c>
      <c r="I51" s="1" t="s">
        <v>257</v>
      </c>
      <c r="J51" s="1" t="s">
        <v>258</v>
      </c>
      <c r="K51" s="1" t="s">
        <v>259</v>
      </c>
      <c r="L51" s="1" t="s">
        <v>10</v>
      </c>
    </row>
    <row r="52" spans="1:12" ht="15.75" customHeight="1" x14ac:dyDescent="0.25">
      <c r="A52" s="1" t="s">
        <v>12</v>
      </c>
      <c r="B52" s="21">
        <v>1</v>
      </c>
      <c r="C52" s="1" t="s">
        <v>13</v>
      </c>
      <c r="D52" s="21">
        <v>4</v>
      </c>
      <c r="E52" s="1" t="s">
        <v>254</v>
      </c>
      <c r="F52" s="21">
        <v>1</v>
      </c>
      <c r="G52" s="1" t="s">
        <v>260</v>
      </c>
      <c r="H52" s="1" t="s">
        <v>261</v>
      </c>
      <c r="I52" s="1" t="s">
        <v>262</v>
      </c>
      <c r="J52" s="1" t="s">
        <v>263</v>
      </c>
      <c r="K52" s="1" t="s">
        <v>264</v>
      </c>
      <c r="L52" s="1" t="s">
        <v>9</v>
      </c>
    </row>
    <row r="53" spans="1:12" ht="15.75" customHeight="1" x14ac:dyDescent="0.25">
      <c r="A53" s="1" t="s">
        <v>12</v>
      </c>
      <c r="B53" s="21">
        <v>1</v>
      </c>
      <c r="C53" s="1" t="s">
        <v>13</v>
      </c>
      <c r="D53" s="21">
        <v>4</v>
      </c>
      <c r="E53" s="1" t="s">
        <v>254</v>
      </c>
      <c r="F53" s="21">
        <v>2</v>
      </c>
      <c r="G53" s="1" t="s">
        <v>265</v>
      </c>
      <c r="H53" s="1" t="s">
        <v>266</v>
      </c>
      <c r="I53" s="1" t="s">
        <v>267</v>
      </c>
      <c r="J53" s="1" t="s">
        <v>268</v>
      </c>
      <c r="K53" s="1" t="s">
        <v>269</v>
      </c>
      <c r="L53" s="1" t="s">
        <v>7</v>
      </c>
    </row>
    <row r="54" spans="1:12" ht="15.75" customHeight="1" x14ac:dyDescent="0.25">
      <c r="A54" s="1" t="s">
        <v>12</v>
      </c>
      <c r="B54" s="21">
        <v>1</v>
      </c>
      <c r="C54" s="1" t="s">
        <v>13</v>
      </c>
      <c r="D54" s="21">
        <v>4</v>
      </c>
      <c r="E54" s="1" t="s">
        <v>254</v>
      </c>
      <c r="F54" s="21">
        <v>3</v>
      </c>
      <c r="G54" s="1" t="s">
        <v>270</v>
      </c>
      <c r="H54" s="1" t="s">
        <v>271</v>
      </c>
      <c r="I54" s="1" t="s">
        <v>272</v>
      </c>
      <c r="J54" s="1" t="s">
        <v>273</v>
      </c>
      <c r="K54" s="1" t="s">
        <v>274</v>
      </c>
      <c r="L54" s="1" t="s">
        <v>7</v>
      </c>
    </row>
    <row r="55" spans="1:12" ht="15.75" customHeight="1" x14ac:dyDescent="0.25">
      <c r="A55" s="1" t="s">
        <v>12</v>
      </c>
      <c r="B55" s="21">
        <v>1</v>
      </c>
      <c r="C55" s="1" t="s">
        <v>13</v>
      </c>
      <c r="D55" s="21">
        <v>4</v>
      </c>
      <c r="E55" s="1" t="s">
        <v>254</v>
      </c>
      <c r="F55" s="21">
        <v>4</v>
      </c>
      <c r="G55" s="1" t="s">
        <v>275</v>
      </c>
      <c r="H55" s="1" t="s">
        <v>276</v>
      </c>
      <c r="I55" s="1" t="s">
        <v>277</v>
      </c>
      <c r="J55" s="1" t="s">
        <v>278</v>
      </c>
      <c r="K55" s="1" t="s">
        <v>279</v>
      </c>
      <c r="L55" s="1" t="s">
        <v>10</v>
      </c>
    </row>
    <row r="56" spans="1:12" ht="15.75" customHeight="1" x14ac:dyDescent="0.25">
      <c r="A56" s="1" t="s">
        <v>12</v>
      </c>
      <c r="B56" s="21">
        <v>1</v>
      </c>
      <c r="C56" s="1" t="s">
        <v>13</v>
      </c>
      <c r="D56" s="21">
        <v>4</v>
      </c>
      <c r="E56" s="1" t="s">
        <v>254</v>
      </c>
      <c r="F56" s="21">
        <v>5</v>
      </c>
      <c r="G56" s="1" t="s">
        <v>280</v>
      </c>
      <c r="H56" s="1" t="s">
        <v>281</v>
      </c>
      <c r="I56" s="1" t="s">
        <v>282</v>
      </c>
      <c r="J56" s="1" t="s">
        <v>283</v>
      </c>
      <c r="K56" s="1" t="s">
        <v>284</v>
      </c>
      <c r="L56" s="1" t="s">
        <v>9</v>
      </c>
    </row>
    <row r="57" spans="1:12" ht="15.75" customHeight="1" x14ac:dyDescent="0.25">
      <c r="A57" s="1" t="s">
        <v>12</v>
      </c>
      <c r="B57" s="21">
        <v>1</v>
      </c>
      <c r="C57" s="1" t="s">
        <v>13</v>
      </c>
      <c r="D57" s="21">
        <v>4</v>
      </c>
      <c r="E57" s="1" t="s">
        <v>254</v>
      </c>
      <c r="F57" s="21">
        <v>6</v>
      </c>
      <c r="G57" s="1" t="s">
        <v>285</v>
      </c>
      <c r="H57" s="1" t="s">
        <v>286</v>
      </c>
      <c r="I57" s="1" t="s">
        <v>287</v>
      </c>
      <c r="J57" s="1" t="s">
        <v>288</v>
      </c>
      <c r="K57" s="1" t="s">
        <v>289</v>
      </c>
      <c r="L57" s="1" t="s">
        <v>10</v>
      </c>
    </row>
    <row r="58" spans="1:12" ht="15.75" customHeight="1" x14ac:dyDescent="0.25">
      <c r="A58" s="1" t="s">
        <v>12</v>
      </c>
      <c r="B58" s="21">
        <v>1</v>
      </c>
      <c r="C58" s="1" t="s">
        <v>13</v>
      </c>
      <c r="D58" s="21">
        <v>4</v>
      </c>
      <c r="E58" s="1" t="s">
        <v>254</v>
      </c>
      <c r="F58" s="21">
        <v>7</v>
      </c>
      <c r="G58" s="1" t="s">
        <v>290</v>
      </c>
      <c r="H58" s="1" t="s">
        <v>291</v>
      </c>
      <c r="I58" s="1" t="s">
        <v>292</v>
      </c>
      <c r="J58" s="1" t="s">
        <v>293</v>
      </c>
      <c r="K58" s="1" t="s">
        <v>294</v>
      </c>
      <c r="L58" s="1" t="s">
        <v>8</v>
      </c>
    </row>
    <row r="59" spans="1:12" ht="15.75" customHeight="1" x14ac:dyDescent="0.25">
      <c r="A59" s="1" t="s">
        <v>12</v>
      </c>
      <c r="B59" s="21">
        <v>1</v>
      </c>
      <c r="C59" s="1" t="s">
        <v>13</v>
      </c>
      <c r="D59" s="21">
        <v>4</v>
      </c>
      <c r="E59" s="1" t="s">
        <v>254</v>
      </c>
      <c r="F59" s="21">
        <v>8</v>
      </c>
      <c r="G59" s="1" t="s">
        <v>295</v>
      </c>
      <c r="H59" s="1" t="s">
        <v>296</v>
      </c>
      <c r="I59" s="1" t="s">
        <v>297</v>
      </c>
      <c r="J59" s="1" t="s">
        <v>298</v>
      </c>
      <c r="K59" s="1" t="s">
        <v>299</v>
      </c>
      <c r="L59" s="1" t="s">
        <v>10</v>
      </c>
    </row>
    <row r="60" spans="1:12" ht="15.75" customHeight="1" x14ac:dyDescent="0.25">
      <c r="A60" s="1" t="s">
        <v>12</v>
      </c>
      <c r="B60" s="21">
        <v>1</v>
      </c>
      <c r="C60" s="1" t="s">
        <v>13</v>
      </c>
      <c r="D60" s="21">
        <v>4</v>
      </c>
      <c r="E60" s="1" t="s">
        <v>254</v>
      </c>
      <c r="F60" s="21">
        <v>9</v>
      </c>
      <c r="G60" s="1" t="s">
        <v>300</v>
      </c>
      <c r="H60" s="1" t="s">
        <v>301</v>
      </c>
      <c r="I60" s="1" t="s">
        <v>302</v>
      </c>
      <c r="J60" s="1" t="s">
        <v>303</v>
      </c>
      <c r="K60" s="1" t="s">
        <v>304</v>
      </c>
      <c r="L60" s="1" t="s">
        <v>7</v>
      </c>
    </row>
    <row r="61" spans="1:12" ht="15.75" customHeight="1" x14ac:dyDescent="0.25">
      <c r="A61" s="1" t="s">
        <v>12</v>
      </c>
      <c r="B61" s="21">
        <v>1</v>
      </c>
      <c r="C61" s="1" t="s">
        <v>13</v>
      </c>
      <c r="D61" s="21">
        <v>4</v>
      </c>
      <c r="E61" s="1" t="s">
        <v>254</v>
      </c>
      <c r="F61" s="21">
        <v>10</v>
      </c>
      <c r="G61" s="1" t="s">
        <v>305</v>
      </c>
      <c r="H61" s="1" t="s">
        <v>306</v>
      </c>
      <c r="I61" s="1" t="s">
        <v>307</v>
      </c>
      <c r="J61" s="1" t="s">
        <v>308</v>
      </c>
      <c r="K61" s="1" t="s">
        <v>309</v>
      </c>
      <c r="L61" s="1" t="s">
        <v>8</v>
      </c>
    </row>
    <row r="62" spans="1:12" ht="15.75" customHeight="1" x14ac:dyDescent="0.25">
      <c r="A62" s="1" t="s">
        <v>12</v>
      </c>
      <c r="B62" s="21">
        <v>1</v>
      </c>
      <c r="C62" s="1" t="s">
        <v>13</v>
      </c>
      <c r="D62" s="21">
        <v>4</v>
      </c>
      <c r="E62" s="1" t="s">
        <v>254</v>
      </c>
      <c r="F62" s="21">
        <v>11</v>
      </c>
      <c r="G62" s="1" t="s">
        <v>310</v>
      </c>
      <c r="H62" s="1" t="s">
        <v>311</v>
      </c>
      <c r="I62" s="1" t="s">
        <v>312</v>
      </c>
      <c r="J62" s="1" t="s">
        <v>313</v>
      </c>
      <c r="K62" s="1" t="s">
        <v>314</v>
      </c>
      <c r="L62" s="1" t="s">
        <v>10</v>
      </c>
    </row>
    <row r="63" spans="1:12" ht="15.75" customHeight="1" x14ac:dyDescent="0.25">
      <c r="A63" s="1" t="s">
        <v>12</v>
      </c>
      <c r="B63" s="21">
        <v>1</v>
      </c>
      <c r="C63" s="1" t="s">
        <v>13</v>
      </c>
      <c r="D63" s="21">
        <v>4</v>
      </c>
      <c r="E63" s="1" t="s">
        <v>254</v>
      </c>
      <c r="F63" s="21">
        <v>12</v>
      </c>
      <c r="G63" s="1" t="s">
        <v>315</v>
      </c>
      <c r="H63" s="1" t="s">
        <v>316</v>
      </c>
      <c r="I63" s="1" t="s">
        <v>317</v>
      </c>
      <c r="J63" s="1" t="s">
        <v>318</v>
      </c>
      <c r="K63" s="1" t="s">
        <v>319</v>
      </c>
      <c r="L63" s="1" t="s">
        <v>8</v>
      </c>
    </row>
    <row r="64" spans="1:12" ht="15.75" customHeight="1" x14ac:dyDescent="0.25">
      <c r="A64" s="1" t="s">
        <v>12</v>
      </c>
      <c r="B64" s="21">
        <v>1</v>
      </c>
      <c r="C64" s="1" t="s">
        <v>13</v>
      </c>
      <c r="D64" s="21">
        <v>4</v>
      </c>
      <c r="E64" s="1" t="s">
        <v>254</v>
      </c>
      <c r="F64" s="21">
        <v>13</v>
      </c>
      <c r="G64" s="1" t="s">
        <v>320</v>
      </c>
      <c r="H64" s="1" t="s">
        <v>321</v>
      </c>
      <c r="I64" s="1" t="s">
        <v>322</v>
      </c>
      <c r="J64" s="1" t="s">
        <v>323</v>
      </c>
      <c r="K64" s="1" t="s">
        <v>324</v>
      </c>
      <c r="L64" s="1" t="s">
        <v>10</v>
      </c>
    </row>
    <row r="65" spans="1:12" ht="15.75" customHeight="1" x14ac:dyDescent="0.25">
      <c r="A65" s="1" t="s">
        <v>12</v>
      </c>
      <c r="B65" s="21">
        <v>1</v>
      </c>
      <c r="C65" s="1" t="s">
        <v>13</v>
      </c>
      <c r="D65" s="21">
        <v>4</v>
      </c>
      <c r="E65" s="1" t="s">
        <v>254</v>
      </c>
      <c r="F65" s="21">
        <v>14</v>
      </c>
      <c r="G65" s="1" t="s">
        <v>325</v>
      </c>
      <c r="H65" s="1" t="s">
        <v>326</v>
      </c>
      <c r="I65" s="1" t="s">
        <v>327</v>
      </c>
      <c r="J65" s="1" t="s">
        <v>328</v>
      </c>
      <c r="K65" s="1" t="s">
        <v>329</v>
      </c>
      <c r="L65" s="1" t="s">
        <v>9</v>
      </c>
    </row>
    <row r="66" spans="1:12" ht="15.75" customHeight="1" x14ac:dyDescent="0.25">
      <c r="A66" s="1" t="s">
        <v>12</v>
      </c>
      <c r="B66" s="21">
        <v>1</v>
      </c>
      <c r="C66" s="1" t="s">
        <v>13</v>
      </c>
      <c r="D66" s="21">
        <v>4</v>
      </c>
      <c r="E66" s="1" t="s">
        <v>254</v>
      </c>
      <c r="F66" s="21">
        <v>15</v>
      </c>
      <c r="G66" s="1" t="s">
        <v>330</v>
      </c>
      <c r="H66" s="1" t="s">
        <v>331</v>
      </c>
      <c r="I66" s="1" t="s">
        <v>332</v>
      </c>
      <c r="J66" s="1" t="s">
        <v>333</v>
      </c>
      <c r="K66" s="1" t="s">
        <v>334</v>
      </c>
      <c r="L66" s="1" t="s">
        <v>7</v>
      </c>
    </row>
    <row r="67" spans="1:12" ht="15.75" customHeight="1" x14ac:dyDescent="0.25">
      <c r="A67" s="1" t="s">
        <v>12</v>
      </c>
      <c r="B67" s="21">
        <v>1</v>
      </c>
      <c r="C67" s="1" t="s">
        <v>13</v>
      </c>
      <c r="D67" s="21">
        <v>4</v>
      </c>
      <c r="E67" s="1" t="s">
        <v>254</v>
      </c>
      <c r="F67" s="21">
        <v>16</v>
      </c>
      <c r="G67" s="1" t="s">
        <v>335</v>
      </c>
      <c r="H67" s="1" t="s">
        <v>336</v>
      </c>
      <c r="I67" s="1" t="s">
        <v>337</v>
      </c>
      <c r="J67" s="1" t="s">
        <v>338</v>
      </c>
      <c r="K67" s="1" t="s">
        <v>339</v>
      </c>
      <c r="L67" s="1" t="s">
        <v>9</v>
      </c>
    </row>
    <row r="68" spans="1:12" ht="15.75" customHeight="1" x14ac:dyDescent="0.25">
      <c r="A68" s="1" t="s">
        <v>12</v>
      </c>
      <c r="B68" s="21">
        <v>1</v>
      </c>
      <c r="C68" s="1" t="s">
        <v>13</v>
      </c>
      <c r="D68" s="21">
        <v>4</v>
      </c>
      <c r="E68" s="1" t="s">
        <v>254</v>
      </c>
      <c r="F68" s="21">
        <v>17</v>
      </c>
      <c r="G68" s="1" t="s">
        <v>340</v>
      </c>
      <c r="H68" s="1" t="s">
        <v>341</v>
      </c>
      <c r="I68" s="1" t="s">
        <v>342</v>
      </c>
      <c r="J68" s="1" t="s">
        <v>343</v>
      </c>
      <c r="K68" s="1" t="s">
        <v>344</v>
      </c>
      <c r="L68" s="1" t="s">
        <v>9</v>
      </c>
    </row>
    <row r="69" spans="1:12" ht="15.75" customHeight="1" x14ac:dyDescent="0.25">
      <c r="A69" s="1" t="s">
        <v>12</v>
      </c>
      <c r="B69" s="21">
        <v>1</v>
      </c>
      <c r="C69" s="1" t="s">
        <v>13</v>
      </c>
      <c r="D69" s="21">
        <v>4</v>
      </c>
      <c r="E69" s="1" t="s">
        <v>254</v>
      </c>
      <c r="F69" s="21">
        <v>18</v>
      </c>
      <c r="G69" s="1" t="s">
        <v>345</v>
      </c>
      <c r="H69" s="1" t="s">
        <v>155</v>
      </c>
      <c r="I69" s="1" t="s">
        <v>346</v>
      </c>
      <c r="J69" s="1" t="s">
        <v>347</v>
      </c>
      <c r="K69" s="1" t="s">
        <v>348</v>
      </c>
      <c r="L69" s="1" t="s">
        <v>8</v>
      </c>
    </row>
    <row r="70" spans="1:12" ht="15.75" customHeight="1" x14ac:dyDescent="0.25">
      <c r="A70" s="1" t="s">
        <v>12</v>
      </c>
      <c r="B70" s="21">
        <v>1</v>
      </c>
      <c r="C70" s="1" t="s">
        <v>13</v>
      </c>
      <c r="D70" s="21">
        <v>4</v>
      </c>
      <c r="E70" s="1" t="s">
        <v>254</v>
      </c>
      <c r="F70" s="21">
        <v>19</v>
      </c>
      <c r="G70" s="1" t="s">
        <v>144</v>
      </c>
      <c r="H70" s="1" t="s">
        <v>349</v>
      </c>
      <c r="I70" s="1" t="s">
        <v>350</v>
      </c>
      <c r="J70" s="1" t="s">
        <v>351</v>
      </c>
      <c r="K70" s="1" t="s">
        <v>352</v>
      </c>
      <c r="L70" s="1" t="s">
        <v>10</v>
      </c>
    </row>
    <row r="71" spans="1:12" ht="15.75" customHeight="1" x14ac:dyDescent="0.25">
      <c r="A71" s="1" t="s">
        <v>12</v>
      </c>
      <c r="B71" s="21">
        <v>1</v>
      </c>
      <c r="C71" s="1" t="s">
        <v>13</v>
      </c>
      <c r="D71" s="21">
        <v>4</v>
      </c>
      <c r="E71" s="1" t="s">
        <v>254</v>
      </c>
      <c r="F71" s="21">
        <v>20</v>
      </c>
      <c r="G71" s="1" t="s">
        <v>353</v>
      </c>
      <c r="H71" s="1" t="s">
        <v>354</v>
      </c>
      <c r="I71" s="1" t="s">
        <v>355</v>
      </c>
      <c r="J71" s="1" t="s">
        <v>356</v>
      </c>
      <c r="K71" s="1" t="s">
        <v>357</v>
      </c>
      <c r="L71" s="1" t="s">
        <v>8</v>
      </c>
    </row>
    <row r="72" spans="1:12" ht="15.75" customHeight="1" x14ac:dyDescent="0.25">
      <c r="A72" s="1" t="s">
        <v>12</v>
      </c>
      <c r="B72" s="21">
        <v>1</v>
      </c>
      <c r="C72" s="1" t="s">
        <v>13</v>
      </c>
      <c r="D72" s="21">
        <v>4</v>
      </c>
      <c r="E72" s="1" t="s">
        <v>254</v>
      </c>
      <c r="F72" s="21">
        <v>21</v>
      </c>
      <c r="G72" s="1" t="s">
        <v>358</v>
      </c>
      <c r="H72" s="1" t="s">
        <v>359</v>
      </c>
      <c r="I72" s="1" t="s">
        <v>360</v>
      </c>
      <c r="J72" s="1" t="s">
        <v>361</v>
      </c>
      <c r="K72" s="1" t="s">
        <v>362</v>
      </c>
      <c r="L72" s="1" t="s">
        <v>7</v>
      </c>
    </row>
    <row r="73" spans="1:12" ht="15.75" customHeight="1" x14ac:dyDescent="0.25">
      <c r="A73" s="1" t="s">
        <v>12</v>
      </c>
      <c r="B73" s="21">
        <v>1</v>
      </c>
      <c r="C73" s="1" t="s">
        <v>13</v>
      </c>
      <c r="D73" s="21">
        <v>4</v>
      </c>
      <c r="E73" s="1" t="s">
        <v>254</v>
      </c>
      <c r="F73" s="21">
        <v>22</v>
      </c>
      <c r="G73" s="1" t="s">
        <v>363</v>
      </c>
      <c r="H73" s="1" t="s">
        <v>364</v>
      </c>
      <c r="I73" s="1" t="s">
        <v>365</v>
      </c>
      <c r="J73" s="1" t="s">
        <v>366</v>
      </c>
      <c r="K73" s="1" t="s">
        <v>367</v>
      </c>
      <c r="L73" s="1" t="s">
        <v>10</v>
      </c>
    </row>
    <row r="74" spans="1:12" ht="15.75" customHeight="1" x14ac:dyDescent="0.25">
      <c r="A74" s="1" t="s">
        <v>12</v>
      </c>
      <c r="B74" s="21">
        <v>1</v>
      </c>
      <c r="C74" s="1" t="s">
        <v>13</v>
      </c>
      <c r="D74" s="21">
        <v>4</v>
      </c>
      <c r="E74" s="1" t="s">
        <v>254</v>
      </c>
      <c r="F74" s="21">
        <v>23</v>
      </c>
      <c r="G74" s="1" t="s">
        <v>368</v>
      </c>
      <c r="H74" s="1" t="s">
        <v>369</v>
      </c>
      <c r="I74" s="1" t="s">
        <v>370</v>
      </c>
      <c r="J74" s="1" t="s">
        <v>371</v>
      </c>
      <c r="K74" s="1" t="s">
        <v>372</v>
      </c>
      <c r="L74" s="1" t="s">
        <v>10</v>
      </c>
    </row>
    <row r="75" spans="1:12" ht="15.75" customHeight="1" x14ac:dyDescent="0.25">
      <c r="A75" s="1" t="s">
        <v>12</v>
      </c>
      <c r="B75" s="21">
        <v>1</v>
      </c>
      <c r="C75" s="1" t="s">
        <v>13</v>
      </c>
      <c r="D75" s="21">
        <v>4</v>
      </c>
      <c r="E75" s="1" t="s">
        <v>254</v>
      </c>
      <c r="F75" s="21">
        <v>24</v>
      </c>
      <c r="G75" s="1" t="s">
        <v>373</v>
      </c>
      <c r="H75" s="1" t="s">
        <v>374</v>
      </c>
      <c r="I75" s="1" t="s">
        <v>375</v>
      </c>
      <c r="J75" s="1" t="s">
        <v>376</v>
      </c>
      <c r="K75" s="1" t="s">
        <v>377</v>
      </c>
      <c r="L75" s="1" t="s">
        <v>10</v>
      </c>
    </row>
    <row r="76" spans="1:12" ht="15.75" customHeight="1" x14ac:dyDescent="0.25">
      <c r="A76" s="1" t="s">
        <v>12</v>
      </c>
      <c r="B76" s="21">
        <v>1</v>
      </c>
      <c r="C76" s="1" t="s">
        <v>13</v>
      </c>
      <c r="D76" s="21">
        <v>4</v>
      </c>
      <c r="E76" s="1" t="s">
        <v>254</v>
      </c>
      <c r="F76" s="21">
        <v>26</v>
      </c>
      <c r="G76" s="1" t="s">
        <v>378</v>
      </c>
      <c r="H76" s="1" t="s">
        <v>379</v>
      </c>
      <c r="I76" s="1" t="s">
        <v>380</v>
      </c>
      <c r="J76" s="1" t="s">
        <v>381</v>
      </c>
      <c r="K76" s="1" t="s">
        <v>382</v>
      </c>
      <c r="L76" s="1" t="s">
        <v>9</v>
      </c>
    </row>
    <row r="77" spans="1:12" ht="15.75" customHeight="1" x14ac:dyDescent="0.25">
      <c r="A77" s="1" t="s">
        <v>12</v>
      </c>
      <c r="B77" s="21">
        <v>1</v>
      </c>
      <c r="C77" s="1" t="s">
        <v>13</v>
      </c>
      <c r="D77" s="21">
        <v>4</v>
      </c>
      <c r="E77" s="1" t="s">
        <v>254</v>
      </c>
      <c r="F77" s="21">
        <v>27</v>
      </c>
      <c r="G77" s="1" t="s">
        <v>383</v>
      </c>
      <c r="H77" s="1" t="s">
        <v>384</v>
      </c>
      <c r="I77" s="1" t="s">
        <v>385</v>
      </c>
      <c r="J77" s="1" t="s">
        <v>386</v>
      </c>
      <c r="K77" s="1" t="s">
        <v>387</v>
      </c>
      <c r="L77" s="1" t="s">
        <v>10</v>
      </c>
    </row>
    <row r="78" spans="1:12" ht="15.75" customHeight="1" x14ac:dyDescent="0.25">
      <c r="A78" s="1" t="s">
        <v>12</v>
      </c>
      <c r="B78" s="21">
        <v>1</v>
      </c>
      <c r="C78" s="1" t="s">
        <v>13</v>
      </c>
      <c r="D78" s="21">
        <v>4</v>
      </c>
      <c r="E78" s="1" t="s">
        <v>254</v>
      </c>
      <c r="F78" s="21">
        <v>28</v>
      </c>
      <c r="G78" s="1" t="s">
        <v>388</v>
      </c>
      <c r="H78" s="1" t="s">
        <v>389</v>
      </c>
      <c r="I78" s="1" t="s">
        <v>390</v>
      </c>
      <c r="J78" s="1" t="s">
        <v>391</v>
      </c>
      <c r="K78" s="1" t="s">
        <v>392</v>
      </c>
      <c r="L78" s="1" t="s">
        <v>7</v>
      </c>
    </row>
    <row r="79" spans="1:12" ht="15.75" customHeight="1" x14ac:dyDescent="0.25">
      <c r="A79" s="1" t="s">
        <v>12</v>
      </c>
      <c r="B79" s="21">
        <v>1</v>
      </c>
      <c r="C79" s="1" t="s">
        <v>13</v>
      </c>
      <c r="D79" s="21">
        <v>4</v>
      </c>
      <c r="E79" s="1" t="s">
        <v>254</v>
      </c>
      <c r="F79" s="21">
        <v>29</v>
      </c>
      <c r="G79" s="1" t="s">
        <v>393</v>
      </c>
      <c r="H79" s="1" t="s">
        <v>394</v>
      </c>
      <c r="I79" s="1" t="s">
        <v>395</v>
      </c>
      <c r="J79" s="1" t="s">
        <v>396</v>
      </c>
      <c r="K79" s="1" t="s">
        <v>397</v>
      </c>
      <c r="L79" s="1" t="s">
        <v>8</v>
      </c>
    </row>
    <row r="80" spans="1:12" ht="15.75" customHeight="1" x14ac:dyDescent="0.25">
      <c r="A80" s="1" t="s">
        <v>12</v>
      </c>
      <c r="B80" s="21">
        <v>2</v>
      </c>
      <c r="C80" s="1" t="s">
        <v>398</v>
      </c>
      <c r="D80" s="21">
        <v>5</v>
      </c>
      <c r="E80" s="1" t="s">
        <v>399</v>
      </c>
      <c r="F80" s="21">
        <v>5</v>
      </c>
      <c r="G80" s="1" t="s">
        <v>400</v>
      </c>
      <c r="H80" s="1" t="s">
        <v>401</v>
      </c>
      <c r="I80" s="1" t="s">
        <v>402</v>
      </c>
      <c r="J80" s="1" t="s">
        <v>403</v>
      </c>
      <c r="L80" s="1" t="s">
        <v>9</v>
      </c>
    </row>
    <row r="81" spans="1:12" ht="15.75" customHeight="1" x14ac:dyDescent="0.25">
      <c r="A81" s="1" t="s">
        <v>12</v>
      </c>
      <c r="B81" s="21">
        <v>2</v>
      </c>
      <c r="C81" s="1" t="s">
        <v>398</v>
      </c>
      <c r="D81" s="21">
        <v>5</v>
      </c>
      <c r="E81" s="1" t="s">
        <v>399</v>
      </c>
      <c r="F81" s="21">
        <v>6</v>
      </c>
      <c r="G81" s="1" t="s">
        <v>404</v>
      </c>
      <c r="H81" s="1" t="s">
        <v>405</v>
      </c>
      <c r="I81" s="1" t="s">
        <v>406</v>
      </c>
      <c r="J81" s="1" t="s">
        <v>407</v>
      </c>
      <c r="L81" s="1" t="s">
        <v>8</v>
      </c>
    </row>
    <row r="82" spans="1:12" ht="15.75" customHeight="1" x14ac:dyDescent="0.25">
      <c r="A82" s="1" t="s">
        <v>12</v>
      </c>
      <c r="B82" s="21">
        <v>2</v>
      </c>
      <c r="C82" s="1" t="s">
        <v>398</v>
      </c>
      <c r="D82" s="21">
        <v>5</v>
      </c>
      <c r="E82" s="1" t="s">
        <v>399</v>
      </c>
      <c r="F82" s="21">
        <v>7</v>
      </c>
      <c r="G82" s="1" t="s">
        <v>408</v>
      </c>
      <c r="H82" s="1" t="s">
        <v>405</v>
      </c>
      <c r="I82" s="1" t="s">
        <v>406</v>
      </c>
      <c r="J82" s="1" t="s">
        <v>407</v>
      </c>
      <c r="L82" s="1" t="s">
        <v>8</v>
      </c>
    </row>
    <row r="83" spans="1:12" ht="15.75" customHeight="1" x14ac:dyDescent="0.25">
      <c r="A83" s="1" t="s">
        <v>12</v>
      </c>
      <c r="B83" s="21">
        <v>2</v>
      </c>
      <c r="C83" s="1" t="s">
        <v>398</v>
      </c>
      <c r="D83" s="21">
        <v>5</v>
      </c>
      <c r="E83" s="1" t="s">
        <v>399</v>
      </c>
      <c r="F83" s="21">
        <v>8</v>
      </c>
      <c r="G83" s="1" t="s">
        <v>409</v>
      </c>
      <c r="H83" s="1" t="s">
        <v>405</v>
      </c>
      <c r="I83" s="1" t="s">
        <v>406</v>
      </c>
      <c r="J83" s="1" t="s">
        <v>407</v>
      </c>
      <c r="L83" s="1" t="s">
        <v>7</v>
      </c>
    </row>
    <row r="84" spans="1:12" ht="15.75" customHeight="1" x14ac:dyDescent="0.25">
      <c r="A84" s="1" t="s">
        <v>12</v>
      </c>
      <c r="B84" s="21">
        <v>2</v>
      </c>
      <c r="C84" s="1" t="s">
        <v>398</v>
      </c>
      <c r="D84" s="21">
        <v>5</v>
      </c>
      <c r="E84" s="1" t="s">
        <v>399</v>
      </c>
      <c r="F84" s="21">
        <v>9</v>
      </c>
      <c r="G84" s="1" t="s">
        <v>410</v>
      </c>
      <c r="H84" s="1" t="s">
        <v>405</v>
      </c>
      <c r="I84" s="1" t="s">
        <v>406</v>
      </c>
      <c r="J84" s="1" t="s">
        <v>407</v>
      </c>
      <c r="L84" s="1" t="s">
        <v>9</v>
      </c>
    </row>
    <row r="85" spans="1:12" ht="15.75" customHeight="1" x14ac:dyDescent="0.25">
      <c r="A85" s="1" t="s">
        <v>12</v>
      </c>
      <c r="B85" s="21">
        <v>2</v>
      </c>
      <c r="C85" s="1" t="s">
        <v>398</v>
      </c>
      <c r="D85" s="21">
        <v>5</v>
      </c>
      <c r="E85" s="1" t="s">
        <v>399</v>
      </c>
      <c r="F85" s="21">
        <v>10</v>
      </c>
      <c r="G85" s="1" t="s">
        <v>411</v>
      </c>
      <c r="H85" s="1" t="s">
        <v>412</v>
      </c>
      <c r="I85" s="1" t="s">
        <v>413</v>
      </c>
      <c r="J85" s="1" t="s">
        <v>414</v>
      </c>
      <c r="L85" s="1" t="s">
        <v>8</v>
      </c>
    </row>
    <row r="86" spans="1:12" ht="15.75" customHeight="1" x14ac:dyDescent="0.25">
      <c r="A86" s="1" t="s">
        <v>12</v>
      </c>
      <c r="B86" s="21">
        <v>2</v>
      </c>
      <c r="C86" s="1" t="s">
        <v>398</v>
      </c>
      <c r="D86" s="21">
        <v>5</v>
      </c>
      <c r="E86" s="1" t="s">
        <v>399</v>
      </c>
      <c r="F86" s="21">
        <v>11</v>
      </c>
      <c r="G86" s="1" t="s">
        <v>415</v>
      </c>
      <c r="H86" s="1" t="s">
        <v>405</v>
      </c>
      <c r="I86" s="1" t="s">
        <v>406</v>
      </c>
      <c r="J86" s="1" t="s">
        <v>407</v>
      </c>
      <c r="L86" s="1" t="s">
        <v>8</v>
      </c>
    </row>
    <row r="87" spans="1:12" ht="15.75" customHeight="1" x14ac:dyDescent="0.25">
      <c r="A87" s="1" t="s">
        <v>12</v>
      </c>
      <c r="B87" s="21">
        <v>2</v>
      </c>
      <c r="C87" s="1" t="s">
        <v>398</v>
      </c>
      <c r="D87" s="21">
        <v>5</v>
      </c>
      <c r="E87" s="1" t="s">
        <v>399</v>
      </c>
      <c r="F87" s="21">
        <v>12</v>
      </c>
      <c r="G87" s="1" t="s">
        <v>416</v>
      </c>
      <c r="H87" s="1" t="s">
        <v>405</v>
      </c>
      <c r="I87" s="1" t="s">
        <v>406</v>
      </c>
      <c r="J87" s="1" t="s">
        <v>407</v>
      </c>
      <c r="L87" s="1" t="s">
        <v>7</v>
      </c>
    </row>
    <row r="88" spans="1:12" ht="15.75" customHeight="1" x14ac:dyDescent="0.25">
      <c r="A88" s="1" t="s">
        <v>12</v>
      </c>
      <c r="B88" s="21">
        <v>2</v>
      </c>
      <c r="C88" s="1" t="s">
        <v>398</v>
      </c>
      <c r="D88" s="21">
        <v>5</v>
      </c>
      <c r="E88" s="1" t="s">
        <v>399</v>
      </c>
      <c r="F88" s="21">
        <v>13</v>
      </c>
      <c r="G88" s="1" t="s">
        <v>417</v>
      </c>
      <c r="H88" s="1" t="s">
        <v>405</v>
      </c>
      <c r="I88" s="1" t="s">
        <v>406</v>
      </c>
      <c r="J88" s="1" t="s">
        <v>407</v>
      </c>
      <c r="L88" s="1" t="s">
        <v>7</v>
      </c>
    </row>
    <row r="89" spans="1:12" ht="15.75" customHeight="1" x14ac:dyDescent="0.25">
      <c r="A89" s="1" t="s">
        <v>12</v>
      </c>
      <c r="B89" s="21">
        <v>2</v>
      </c>
      <c r="C89" s="1" t="s">
        <v>398</v>
      </c>
      <c r="D89" s="21">
        <v>5</v>
      </c>
      <c r="E89" s="1" t="s">
        <v>399</v>
      </c>
      <c r="F89" s="21">
        <v>14</v>
      </c>
      <c r="G89" s="1" t="s">
        <v>418</v>
      </c>
      <c r="H89" s="1" t="s">
        <v>419</v>
      </c>
      <c r="I89" s="1" t="s">
        <v>420</v>
      </c>
      <c r="J89" s="1" t="s">
        <v>405</v>
      </c>
      <c r="L89" s="1" t="s">
        <v>7</v>
      </c>
    </row>
    <row r="90" spans="1:12" ht="15.75" customHeight="1" x14ac:dyDescent="0.25">
      <c r="A90" s="1" t="s">
        <v>12</v>
      </c>
      <c r="B90" s="21">
        <v>2</v>
      </c>
      <c r="C90" s="1" t="s">
        <v>398</v>
      </c>
      <c r="D90" s="21">
        <v>5</v>
      </c>
      <c r="E90" s="1" t="s">
        <v>399</v>
      </c>
      <c r="F90" s="21">
        <v>15</v>
      </c>
      <c r="G90" s="1" t="s">
        <v>421</v>
      </c>
      <c r="H90" s="1" t="s">
        <v>405</v>
      </c>
      <c r="I90" s="1" t="s">
        <v>406</v>
      </c>
      <c r="J90" s="1" t="s">
        <v>422</v>
      </c>
      <c r="L90" s="1" t="s">
        <v>9</v>
      </c>
    </row>
    <row r="91" spans="1:12" ht="15.75" customHeight="1" x14ac:dyDescent="0.25">
      <c r="A91" s="1" t="s">
        <v>12</v>
      </c>
      <c r="B91" s="21">
        <v>2</v>
      </c>
      <c r="C91" s="1" t="s">
        <v>398</v>
      </c>
      <c r="D91" s="21">
        <v>5</v>
      </c>
      <c r="E91" s="1" t="s">
        <v>399</v>
      </c>
      <c r="F91" s="21">
        <v>16</v>
      </c>
      <c r="G91" s="1" t="s">
        <v>423</v>
      </c>
      <c r="H91" s="1" t="s">
        <v>424</v>
      </c>
      <c r="I91" s="1" t="s">
        <v>425</v>
      </c>
      <c r="J91" s="1" t="s">
        <v>426</v>
      </c>
      <c r="L91" s="1" t="s">
        <v>7</v>
      </c>
    </row>
    <row r="92" spans="1:12" ht="15.75" customHeight="1" x14ac:dyDescent="0.25">
      <c r="A92" s="1" t="s">
        <v>12</v>
      </c>
      <c r="B92" s="21">
        <v>2</v>
      </c>
      <c r="C92" s="1" t="s">
        <v>398</v>
      </c>
      <c r="D92" s="21">
        <v>5</v>
      </c>
      <c r="E92" s="1" t="s">
        <v>399</v>
      </c>
      <c r="F92" s="21">
        <v>17</v>
      </c>
      <c r="G92" s="1" t="s">
        <v>427</v>
      </c>
      <c r="H92" s="1" t="s">
        <v>428</v>
      </c>
      <c r="I92" s="1" t="s">
        <v>406</v>
      </c>
      <c r="J92" s="1" t="s">
        <v>414</v>
      </c>
      <c r="L92" s="1" t="s">
        <v>7</v>
      </c>
    </row>
    <row r="93" spans="1:12" ht="15.75" customHeight="1" x14ac:dyDescent="0.25">
      <c r="A93" s="1" t="s">
        <v>12</v>
      </c>
      <c r="B93" s="21">
        <v>2</v>
      </c>
      <c r="C93" s="1" t="s">
        <v>398</v>
      </c>
      <c r="D93" s="21">
        <v>5</v>
      </c>
      <c r="E93" s="1" t="s">
        <v>399</v>
      </c>
      <c r="F93" s="21">
        <v>18</v>
      </c>
      <c r="G93" s="1" t="s">
        <v>429</v>
      </c>
      <c r="H93" s="1" t="s">
        <v>430</v>
      </c>
      <c r="I93" s="1" t="s">
        <v>431</v>
      </c>
      <c r="J93" s="1" t="s">
        <v>432</v>
      </c>
      <c r="L93" s="1" t="s">
        <v>7</v>
      </c>
    </row>
    <row r="94" spans="1:12" ht="15.75" customHeight="1" x14ac:dyDescent="0.25">
      <c r="A94" s="1" t="s">
        <v>12</v>
      </c>
      <c r="B94" s="21">
        <v>2</v>
      </c>
      <c r="C94" s="1" t="s">
        <v>398</v>
      </c>
      <c r="D94" s="21">
        <v>5</v>
      </c>
      <c r="E94" s="1" t="s">
        <v>399</v>
      </c>
      <c r="F94" s="21">
        <v>19</v>
      </c>
      <c r="G94" s="1" t="s">
        <v>433</v>
      </c>
      <c r="H94" s="1" t="s">
        <v>405</v>
      </c>
      <c r="I94" s="1" t="s">
        <v>406</v>
      </c>
      <c r="J94" s="1" t="s">
        <v>407</v>
      </c>
      <c r="L94" s="1" t="s">
        <v>8</v>
      </c>
    </row>
    <row r="95" spans="1:12" ht="15.75" customHeight="1" x14ac:dyDescent="0.25">
      <c r="A95" s="1" t="s">
        <v>12</v>
      </c>
      <c r="B95" s="21">
        <v>2</v>
      </c>
      <c r="C95" s="1" t="s">
        <v>398</v>
      </c>
      <c r="D95" s="21">
        <v>5</v>
      </c>
      <c r="E95" s="1" t="s">
        <v>399</v>
      </c>
      <c r="F95" s="21">
        <v>20</v>
      </c>
      <c r="G95" s="1" t="s">
        <v>434</v>
      </c>
      <c r="H95" s="1" t="s">
        <v>405</v>
      </c>
      <c r="I95" s="1" t="s">
        <v>406</v>
      </c>
      <c r="J95" s="1" t="s">
        <v>407</v>
      </c>
      <c r="L95" s="1" t="s">
        <v>8</v>
      </c>
    </row>
    <row r="96" spans="1:12" ht="15.75" customHeight="1" x14ac:dyDescent="0.25">
      <c r="A96" s="1" t="s">
        <v>12</v>
      </c>
      <c r="B96" s="21">
        <v>2</v>
      </c>
      <c r="C96" s="1" t="s">
        <v>398</v>
      </c>
      <c r="D96" s="21">
        <v>6</v>
      </c>
      <c r="E96" s="1" t="s">
        <v>435</v>
      </c>
      <c r="F96" s="21">
        <v>1</v>
      </c>
      <c r="G96" s="1" t="s">
        <v>436</v>
      </c>
      <c r="H96" s="1" t="s">
        <v>405</v>
      </c>
      <c r="I96" s="1" t="s">
        <v>407</v>
      </c>
      <c r="J96" s="1" t="s">
        <v>406</v>
      </c>
      <c r="L96" s="1" t="s">
        <v>9</v>
      </c>
    </row>
    <row r="97" spans="1:12" ht="15.75" customHeight="1" x14ac:dyDescent="0.25">
      <c r="A97" s="1" t="s">
        <v>12</v>
      </c>
      <c r="B97" s="21">
        <v>2</v>
      </c>
      <c r="C97" s="1" t="s">
        <v>398</v>
      </c>
      <c r="D97" s="21">
        <v>6</v>
      </c>
      <c r="E97" s="1" t="s">
        <v>435</v>
      </c>
      <c r="F97" s="21">
        <v>2</v>
      </c>
      <c r="G97" s="1" t="s">
        <v>437</v>
      </c>
      <c r="H97" s="1" t="s">
        <v>405</v>
      </c>
      <c r="I97" s="1" t="s">
        <v>407</v>
      </c>
      <c r="J97" s="1" t="s">
        <v>406</v>
      </c>
      <c r="L97" s="1" t="s">
        <v>9</v>
      </c>
    </row>
    <row r="98" spans="1:12" ht="15.75" customHeight="1" x14ac:dyDescent="0.25">
      <c r="A98" s="1" t="s">
        <v>12</v>
      </c>
      <c r="B98" s="21">
        <v>2</v>
      </c>
      <c r="C98" s="1" t="s">
        <v>398</v>
      </c>
      <c r="D98" s="21">
        <v>6</v>
      </c>
      <c r="E98" s="1" t="s">
        <v>435</v>
      </c>
      <c r="F98" s="21">
        <v>3</v>
      </c>
      <c r="G98" s="1" t="s">
        <v>438</v>
      </c>
      <c r="H98" s="1" t="s">
        <v>439</v>
      </c>
      <c r="I98" s="1" t="s">
        <v>440</v>
      </c>
      <c r="J98" s="1" t="s">
        <v>441</v>
      </c>
      <c r="L98" s="1" t="s">
        <v>9</v>
      </c>
    </row>
    <row r="99" spans="1:12" ht="15.75" customHeight="1" x14ac:dyDescent="0.25">
      <c r="A99" s="1" t="s">
        <v>12</v>
      </c>
      <c r="B99" s="21">
        <v>2</v>
      </c>
      <c r="C99" s="1" t="s">
        <v>398</v>
      </c>
      <c r="D99" s="21">
        <v>6</v>
      </c>
      <c r="E99" s="1" t="s">
        <v>435</v>
      </c>
      <c r="F99" s="21">
        <v>4</v>
      </c>
      <c r="G99" s="1" t="s">
        <v>442</v>
      </c>
      <c r="H99" s="1" t="s">
        <v>140</v>
      </c>
      <c r="I99" s="1" t="s">
        <v>405</v>
      </c>
      <c r="J99" s="1" t="s">
        <v>407</v>
      </c>
      <c r="L99" s="1" t="s">
        <v>7</v>
      </c>
    </row>
    <row r="100" spans="1:12" ht="15.75" customHeight="1" x14ac:dyDescent="0.25">
      <c r="A100" s="1" t="s">
        <v>12</v>
      </c>
      <c r="B100" s="21">
        <v>2</v>
      </c>
      <c r="C100" s="1" t="s">
        <v>398</v>
      </c>
      <c r="D100" s="21">
        <v>6</v>
      </c>
      <c r="E100" s="1" t="s">
        <v>435</v>
      </c>
      <c r="F100" s="21">
        <v>5</v>
      </c>
      <c r="G100" s="1" t="s">
        <v>443</v>
      </c>
      <c r="H100" s="1" t="s">
        <v>444</v>
      </c>
      <c r="I100" s="1" t="s">
        <v>445</v>
      </c>
      <c r="J100" s="1" t="s">
        <v>446</v>
      </c>
      <c r="K100" s="1" t="s">
        <v>447</v>
      </c>
      <c r="L100" s="1" t="s">
        <v>8</v>
      </c>
    </row>
    <row r="101" spans="1:12" ht="15.75" customHeight="1" x14ac:dyDescent="0.25">
      <c r="A101" s="1" t="s">
        <v>12</v>
      </c>
      <c r="B101" s="21">
        <v>2</v>
      </c>
      <c r="C101" s="1" t="s">
        <v>398</v>
      </c>
      <c r="D101" s="21">
        <v>6</v>
      </c>
      <c r="E101" s="1" t="s">
        <v>435</v>
      </c>
      <c r="F101" s="21">
        <v>6</v>
      </c>
      <c r="G101" s="1" t="s">
        <v>448</v>
      </c>
      <c r="H101" s="1" t="s">
        <v>449</v>
      </c>
      <c r="I101" s="1" t="s">
        <v>450</v>
      </c>
      <c r="J101" s="1" t="s">
        <v>451</v>
      </c>
      <c r="K101" s="1" t="s">
        <v>452</v>
      </c>
      <c r="L101" s="1" t="s">
        <v>8</v>
      </c>
    </row>
    <row r="102" spans="1:12" ht="15.75" customHeight="1" x14ac:dyDescent="0.25">
      <c r="A102" s="1" t="s">
        <v>12</v>
      </c>
      <c r="B102" s="21">
        <v>2</v>
      </c>
      <c r="C102" s="1" t="s">
        <v>398</v>
      </c>
      <c r="D102" s="21">
        <v>6</v>
      </c>
      <c r="E102" s="1" t="s">
        <v>435</v>
      </c>
      <c r="F102" s="21">
        <v>7</v>
      </c>
      <c r="G102" s="1" t="s">
        <v>453</v>
      </c>
      <c r="H102" s="1" t="s">
        <v>454</v>
      </c>
      <c r="I102" s="1" t="s">
        <v>455</v>
      </c>
      <c r="J102" s="1" t="s">
        <v>456</v>
      </c>
      <c r="L102" s="1" t="s">
        <v>7</v>
      </c>
    </row>
    <row r="103" spans="1:12" ht="15.75" customHeight="1" x14ac:dyDescent="0.25">
      <c r="A103" s="1" t="s">
        <v>12</v>
      </c>
      <c r="B103" s="21">
        <v>2</v>
      </c>
      <c r="C103" s="1" t="s">
        <v>398</v>
      </c>
      <c r="D103" s="21">
        <v>6</v>
      </c>
      <c r="E103" s="1" t="s">
        <v>435</v>
      </c>
      <c r="F103" s="21">
        <v>8</v>
      </c>
      <c r="G103" s="1" t="s">
        <v>457</v>
      </c>
      <c r="H103" s="1" t="s">
        <v>406</v>
      </c>
      <c r="I103" s="1" t="s">
        <v>405</v>
      </c>
      <c r="J103" s="1" t="s">
        <v>407</v>
      </c>
      <c r="L103" s="1" t="s">
        <v>7</v>
      </c>
    </row>
    <row r="104" spans="1:12" ht="15.75" customHeight="1" x14ac:dyDescent="0.25">
      <c r="A104" s="1" t="s">
        <v>12</v>
      </c>
      <c r="B104" s="21">
        <v>2</v>
      </c>
      <c r="C104" s="1" t="s">
        <v>398</v>
      </c>
      <c r="D104" s="21">
        <v>6</v>
      </c>
      <c r="E104" s="1" t="s">
        <v>435</v>
      </c>
      <c r="F104" s="21">
        <v>9</v>
      </c>
      <c r="G104" s="1" t="s">
        <v>458</v>
      </c>
      <c r="H104" s="1" t="s">
        <v>459</v>
      </c>
      <c r="I104" s="1" t="s">
        <v>460</v>
      </c>
      <c r="J104" s="1" t="s">
        <v>428</v>
      </c>
      <c r="L104" s="1" t="s">
        <v>8</v>
      </c>
    </row>
    <row r="105" spans="1:12" ht="15.75" customHeight="1" x14ac:dyDescent="0.25">
      <c r="A105" s="1" t="s">
        <v>12</v>
      </c>
      <c r="B105" s="21">
        <v>2</v>
      </c>
      <c r="C105" s="1" t="s">
        <v>398</v>
      </c>
      <c r="D105" s="21">
        <v>6</v>
      </c>
      <c r="E105" s="1" t="s">
        <v>435</v>
      </c>
      <c r="F105" s="21">
        <v>10</v>
      </c>
      <c r="G105" s="1" t="s">
        <v>461</v>
      </c>
      <c r="H105" s="1" t="s">
        <v>462</v>
      </c>
      <c r="I105" s="1" t="s">
        <v>463</v>
      </c>
      <c r="J105" s="1" t="s">
        <v>464</v>
      </c>
      <c r="L105" s="1" t="s">
        <v>9</v>
      </c>
    </row>
    <row r="106" spans="1:12" ht="15.75" customHeight="1" x14ac:dyDescent="0.25">
      <c r="A106" s="1" t="s">
        <v>12</v>
      </c>
      <c r="B106" s="21">
        <v>2</v>
      </c>
      <c r="C106" s="1" t="s">
        <v>398</v>
      </c>
      <c r="D106" s="21">
        <v>6</v>
      </c>
      <c r="E106" s="1" t="s">
        <v>435</v>
      </c>
      <c r="F106" s="21">
        <v>11</v>
      </c>
      <c r="G106" s="1" t="s">
        <v>465</v>
      </c>
      <c r="H106" s="1" t="s">
        <v>466</v>
      </c>
      <c r="I106" s="1" t="s">
        <v>467</v>
      </c>
      <c r="J106" s="1" t="s">
        <v>468</v>
      </c>
      <c r="L106" s="1" t="s">
        <v>9</v>
      </c>
    </row>
    <row r="107" spans="1:12" ht="15.75" customHeight="1" x14ac:dyDescent="0.25">
      <c r="A107" s="1" t="s">
        <v>12</v>
      </c>
      <c r="B107" s="21">
        <v>2</v>
      </c>
      <c r="C107" s="1" t="s">
        <v>398</v>
      </c>
      <c r="D107" s="21">
        <v>6</v>
      </c>
      <c r="E107" s="1" t="s">
        <v>435</v>
      </c>
      <c r="F107" s="21">
        <v>12</v>
      </c>
      <c r="G107" s="1" t="s">
        <v>469</v>
      </c>
      <c r="H107" s="1" t="s">
        <v>155</v>
      </c>
      <c r="I107" s="1" t="s">
        <v>470</v>
      </c>
      <c r="J107" s="1" t="s">
        <v>471</v>
      </c>
      <c r="L107" s="1" t="s">
        <v>9</v>
      </c>
    </row>
    <row r="108" spans="1:12" ht="15.75" customHeight="1" x14ac:dyDescent="0.25">
      <c r="A108" s="1" t="s">
        <v>12</v>
      </c>
      <c r="B108" s="21">
        <v>2</v>
      </c>
      <c r="C108" s="1" t="s">
        <v>398</v>
      </c>
      <c r="D108" s="21">
        <v>6</v>
      </c>
      <c r="E108" s="1" t="s">
        <v>435</v>
      </c>
      <c r="F108" s="21">
        <v>13</v>
      </c>
      <c r="G108" s="1" t="s">
        <v>472</v>
      </c>
      <c r="H108" s="1" t="s">
        <v>473</v>
      </c>
      <c r="I108" s="1" t="s">
        <v>474</v>
      </c>
      <c r="J108" s="1" t="s">
        <v>475</v>
      </c>
      <c r="L108" s="1" t="s">
        <v>8</v>
      </c>
    </row>
    <row r="109" spans="1:12" ht="15.75" customHeight="1" x14ac:dyDescent="0.25">
      <c r="A109" s="1" t="s">
        <v>12</v>
      </c>
      <c r="B109" s="21">
        <v>2</v>
      </c>
      <c r="C109" s="1" t="s">
        <v>398</v>
      </c>
      <c r="D109" s="21">
        <v>6</v>
      </c>
      <c r="E109" s="1" t="s">
        <v>435</v>
      </c>
      <c r="F109" s="21">
        <v>14</v>
      </c>
      <c r="G109" s="1" t="s">
        <v>476</v>
      </c>
      <c r="H109" s="1" t="s">
        <v>477</v>
      </c>
      <c r="I109" s="1" t="s">
        <v>478</v>
      </c>
      <c r="J109" s="1" t="s">
        <v>479</v>
      </c>
      <c r="L109" s="1" t="s">
        <v>9</v>
      </c>
    </row>
    <row r="110" spans="1:12" ht="15.75" customHeight="1" x14ac:dyDescent="0.25">
      <c r="A110" s="1" t="s">
        <v>12</v>
      </c>
      <c r="B110" s="21">
        <v>2</v>
      </c>
      <c r="C110" s="1" t="s">
        <v>398</v>
      </c>
      <c r="D110" s="21">
        <v>6</v>
      </c>
      <c r="E110" s="1" t="s">
        <v>435</v>
      </c>
      <c r="F110" s="21">
        <v>15</v>
      </c>
      <c r="G110" s="1" t="s">
        <v>480</v>
      </c>
      <c r="H110" s="1" t="s">
        <v>424</v>
      </c>
      <c r="I110" s="1" t="s">
        <v>425</v>
      </c>
      <c r="J110" s="1" t="s">
        <v>426</v>
      </c>
      <c r="L110" s="1" t="s">
        <v>7</v>
      </c>
    </row>
    <row r="111" spans="1:12" ht="15.75" customHeight="1" x14ac:dyDescent="0.25">
      <c r="A111" s="1" t="s">
        <v>12</v>
      </c>
      <c r="B111" s="21">
        <v>2</v>
      </c>
      <c r="C111" s="1" t="s">
        <v>398</v>
      </c>
      <c r="D111" s="21">
        <v>6</v>
      </c>
      <c r="E111" s="1" t="s">
        <v>435</v>
      </c>
      <c r="F111" s="21">
        <v>16</v>
      </c>
      <c r="G111" s="1" t="s">
        <v>481</v>
      </c>
      <c r="H111" s="1" t="s">
        <v>482</v>
      </c>
      <c r="I111" s="1" t="s">
        <v>483</v>
      </c>
      <c r="J111" s="1" t="s">
        <v>484</v>
      </c>
      <c r="L111" s="1" t="s">
        <v>7</v>
      </c>
    </row>
    <row r="112" spans="1:12" ht="15.75" customHeight="1" x14ac:dyDescent="0.25">
      <c r="A112" s="1" t="s">
        <v>12</v>
      </c>
      <c r="B112" s="21">
        <v>2</v>
      </c>
      <c r="C112" s="1" t="s">
        <v>398</v>
      </c>
      <c r="D112" s="21">
        <v>6</v>
      </c>
      <c r="E112" s="1" t="s">
        <v>435</v>
      </c>
      <c r="F112" s="21">
        <v>17</v>
      </c>
      <c r="G112" s="1" t="s">
        <v>485</v>
      </c>
      <c r="H112" s="1" t="s">
        <v>486</v>
      </c>
      <c r="I112" s="1" t="s">
        <v>487</v>
      </c>
      <c r="J112" s="1" t="s">
        <v>488</v>
      </c>
      <c r="L112" s="1" t="s">
        <v>9</v>
      </c>
    </row>
    <row r="113" spans="1:12" ht="15.75" customHeight="1" x14ac:dyDescent="0.25">
      <c r="A113" s="1" t="s">
        <v>12</v>
      </c>
      <c r="B113" s="21">
        <v>2</v>
      </c>
      <c r="C113" s="1" t="s">
        <v>398</v>
      </c>
      <c r="D113" s="21">
        <v>6</v>
      </c>
      <c r="E113" s="1" t="s">
        <v>435</v>
      </c>
      <c r="F113" s="21">
        <v>18</v>
      </c>
      <c r="G113" s="1" t="s">
        <v>489</v>
      </c>
      <c r="H113" s="1" t="s">
        <v>406</v>
      </c>
      <c r="I113" s="1" t="s">
        <v>405</v>
      </c>
      <c r="J113" s="1" t="s">
        <v>407</v>
      </c>
      <c r="L113" s="1" t="s">
        <v>9</v>
      </c>
    </row>
    <row r="114" spans="1:12" ht="15.75" customHeight="1" x14ac:dyDescent="0.25">
      <c r="A114" s="1" t="s">
        <v>12</v>
      </c>
      <c r="B114" s="21">
        <v>2</v>
      </c>
      <c r="C114" s="1" t="s">
        <v>398</v>
      </c>
      <c r="D114" s="21">
        <v>6</v>
      </c>
      <c r="E114" s="1" t="s">
        <v>435</v>
      </c>
      <c r="F114" s="21">
        <v>19</v>
      </c>
      <c r="G114" s="1" t="s">
        <v>490</v>
      </c>
      <c r="H114" s="1" t="s">
        <v>406</v>
      </c>
      <c r="I114" s="1" t="s">
        <v>405</v>
      </c>
      <c r="J114" s="1" t="s">
        <v>407</v>
      </c>
      <c r="L114" s="1" t="s">
        <v>9</v>
      </c>
    </row>
    <row r="115" spans="1:12" ht="15.75" customHeight="1" x14ac:dyDescent="0.25">
      <c r="A115" s="1" t="s">
        <v>12</v>
      </c>
      <c r="B115" s="21">
        <v>2</v>
      </c>
      <c r="C115" s="1" t="s">
        <v>398</v>
      </c>
      <c r="D115" s="21">
        <v>6</v>
      </c>
      <c r="E115" s="1" t="s">
        <v>435</v>
      </c>
      <c r="F115" s="21">
        <v>20</v>
      </c>
      <c r="G115" s="1" t="s">
        <v>491</v>
      </c>
      <c r="H115" s="1" t="s">
        <v>492</v>
      </c>
      <c r="I115" s="1" t="s">
        <v>493</v>
      </c>
      <c r="J115" s="1" t="s">
        <v>494</v>
      </c>
      <c r="L115" s="1" t="s">
        <v>7</v>
      </c>
    </row>
    <row r="116" spans="1:12" ht="15.75" customHeight="1" x14ac:dyDescent="0.25">
      <c r="A116" s="1" t="s">
        <v>12</v>
      </c>
      <c r="B116" s="21">
        <v>3</v>
      </c>
      <c r="C116" s="1" t="s">
        <v>495</v>
      </c>
      <c r="D116" s="21">
        <v>7</v>
      </c>
      <c r="E116" s="1" t="s">
        <v>496</v>
      </c>
      <c r="F116" s="21">
        <v>1</v>
      </c>
      <c r="G116" s="1" t="s">
        <v>497</v>
      </c>
      <c r="H116" s="1" t="s">
        <v>498</v>
      </c>
      <c r="I116" s="1" t="s">
        <v>499</v>
      </c>
      <c r="J116" s="1" t="s">
        <v>500</v>
      </c>
      <c r="L116" s="1" t="s">
        <v>8</v>
      </c>
    </row>
    <row r="117" spans="1:12" ht="15.75" customHeight="1" x14ac:dyDescent="0.25">
      <c r="A117" s="1" t="s">
        <v>12</v>
      </c>
      <c r="B117" s="21">
        <v>3</v>
      </c>
      <c r="C117" s="1" t="s">
        <v>495</v>
      </c>
      <c r="D117" s="21">
        <v>7</v>
      </c>
      <c r="E117" s="1" t="s">
        <v>496</v>
      </c>
      <c r="F117" s="21">
        <v>2</v>
      </c>
      <c r="G117" s="1" t="s">
        <v>501</v>
      </c>
      <c r="H117" s="1" t="s">
        <v>502</v>
      </c>
      <c r="I117" s="1" t="s">
        <v>503</v>
      </c>
      <c r="J117" s="1" t="s">
        <v>504</v>
      </c>
      <c r="L117" s="1" t="s">
        <v>7</v>
      </c>
    </row>
    <row r="118" spans="1:12" ht="15.75" customHeight="1" x14ac:dyDescent="0.25">
      <c r="A118" s="1" t="s">
        <v>12</v>
      </c>
      <c r="B118" s="21">
        <v>3</v>
      </c>
      <c r="C118" s="1" t="s">
        <v>495</v>
      </c>
      <c r="D118" s="21">
        <v>7</v>
      </c>
      <c r="E118" s="1" t="s">
        <v>496</v>
      </c>
      <c r="F118" s="21">
        <v>3</v>
      </c>
      <c r="G118" s="1" t="s">
        <v>505</v>
      </c>
      <c r="H118" s="1" t="s">
        <v>506</v>
      </c>
      <c r="I118" s="1" t="s">
        <v>507</v>
      </c>
      <c r="J118" s="1" t="s">
        <v>508</v>
      </c>
      <c r="L118" s="1" t="s">
        <v>9</v>
      </c>
    </row>
    <row r="119" spans="1:12" ht="15.75" customHeight="1" x14ac:dyDescent="0.25">
      <c r="A119" s="1" t="s">
        <v>12</v>
      </c>
      <c r="B119" s="21">
        <v>3</v>
      </c>
      <c r="C119" s="1" t="s">
        <v>495</v>
      </c>
      <c r="D119" s="21">
        <v>7</v>
      </c>
      <c r="E119" s="1" t="s">
        <v>496</v>
      </c>
      <c r="F119" s="21">
        <v>4</v>
      </c>
      <c r="G119" s="1" t="s">
        <v>509</v>
      </c>
      <c r="H119" s="1" t="s">
        <v>510</v>
      </c>
      <c r="I119" s="1" t="s">
        <v>511</v>
      </c>
      <c r="J119" s="1" t="s">
        <v>512</v>
      </c>
      <c r="L119" s="1" t="s">
        <v>9</v>
      </c>
    </row>
    <row r="120" spans="1:12" ht="15.75" customHeight="1" x14ac:dyDescent="0.25">
      <c r="A120" s="1" t="s">
        <v>12</v>
      </c>
      <c r="B120" s="21">
        <v>3</v>
      </c>
      <c r="C120" s="1" t="s">
        <v>495</v>
      </c>
      <c r="D120" s="21">
        <v>7</v>
      </c>
      <c r="E120" s="1" t="s">
        <v>496</v>
      </c>
      <c r="F120" s="21">
        <v>5</v>
      </c>
      <c r="G120" s="1" t="s">
        <v>513</v>
      </c>
      <c r="H120" s="1" t="s">
        <v>514</v>
      </c>
      <c r="I120" s="1" t="s">
        <v>515</v>
      </c>
      <c r="J120" s="1" t="s">
        <v>516</v>
      </c>
      <c r="L120" s="1" t="s">
        <v>9</v>
      </c>
    </row>
    <row r="121" spans="1:12" ht="15.75" customHeight="1" x14ac:dyDescent="0.25">
      <c r="A121" s="1" t="s">
        <v>12</v>
      </c>
      <c r="B121" s="21">
        <v>3</v>
      </c>
      <c r="C121" s="1" t="s">
        <v>495</v>
      </c>
      <c r="D121" s="21">
        <v>7</v>
      </c>
      <c r="E121" s="1" t="s">
        <v>496</v>
      </c>
      <c r="F121" s="21">
        <v>6</v>
      </c>
      <c r="G121" s="1" t="s">
        <v>517</v>
      </c>
      <c r="H121" s="1" t="s">
        <v>518</v>
      </c>
      <c r="I121" s="1" t="s">
        <v>519</v>
      </c>
      <c r="J121" s="1" t="s">
        <v>520</v>
      </c>
      <c r="L121" s="1" t="s">
        <v>8</v>
      </c>
    </row>
    <row r="122" spans="1:12" ht="15.75" customHeight="1" x14ac:dyDescent="0.25">
      <c r="A122" s="1" t="s">
        <v>12</v>
      </c>
      <c r="B122" s="21">
        <v>3</v>
      </c>
      <c r="C122" s="1" t="s">
        <v>495</v>
      </c>
      <c r="D122" s="21">
        <v>7</v>
      </c>
      <c r="E122" s="1" t="s">
        <v>496</v>
      </c>
      <c r="F122" s="21">
        <v>7</v>
      </c>
      <c r="G122" s="1" t="s">
        <v>521</v>
      </c>
      <c r="H122" s="1" t="s">
        <v>522</v>
      </c>
      <c r="I122" s="1" t="s">
        <v>523</v>
      </c>
      <c r="J122" s="1" t="s">
        <v>524</v>
      </c>
      <c r="K122" s="1" t="s">
        <v>414</v>
      </c>
      <c r="L122" s="1" t="s">
        <v>9</v>
      </c>
    </row>
    <row r="123" spans="1:12" ht="15.75" customHeight="1" x14ac:dyDescent="0.25">
      <c r="A123" s="1" t="s">
        <v>12</v>
      </c>
      <c r="B123" s="21">
        <v>3</v>
      </c>
      <c r="C123" s="1" t="s">
        <v>495</v>
      </c>
      <c r="D123" s="21">
        <v>7</v>
      </c>
      <c r="E123" s="1" t="s">
        <v>496</v>
      </c>
      <c r="F123" s="21">
        <v>8</v>
      </c>
      <c r="G123" s="1" t="s">
        <v>525</v>
      </c>
      <c r="H123" s="1" t="s">
        <v>526</v>
      </c>
      <c r="I123" s="1" t="s">
        <v>527</v>
      </c>
      <c r="J123" s="1" t="s">
        <v>528</v>
      </c>
      <c r="K123" s="1" t="s">
        <v>529</v>
      </c>
      <c r="L123" s="1" t="s">
        <v>8</v>
      </c>
    </row>
    <row r="124" spans="1:12" ht="15.75" customHeight="1" x14ac:dyDescent="0.25">
      <c r="A124" s="1" t="s">
        <v>12</v>
      </c>
      <c r="B124" s="21">
        <v>3</v>
      </c>
      <c r="C124" s="1" t="s">
        <v>495</v>
      </c>
      <c r="D124" s="21">
        <v>7</v>
      </c>
      <c r="E124" s="1" t="s">
        <v>496</v>
      </c>
      <c r="F124" s="21">
        <v>9</v>
      </c>
      <c r="G124" s="1" t="s">
        <v>530</v>
      </c>
      <c r="H124" s="1" t="s">
        <v>531</v>
      </c>
      <c r="I124" s="1" t="s">
        <v>532</v>
      </c>
      <c r="J124" s="1" t="s">
        <v>533</v>
      </c>
      <c r="K124" s="1" t="s">
        <v>534</v>
      </c>
      <c r="L124" s="1" t="s">
        <v>10</v>
      </c>
    </row>
    <row r="125" spans="1:12" ht="15.75" customHeight="1" x14ac:dyDescent="0.25">
      <c r="A125" s="1" t="s">
        <v>12</v>
      </c>
      <c r="B125" s="21">
        <v>3</v>
      </c>
      <c r="C125" s="1" t="s">
        <v>495</v>
      </c>
      <c r="D125" s="21">
        <v>7</v>
      </c>
      <c r="E125" s="1" t="s">
        <v>496</v>
      </c>
      <c r="F125" s="21">
        <v>10</v>
      </c>
      <c r="G125" s="1" t="s">
        <v>535</v>
      </c>
      <c r="H125" s="1" t="s">
        <v>536</v>
      </c>
      <c r="I125" s="1" t="s">
        <v>537</v>
      </c>
      <c r="J125" s="1" t="s">
        <v>538</v>
      </c>
      <c r="K125" s="1" t="s">
        <v>539</v>
      </c>
      <c r="L125" s="1" t="s">
        <v>8</v>
      </c>
    </row>
    <row r="126" spans="1:12" ht="15.75" customHeight="1" x14ac:dyDescent="0.25">
      <c r="A126" s="1" t="s">
        <v>12</v>
      </c>
      <c r="B126" s="21">
        <v>3</v>
      </c>
      <c r="C126" s="1" t="s">
        <v>495</v>
      </c>
      <c r="D126" s="21">
        <v>7</v>
      </c>
      <c r="E126" s="1" t="s">
        <v>496</v>
      </c>
      <c r="F126" s="21">
        <v>11</v>
      </c>
      <c r="G126" s="1" t="s">
        <v>540</v>
      </c>
      <c r="H126" s="1" t="s">
        <v>541</v>
      </c>
      <c r="I126" s="1" t="s">
        <v>542</v>
      </c>
      <c r="J126" s="1" t="s">
        <v>479</v>
      </c>
      <c r="K126" s="1" t="s">
        <v>414</v>
      </c>
      <c r="L126" s="1" t="s">
        <v>8</v>
      </c>
    </row>
    <row r="127" spans="1:12" ht="15.75" customHeight="1" x14ac:dyDescent="0.25">
      <c r="A127" s="1" t="s">
        <v>12</v>
      </c>
      <c r="B127" s="21">
        <v>3</v>
      </c>
      <c r="C127" s="1" t="s">
        <v>495</v>
      </c>
      <c r="D127" s="21">
        <v>7</v>
      </c>
      <c r="E127" s="1" t="s">
        <v>496</v>
      </c>
      <c r="F127" s="21">
        <v>12</v>
      </c>
      <c r="G127" s="1" t="s">
        <v>543</v>
      </c>
      <c r="H127" s="1" t="s">
        <v>544</v>
      </c>
      <c r="I127" s="1" t="s">
        <v>545</v>
      </c>
      <c r="J127" s="1" t="s">
        <v>546</v>
      </c>
      <c r="K127" s="1" t="s">
        <v>547</v>
      </c>
      <c r="L127" s="1" t="s">
        <v>10</v>
      </c>
    </row>
    <row r="128" spans="1:12" ht="15.75" customHeight="1" x14ac:dyDescent="0.25">
      <c r="A128" s="1" t="s">
        <v>12</v>
      </c>
      <c r="B128" s="21">
        <v>3</v>
      </c>
      <c r="C128" s="1" t="s">
        <v>495</v>
      </c>
      <c r="D128" s="21">
        <v>7</v>
      </c>
      <c r="E128" s="1" t="s">
        <v>496</v>
      </c>
      <c r="F128" s="21">
        <v>13</v>
      </c>
      <c r="G128" s="1" t="s">
        <v>548</v>
      </c>
      <c r="H128" s="1" t="s">
        <v>549</v>
      </c>
      <c r="I128" s="1" t="s">
        <v>550</v>
      </c>
      <c r="J128" s="1" t="s">
        <v>551</v>
      </c>
      <c r="K128" s="1" t="s">
        <v>552</v>
      </c>
      <c r="L128" s="1" t="s">
        <v>8</v>
      </c>
    </row>
    <row r="129" spans="1:12" ht="15.75" customHeight="1" x14ac:dyDescent="0.25">
      <c r="A129" s="1" t="s">
        <v>12</v>
      </c>
      <c r="B129" s="21">
        <v>3</v>
      </c>
      <c r="C129" s="1" t="s">
        <v>495</v>
      </c>
      <c r="D129" s="21">
        <v>8</v>
      </c>
      <c r="E129" s="1" t="s">
        <v>553</v>
      </c>
      <c r="F129" s="21">
        <v>1</v>
      </c>
      <c r="G129" s="1" t="s">
        <v>554</v>
      </c>
      <c r="H129" s="1" t="s">
        <v>555</v>
      </c>
      <c r="I129" s="1" t="s">
        <v>556</v>
      </c>
      <c r="J129" s="1" t="s">
        <v>524</v>
      </c>
      <c r="L129" s="1" t="s">
        <v>7</v>
      </c>
    </row>
    <row r="130" spans="1:12" ht="15.75" customHeight="1" x14ac:dyDescent="0.25">
      <c r="A130" s="1" t="s">
        <v>12</v>
      </c>
      <c r="B130" s="21">
        <v>3</v>
      </c>
      <c r="C130" s="1" t="s">
        <v>495</v>
      </c>
      <c r="D130" s="21">
        <v>8</v>
      </c>
      <c r="E130" s="1" t="s">
        <v>553</v>
      </c>
      <c r="F130" s="21">
        <v>2</v>
      </c>
      <c r="G130" s="1" t="s">
        <v>530</v>
      </c>
      <c r="H130" s="1" t="s">
        <v>531</v>
      </c>
      <c r="I130" s="1" t="s">
        <v>557</v>
      </c>
      <c r="J130" s="1" t="s">
        <v>558</v>
      </c>
      <c r="L130" s="1" t="s">
        <v>7</v>
      </c>
    </row>
    <row r="131" spans="1:12" ht="15.75" customHeight="1" x14ac:dyDescent="0.25">
      <c r="A131" s="1" t="s">
        <v>12</v>
      </c>
      <c r="B131" s="21">
        <v>3</v>
      </c>
      <c r="C131" s="1" t="s">
        <v>495</v>
      </c>
      <c r="D131" s="21">
        <v>8</v>
      </c>
      <c r="E131" s="1" t="s">
        <v>553</v>
      </c>
      <c r="F131" s="21">
        <v>3</v>
      </c>
      <c r="G131" s="1" t="s">
        <v>559</v>
      </c>
      <c r="H131" s="1" t="s">
        <v>560</v>
      </c>
      <c r="I131" s="1" t="s">
        <v>561</v>
      </c>
      <c r="J131" s="1" t="s">
        <v>562</v>
      </c>
      <c r="L131" s="1" t="s">
        <v>9</v>
      </c>
    </row>
    <row r="132" spans="1:12" ht="15.75" customHeight="1" x14ac:dyDescent="0.25">
      <c r="A132" s="1" t="s">
        <v>12</v>
      </c>
      <c r="B132" s="21">
        <v>3</v>
      </c>
      <c r="C132" s="1" t="s">
        <v>495</v>
      </c>
      <c r="D132" s="21">
        <v>8</v>
      </c>
      <c r="E132" s="1" t="s">
        <v>553</v>
      </c>
      <c r="F132" s="21">
        <v>4</v>
      </c>
      <c r="G132" s="1" t="s">
        <v>563</v>
      </c>
      <c r="H132" s="1" t="s">
        <v>564</v>
      </c>
      <c r="I132" s="1" t="s">
        <v>565</v>
      </c>
      <c r="J132" s="1" t="s">
        <v>566</v>
      </c>
      <c r="L132" s="1" t="s">
        <v>8</v>
      </c>
    </row>
    <row r="133" spans="1:12" ht="15.75" customHeight="1" x14ac:dyDescent="0.25">
      <c r="A133" s="1" t="s">
        <v>12</v>
      </c>
      <c r="B133" s="21">
        <v>3</v>
      </c>
      <c r="C133" s="1" t="s">
        <v>495</v>
      </c>
      <c r="D133" s="21">
        <v>8</v>
      </c>
      <c r="E133" s="1" t="s">
        <v>553</v>
      </c>
      <c r="F133" s="21">
        <v>5</v>
      </c>
      <c r="G133" s="1" t="s">
        <v>567</v>
      </c>
      <c r="H133" s="1" t="s">
        <v>568</v>
      </c>
      <c r="I133" s="1" t="s">
        <v>569</v>
      </c>
      <c r="J133" s="1" t="s">
        <v>570</v>
      </c>
      <c r="L133" s="1" t="s">
        <v>7</v>
      </c>
    </row>
    <row r="134" spans="1:12" ht="15.75" customHeight="1" x14ac:dyDescent="0.25">
      <c r="A134" s="1" t="s">
        <v>12</v>
      </c>
      <c r="B134" s="21">
        <v>3</v>
      </c>
      <c r="C134" s="1" t="s">
        <v>495</v>
      </c>
      <c r="D134" s="21">
        <v>8</v>
      </c>
      <c r="E134" s="1" t="s">
        <v>553</v>
      </c>
      <c r="F134" s="21">
        <v>6</v>
      </c>
      <c r="G134" s="1" t="s">
        <v>571</v>
      </c>
      <c r="H134" s="1" t="s">
        <v>572</v>
      </c>
      <c r="I134" s="1" t="s">
        <v>573</v>
      </c>
      <c r="J134" s="1" t="s">
        <v>574</v>
      </c>
      <c r="K134" s="1" t="s">
        <v>575</v>
      </c>
      <c r="L134" s="1" t="s">
        <v>7</v>
      </c>
    </row>
    <row r="135" spans="1:12" ht="15.75" customHeight="1" x14ac:dyDescent="0.25">
      <c r="A135" s="1" t="s">
        <v>12</v>
      </c>
      <c r="B135" s="21">
        <v>3</v>
      </c>
      <c r="C135" s="1" t="s">
        <v>495</v>
      </c>
      <c r="D135" s="21">
        <v>8</v>
      </c>
      <c r="E135" s="1" t="s">
        <v>553</v>
      </c>
      <c r="F135" s="21">
        <v>7</v>
      </c>
      <c r="G135" s="1" t="s">
        <v>576</v>
      </c>
      <c r="H135" s="1" t="s">
        <v>577</v>
      </c>
      <c r="I135" s="1" t="s">
        <v>578</v>
      </c>
      <c r="J135" s="1" t="s">
        <v>579</v>
      </c>
      <c r="L135" s="1" t="s">
        <v>8</v>
      </c>
    </row>
    <row r="136" spans="1:12" ht="15.75" customHeight="1" x14ac:dyDescent="0.25">
      <c r="A136" s="1" t="s">
        <v>12</v>
      </c>
      <c r="B136" s="21">
        <v>3</v>
      </c>
      <c r="C136" s="1" t="s">
        <v>495</v>
      </c>
      <c r="D136" s="21">
        <v>8</v>
      </c>
      <c r="E136" s="1" t="s">
        <v>553</v>
      </c>
      <c r="F136" s="21">
        <v>8</v>
      </c>
      <c r="G136" s="1" t="s">
        <v>580</v>
      </c>
      <c r="H136" s="1" t="s">
        <v>581</v>
      </c>
      <c r="I136" s="1" t="s">
        <v>582</v>
      </c>
      <c r="J136" s="1" t="s">
        <v>583</v>
      </c>
      <c r="L136" s="1" t="s">
        <v>9</v>
      </c>
    </row>
    <row r="137" spans="1:12" ht="15.75" customHeight="1" x14ac:dyDescent="0.25">
      <c r="A137" s="1" t="s">
        <v>12</v>
      </c>
      <c r="B137" s="21">
        <v>3</v>
      </c>
      <c r="C137" s="1" t="s">
        <v>495</v>
      </c>
      <c r="D137" s="21">
        <v>8</v>
      </c>
      <c r="E137" s="1" t="s">
        <v>553</v>
      </c>
      <c r="F137" s="21">
        <v>9</v>
      </c>
      <c r="G137" s="1" t="s">
        <v>584</v>
      </c>
      <c r="H137" s="1" t="s">
        <v>585</v>
      </c>
      <c r="I137" s="1" t="s">
        <v>586</v>
      </c>
      <c r="J137" s="1" t="s">
        <v>587</v>
      </c>
      <c r="L137" s="1" t="s">
        <v>8</v>
      </c>
    </row>
    <row r="138" spans="1:12" ht="15.75" customHeight="1" x14ac:dyDescent="0.25">
      <c r="A138" s="1" t="s">
        <v>12</v>
      </c>
      <c r="B138" s="21">
        <v>3</v>
      </c>
      <c r="C138" s="1" t="s">
        <v>495</v>
      </c>
      <c r="D138" s="21">
        <v>8</v>
      </c>
      <c r="E138" s="1" t="s">
        <v>553</v>
      </c>
      <c r="F138" s="21">
        <v>10</v>
      </c>
      <c r="G138" s="1" t="s">
        <v>588</v>
      </c>
      <c r="H138" s="1" t="s">
        <v>589</v>
      </c>
      <c r="I138" s="1" t="s">
        <v>590</v>
      </c>
      <c r="J138" s="1" t="s">
        <v>591</v>
      </c>
      <c r="L138" s="1" t="s">
        <v>7</v>
      </c>
    </row>
    <row r="139" spans="1:12" ht="15.75" customHeight="1" x14ac:dyDescent="0.25">
      <c r="A139" s="1" t="s">
        <v>12</v>
      </c>
      <c r="B139" s="21">
        <v>3</v>
      </c>
      <c r="C139" s="1" t="s">
        <v>495</v>
      </c>
      <c r="D139" s="21">
        <v>8</v>
      </c>
      <c r="E139" s="1" t="s">
        <v>553</v>
      </c>
      <c r="F139" s="21">
        <v>11</v>
      </c>
      <c r="G139" s="1" t="s">
        <v>592</v>
      </c>
      <c r="H139" s="1" t="s">
        <v>593</v>
      </c>
      <c r="I139" s="1" t="s">
        <v>594</v>
      </c>
      <c r="J139" s="1" t="s">
        <v>595</v>
      </c>
      <c r="L139" s="1" t="s">
        <v>7</v>
      </c>
    </row>
    <row r="140" spans="1:12" ht="15.75" customHeight="1" x14ac:dyDescent="0.25">
      <c r="A140" s="1" t="s">
        <v>12</v>
      </c>
      <c r="B140" s="21">
        <v>3</v>
      </c>
      <c r="C140" s="1" t="s">
        <v>495</v>
      </c>
      <c r="D140" s="21">
        <v>8</v>
      </c>
      <c r="E140" s="1" t="s">
        <v>553</v>
      </c>
      <c r="F140" s="21">
        <v>12</v>
      </c>
      <c r="G140" s="1" t="s">
        <v>596</v>
      </c>
      <c r="H140" s="1" t="s">
        <v>597</v>
      </c>
      <c r="I140" s="1" t="s">
        <v>598</v>
      </c>
      <c r="J140" s="1" t="s">
        <v>599</v>
      </c>
      <c r="L140" s="1" t="s">
        <v>7</v>
      </c>
    </row>
    <row r="141" spans="1:12" ht="15.75" customHeight="1" x14ac:dyDescent="0.25">
      <c r="A141" s="1" t="s">
        <v>12</v>
      </c>
      <c r="B141" s="21">
        <v>3</v>
      </c>
      <c r="C141" s="1" t="s">
        <v>495</v>
      </c>
      <c r="D141" s="21">
        <v>8</v>
      </c>
      <c r="E141" s="1" t="s">
        <v>553</v>
      </c>
      <c r="F141" s="21">
        <v>13</v>
      </c>
      <c r="G141" s="1" t="s">
        <v>600</v>
      </c>
      <c r="H141" s="1" t="s">
        <v>601</v>
      </c>
      <c r="I141" s="1" t="s">
        <v>602</v>
      </c>
      <c r="J141" s="1" t="s">
        <v>603</v>
      </c>
      <c r="L141" s="1" t="s">
        <v>7</v>
      </c>
    </row>
    <row r="142" spans="1:12" ht="15.75" customHeight="1" x14ac:dyDescent="0.25">
      <c r="A142" s="1" t="s">
        <v>12</v>
      </c>
      <c r="B142" s="21">
        <v>3</v>
      </c>
      <c r="C142" s="1" t="s">
        <v>495</v>
      </c>
      <c r="D142" s="21">
        <v>8</v>
      </c>
      <c r="E142" s="1" t="s">
        <v>553</v>
      </c>
      <c r="F142" s="21">
        <v>14</v>
      </c>
      <c r="G142" s="1" t="s">
        <v>604</v>
      </c>
      <c r="H142" s="1" t="s">
        <v>605</v>
      </c>
      <c r="I142" s="1" t="s">
        <v>606</v>
      </c>
      <c r="J142" s="1" t="s">
        <v>607</v>
      </c>
      <c r="L142" s="1" t="s">
        <v>8</v>
      </c>
    </row>
    <row r="143" spans="1:12" ht="15.75" customHeight="1" x14ac:dyDescent="0.25">
      <c r="A143" s="1" t="s">
        <v>12</v>
      </c>
      <c r="B143" s="21">
        <v>3</v>
      </c>
      <c r="C143" s="1" t="s">
        <v>495</v>
      </c>
      <c r="D143" s="21">
        <v>8</v>
      </c>
      <c r="E143" s="1" t="s">
        <v>553</v>
      </c>
      <c r="F143" s="21">
        <v>15</v>
      </c>
      <c r="G143" s="1" t="s">
        <v>608</v>
      </c>
      <c r="H143" s="1" t="s">
        <v>609</v>
      </c>
      <c r="I143" s="1" t="s">
        <v>610</v>
      </c>
      <c r="J143" s="1" t="s">
        <v>611</v>
      </c>
      <c r="L143" s="1" t="s">
        <v>9</v>
      </c>
    </row>
    <row r="144" spans="1:12" ht="15.75" customHeight="1" x14ac:dyDescent="0.25">
      <c r="A144" s="1" t="s">
        <v>12</v>
      </c>
      <c r="B144" s="21">
        <v>3</v>
      </c>
      <c r="C144" s="1" t="s">
        <v>495</v>
      </c>
      <c r="D144" s="21">
        <v>9</v>
      </c>
      <c r="E144" s="1" t="s">
        <v>612</v>
      </c>
      <c r="F144" s="21">
        <v>2</v>
      </c>
      <c r="G144" s="1" t="s">
        <v>613</v>
      </c>
      <c r="H144" s="1" t="s">
        <v>614</v>
      </c>
      <c r="I144" s="1" t="s">
        <v>615</v>
      </c>
      <c r="J144" s="1" t="s">
        <v>616</v>
      </c>
      <c r="L144" s="1" t="s">
        <v>8</v>
      </c>
    </row>
    <row r="145" spans="1:12" ht="15.75" customHeight="1" x14ac:dyDescent="0.25">
      <c r="A145" s="1" t="s">
        <v>12</v>
      </c>
      <c r="B145" s="21">
        <v>3</v>
      </c>
      <c r="C145" s="1" t="s">
        <v>495</v>
      </c>
      <c r="D145" s="21">
        <v>9</v>
      </c>
      <c r="E145" s="1" t="s">
        <v>612</v>
      </c>
      <c r="F145" s="21">
        <v>3</v>
      </c>
      <c r="G145" s="1" t="s">
        <v>617</v>
      </c>
      <c r="H145" s="1" t="s">
        <v>618</v>
      </c>
      <c r="I145" s="1" t="s">
        <v>619</v>
      </c>
      <c r="J145" s="1" t="s">
        <v>620</v>
      </c>
      <c r="L145" s="1" t="s">
        <v>9</v>
      </c>
    </row>
    <row r="146" spans="1:12" ht="15.75" customHeight="1" x14ac:dyDescent="0.25">
      <c r="A146" s="1" t="s">
        <v>12</v>
      </c>
      <c r="B146" s="21">
        <v>3</v>
      </c>
      <c r="C146" s="1" t="s">
        <v>495</v>
      </c>
      <c r="D146" s="21">
        <v>9</v>
      </c>
      <c r="E146" s="1" t="s">
        <v>612</v>
      </c>
      <c r="F146" s="21">
        <v>4</v>
      </c>
      <c r="G146" s="1" t="s">
        <v>621</v>
      </c>
      <c r="H146" s="1" t="s">
        <v>622</v>
      </c>
      <c r="I146" s="1" t="s">
        <v>623</v>
      </c>
      <c r="J146" s="1" t="s">
        <v>624</v>
      </c>
      <c r="L146" s="1" t="s">
        <v>8</v>
      </c>
    </row>
    <row r="147" spans="1:12" ht="15.75" customHeight="1" x14ac:dyDescent="0.25">
      <c r="A147" s="1" t="s">
        <v>12</v>
      </c>
      <c r="B147" s="21">
        <v>3</v>
      </c>
      <c r="C147" s="1" t="s">
        <v>495</v>
      </c>
      <c r="D147" s="21">
        <v>9</v>
      </c>
      <c r="E147" s="1" t="s">
        <v>612</v>
      </c>
      <c r="F147" s="21">
        <v>5</v>
      </c>
      <c r="G147" s="1" t="s">
        <v>625</v>
      </c>
      <c r="H147" s="1" t="s">
        <v>626</v>
      </c>
      <c r="I147" s="1" t="s">
        <v>627</v>
      </c>
      <c r="J147" s="1" t="s">
        <v>628</v>
      </c>
      <c r="L147" s="1" t="s">
        <v>9</v>
      </c>
    </row>
    <row r="148" spans="1:12" ht="15.75" customHeight="1" x14ac:dyDescent="0.25">
      <c r="A148" s="1" t="s">
        <v>12</v>
      </c>
      <c r="B148" s="21">
        <v>3</v>
      </c>
      <c r="C148" s="1" t="s">
        <v>495</v>
      </c>
      <c r="D148" s="21">
        <v>9</v>
      </c>
      <c r="E148" s="1" t="s">
        <v>612</v>
      </c>
      <c r="F148" s="21">
        <v>6</v>
      </c>
      <c r="G148" s="1" t="s">
        <v>629</v>
      </c>
      <c r="H148" s="1" t="s">
        <v>630</v>
      </c>
      <c r="I148" s="1" t="s">
        <v>631</v>
      </c>
      <c r="J148" s="1" t="s">
        <v>632</v>
      </c>
      <c r="L148" s="1" t="s">
        <v>8</v>
      </c>
    </row>
    <row r="149" spans="1:12" ht="15.75" customHeight="1" x14ac:dyDescent="0.25">
      <c r="A149" s="1" t="s">
        <v>12</v>
      </c>
      <c r="B149" s="21">
        <v>3</v>
      </c>
      <c r="C149" s="1" t="s">
        <v>495</v>
      </c>
      <c r="D149" s="21">
        <v>9</v>
      </c>
      <c r="E149" s="1" t="s">
        <v>612</v>
      </c>
      <c r="F149" s="21">
        <v>7</v>
      </c>
      <c r="G149" s="1" t="s">
        <v>633</v>
      </c>
      <c r="H149" s="1" t="s">
        <v>634</v>
      </c>
      <c r="I149" s="1" t="s">
        <v>635</v>
      </c>
      <c r="J149" s="1" t="s">
        <v>636</v>
      </c>
      <c r="L149" s="1" t="s">
        <v>7</v>
      </c>
    </row>
    <row r="150" spans="1:12" ht="15.75" customHeight="1" x14ac:dyDescent="0.25">
      <c r="A150" s="1" t="s">
        <v>12</v>
      </c>
      <c r="B150" s="21">
        <v>3</v>
      </c>
      <c r="C150" s="1" t="s">
        <v>495</v>
      </c>
      <c r="D150" s="21">
        <v>9</v>
      </c>
      <c r="E150" s="1" t="s">
        <v>612</v>
      </c>
      <c r="F150" s="21">
        <v>8</v>
      </c>
      <c r="G150" s="1" t="s">
        <v>637</v>
      </c>
      <c r="H150" s="1" t="s">
        <v>638</v>
      </c>
      <c r="I150" s="1" t="s">
        <v>639</v>
      </c>
      <c r="J150" s="1" t="s">
        <v>640</v>
      </c>
      <c r="L150" s="1" t="s">
        <v>9</v>
      </c>
    </row>
    <row r="151" spans="1:12" ht="15.75" customHeight="1" x14ac:dyDescent="0.25">
      <c r="A151" s="1" t="s">
        <v>12</v>
      </c>
      <c r="B151" s="21">
        <v>3</v>
      </c>
      <c r="C151" s="1" t="s">
        <v>495</v>
      </c>
      <c r="D151" s="21">
        <v>9</v>
      </c>
      <c r="E151" s="1" t="s">
        <v>612</v>
      </c>
      <c r="F151" s="21">
        <v>9</v>
      </c>
      <c r="G151" s="1" t="s">
        <v>641</v>
      </c>
      <c r="H151" s="1" t="s">
        <v>642</v>
      </c>
      <c r="I151" s="1" t="s">
        <v>643</v>
      </c>
      <c r="J151" s="1" t="s">
        <v>644</v>
      </c>
      <c r="L151" s="1" t="s">
        <v>7</v>
      </c>
    </row>
    <row r="152" spans="1:12" ht="15.75" customHeight="1" x14ac:dyDescent="0.25">
      <c r="A152" s="1" t="s">
        <v>12</v>
      </c>
      <c r="B152" s="21">
        <v>3</v>
      </c>
      <c r="C152" s="1" t="s">
        <v>495</v>
      </c>
      <c r="D152" s="21">
        <v>9</v>
      </c>
      <c r="E152" s="1" t="s">
        <v>612</v>
      </c>
      <c r="F152" s="21">
        <v>10</v>
      </c>
      <c r="G152" s="1" t="s">
        <v>645</v>
      </c>
      <c r="H152" s="1" t="s">
        <v>646</v>
      </c>
      <c r="I152" s="1" t="s">
        <v>647</v>
      </c>
      <c r="J152" s="1" t="s">
        <v>648</v>
      </c>
      <c r="L152" s="1" t="s">
        <v>7</v>
      </c>
    </row>
    <row r="153" spans="1:12" ht="15.75" customHeight="1" x14ac:dyDescent="0.25">
      <c r="A153" s="1" t="s">
        <v>12</v>
      </c>
      <c r="B153" s="21">
        <v>3</v>
      </c>
      <c r="C153" s="1" t="s">
        <v>495</v>
      </c>
      <c r="D153" s="21">
        <v>9</v>
      </c>
      <c r="E153" s="1" t="s">
        <v>612</v>
      </c>
      <c r="F153" s="21">
        <v>11</v>
      </c>
      <c r="G153" s="1" t="s">
        <v>649</v>
      </c>
      <c r="H153" s="1" t="s">
        <v>650</v>
      </c>
      <c r="I153" s="1" t="s">
        <v>651</v>
      </c>
      <c r="J153" s="1" t="s">
        <v>652</v>
      </c>
      <c r="L153" s="1" t="s">
        <v>9</v>
      </c>
    </row>
    <row r="154" spans="1:12" ht="15.75" customHeight="1" x14ac:dyDescent="0.25">
      <c r="A154" s="1" t="s">
        <v>12</v>
      </c>
      <c r="B154" s="21">
        <v>3</v>
      </c>
      <c r="C154" s="1" t="s">
        <v>495</v>
      </c>
      <c r="D154" s="21">
        <v>9</v>
      </c>
      <c r="E154" s="1" t="s">
        <v>612</v>
      </c>
      <c r="F154" s="21">
        <v>12</v>
      </c>
      <c r="G154" s="1" t="s">
        <v>653</v>
      </c>
      <c r="H154" s="1" t="s">
        <v>654</v>
      </c>
      <c r="I154" s="1" t="s">
        <v>655</v>
      </c>
      <c r="J154" s="1" t="s">
        <v>656</v>
      </c>
      <c r="L154" s="1" t="s">
        <v>7</v>
      </c>
    </row>
    <row r="155" spans="1:12" ht="15.75" customHeight="1" x14ac:dyDescent="0.25">
      <c r="A155" s="1" t="s">
        <v>12</v>
      </c>
      <c r="B155" s="21">
        <v>3</v>
      </c>
      <c r="C155" s="1" t="s">
        <v>495</v>
      </c>
      <c r="D155" s="21">
        <v>9</v>
      </c>
      <c r="E155" s="1" t="s">
        <v>612</v>
      </c>
      <c r="F155" s="21">
        <v>13</v>
      </c>
      <c r="G155" s="1" t="s">
        <v>657</v>
      </c>
      <c r="H155" s="1" t="s">
        <v>627</v>
      </c>
      <c r="I155" s="1" t="s">
        <v>658</v>
      </c>
      <c r="J155" s="1" t="s">
        <v>659</v>
      </c>
      <c r="L155" s="1" t="s">
        <v>9</v>
      </c>
    </row>
    <row r="156" spans="1:12" ht="15.75" customHeight="1" x14ac:dyDescent="0.25">
      <c r="A156" s="1" t="s">
        <v>12</v>
      </c>
      <c r="B156" s="21">
        <v>3</v>
      </c>
      <c r="C156" s="1" t="s">
        <v>495</v>
      </c>
      <c r="D156" s="21">
        <v>9</v>
      </c>
      <c r="E156" s="1" t="s">
        <v>612</v>
      </c>
      <c r="F156" s="21">
        <v>14</v>
      </c>
      <c r="G156" s="1" t="s">
        <v>660</v>
      </c>
      <c r="H156" s="1" t="s">
        <v>661</v>
      </c>
      <c r="I156" s="1" t="s">
        <v>662</v>
      </c>
      <c r="J156" s="1" t="s">
        <v>663</v>
      </c>
      <c r="L156" s="1" t="s">
        <v>7</v>
      </c>
    </row>
    <row r="157" spans="1:12" ht="15.75" customHeight="1" x14ac:dyDescent="0.25">
      <c r="A157" s="1" t="s">
        <v>12</v>
      </c>
      <c r="B157" s="21">
        <v>3</v>
      </c>
      <c r="C157" s="1" t="s">
        <v>495</v>
      </c>
      <c r="D157" s="21">
        <v>9</v>
      </c>
      <c r="E157" s="1" t="s">
        <v>612</v>
      </c>
      <c r="F157" s="21">
        <v>15</v>
      </c>
      <c r="G157" s="1" t="s">
        <v>664</v>
      </c>
      <c r="H157" s="1" t="s">
        <v>665</v>
      </c>
      <c r="I157" s="1" t="s">
        <v>666</v>
      </c>
      <c r="J157" s="1" t="s">
        <v>667</v>
      </c>
      <c r="L157" s="1" t="s">
        <v>7</v>
      </c>
    </row>
    <row r="158" spans="1:12" ht="15.75" customHeight="1" x14ac:dyDescent="0.25">
      <c r="A158" s="1" t="s">
        <v>12</v>
      </c>
      <c r="B158" s="21">
        <v>3</v>
      </c>
      <c r="C158" s="1" t="s">
        <v>495</v>
      </c>
      <c r="D158" s="21">
        <v>10</v>
      </c>
      <c r="E158" s="1" t="s">
        <v>668</v>
      </c>
      <c r="F158" s="21">
        <v>1</v>
      </c>
      <c r="G158" s="1" t="s">
        <v>669</v>
      </c>
      <c r="H158" s="1" t="s">
        <v>670</v>
      </c>
      <c r="I158" s="1" t="s">
        <v>671</v>
      </c>
      <c r="J158" s="1" t="s">
        <v>672</v>
      </c>
      <c r="L158" s="1" t="s">
        <v>7</v>
      </c>
    </row>
    <row r="159" spans="1:12" ht="15.75" customHeight="1" x14ac:dyDescent="0.25">
      <c r="A159" s="1" t="s">
        <v>12</v>
      </c>
      <c r="B159" s="21">
        <v>3</v>
      </c>
      <c r="C159" s="1" t="s">
        <v>495</v>
      </c>
      <c r="D159" s="21">
        <v>10</v>
      </c>
      <c r="E159" s="1" t="s">
        <v>668</v>
      </c>
      <c r="F159" s="21">
        <v>2</v>
      </c>
      <c r="G159" s="1" t="s">
        <v>673</v>
      </c>
      <c r="H159" s="1" t="s">
        <v>674</v>
      </c>
      <c r="I159" s="1" t="s">
        <v>675</v>
      </c>
      <c r="J159" s="1" t="s">
        <v>676</v>
      </c>
      <c r="L159" s="1" t="s">
        <v>9</v>
      </c>
    </row>
    <row r="160" spans="1:12" ht="15.75" customHeight="1" x14ac:dyDescent="0.25">
      <c r="A160" s="1" t="s">
        <v>12</v>
      </c>
      <c r="B160" s="21">
        <v>3</v>
      </c>
      <c r="C160" s="1" t="s">
        <v>495</v>
      </c>
      <c r="D160" s="21">
        <v>10</v>
      </c>
      <c r="E160" s="1" t="s">
        <v>668</v>
      </c>
      <c r="F160" s="21">
        <v>3</v>
      </c>
      <c r="G160" s="1" t="s">
        <v>677</v>
      </c>
      <c r="H160" s="1" t="s">
        <v>678</v>
      </c>
      <c r="I160" s="1" t="s">
        <v>679</v>
      </c>
      <c r="J160" s="1" t="s">
        <v>680</v>
      </c>
      <c r="L160" s="1" t="s">
        <v>8</v>
      </c>
    </row>
    <row r="161" spans="1:12" ht="15.75" customHeight="1" x14ac:dyDescent="0.25">
      <c r="A161" s="1" t="s">
        <v>12</v>
      </c>
      <c r="B161" s="21">
        <v>3</v>
      </c>
      <c r="C161" s="1" t="s">
        <v>495</v>
      </c>
      <c r="D161" s="21">
        <v>10</v>
      </c>
      <c r="E161" s="1" t="s">
        <v>668</v>
      </c>
      <c r="F161" s="21">
        <v>4</v>
      </c>
      <c r="G161" s="1" t="s">
        <v>681</v>
      </c>
      <c r="H161" s="1" t="s">
        <v>682</v>
      </c>
      <c r="I161" s="1" t="s">
        <v>683</v>
      </c>
      <c r="J161" s="1" t="s">
        <v>684</v>
      </c>
      <c r="L161" s="1" t="s">
        <v>9</v>
      </c>
    </row>
    <row r="162" spans="1:12" ht="15.75" customHeight="1" x14ac:dyDescent="0.25">
      <c r="A162" s="1" t="s">
        <v>12</v>
      </c>
      <c r="B162" s="21">
        <v>3</v>
      </c>
      <c r="C162" s="1" t="s">
        <v>495</v>
      </c>
      <c r="D162" s="21">
        <v>10</v>
      </c>
      <c r="E162" s="1" t="s">
        <v>668</v>
      </c>
      <c r="F162" s="21">
        <v>5</v>
      </c>
      <c r="G162" s="1" t="s">
        <v>685</v>
      </c>
      <c r="H162" s="1" t="s">
        <v>686</v>
      </c>
      <c r="I162" s="1" t="s">
        <v>687</v>
      </c>
      <c r="J162" s="1" t="s">
        <v>688</v>
      </c>
      <c r="L162" s="1" t="s">
        <v>9</v>
      </c>
    </row>
    <row r="163" spans="1:12" ht="15.75" customHeight="1" x14ac:dyDescent="0.25">
      <c r="A163" s="1" t="s">
        <v>12</v>
      </c>
      <c r="B163" s="21">
        <v>3</v>
      </c>
      <c r="C163" s="1" t="s">
        <v>495</v>
      </c>
      <c r="D163" s="21">
        <v>10</v>
      </c>
      <c r="E163" s="1" t="s">
        <v>668</v>
      </c>
      <c r="F163" s="21">
        <v>6</v>
      </c>
      <c r="G163" s="1" t="s">
        <v>689</v>
      </c>
      <c r="H163" s="1" t="s">
        <v>690</v>
      </c>
      <c r="I163" s="1" t="s">
        <v>691</v>
      </c>
      <c r="J163" s="1" t="s">
        <v>692</v>
      </c>
      <c r="L163" s="1" t="s">
        <v>7</v>
      </c>
    </row>
    <row r="164" spans="1:12" ht="15.75" customHeight="1" x14ac:dyDescent="0.25">
      <c r="A164" s="1" t="s">
        <v>12</v>
      </c>
      <c r="B164" s="21">
        <v>3</v>
      </c>
      <c r="C164" s="1" t="s">
        <v>495</v>
      </c>
      <c r="D164" s="21">
        <v>10</v>
      </c>
      <c r="E164" s="1" t="s">
        <v>668</v>
      </c>
      <c r="F164" s="21">
        <v>7</v>
      </c>
      <c r="G164" s="1" t="s">
        <v>693</v>
      </c>
      <c r="H164" s="1" t="s">
        <v>694</v>
      </c>
      <c r="I164" s="1" t="s">
        <v>695</v>
      </c>
      <c r="J164" s="1" t="s">
        <v>696</v>
      </c>
      <c r="L164" s="1" t="s">
        <v>7</v>
      </c>
    </row>
    <row r="165" spans="1:12" ht="15.75" customHeight="1" x14ac:dyDescent="0.25">
      <c r="A165" s="1" t="s">
        <v>12</v>
      </c>
      <c r="B165" s="21">
        <v>3</v>
      </c>
      <c r="C165" s="1" t="s">
        <v>495</v>
      </c>
      <c r="D165" s="21">
        <v>10</v>
      </c>
      <c r="E165" s="1" t="s">
        <v>668</v>
      </c>
      <c r="F165" s="21">
        <v>8</v>
      </c>
      <c r="G165" s="1" t="s">
        <v>697</v>
      </c>
      <c r="H165" s="1" t="s">
        <v>698</v>
      </c>
      <c r="I165" s="1" t="s">
        <v>699</v>
      </c>
      <c r="J165" s="1" t="s">
        <v>700</v>
      </c>
      <c r="L165" s="1" t="s">
        <v>7</v>
      </c>
    </row>
    <row r="166" spans="1:12" ht="15.75" customHeight="1" x14ac:dyDescent="0.25">
      <c r="A166" s="1" t="s">
        <v>12</v>
      </c>
      <c r="B166" s="21">
        <v>3</v>
      </c>
      <c r="C166" s="1" t="s">
        <v>495</v>
      </c>
      <c r="D166" s="21">
        <v>10</v>
      </c>
      <c r="E166" s="1" t="s">
        <v>668</v>
      </c>
      <c r="F166" s="21">
        <v>9</v>
      </c>
      <c r="G166" s="1" t="s">
        <v>701</v>
      </c>
      <c r="H166" s="1" t="s">
        <v>702</v>
      </c>
      <c r="I166" s="1" t="s">
        <v>703</v>
      </c>
      <c r="J166" s="1" t="s">
        <v>704</v>
      </c>
      <c r="L166" s="1" t="s">
        <v>7</v>
      </c>
    </row>
    <row r="167" spans="1:12" ht="15.75" customHeight="1" x14ac:dyDescent="0.25">
      <c r="A167" s="1" t="s">
        <v>12</v>
      </c>
      <c r="B167" s="21">
        <v>3</v>
      </c>
      <c r="C167" s="1" t="s">
        <v>495</v>
      </c>
      <c r="D167" s="21">
        <v>10</v>
      </c>
      <c r="E167" s="1" t="s">
        <v>668</v>
      </c>
      <c r="F167" s="21">
        <v>10</v>
      </c>
      <c r="G167" s="1" t="s">
        <v>705</v>
      </c>
      <c r="H167" s="1" t="s">
        <v>706</v>
      </c>
      <c r="I167" s="1" t="s">
        <v>707</v>
      </c>
      <c r="J167" s="1" t="s">
        <v>708</v>
      </c>
      <c r="L167" s="1" t="s">
        <v>8</v>
      </c>
    </row>
    <row r="168" spans="1:12" ht="15.75" customHeight="1" x14ac:dyDescent="0.25">
      <c r="A168" s="1" t="s">
        <v>12</v>
      </c>
      <c r="B168" s="21">
        <v>3</v>
      </c>
      <c r="C168" s="1" t="s">
        <v>495</v>
      </c>
      <c r="D168" s="21">
        <v>10</v>
      </c>
      <c r="E168" s="1" t="s">
        <v>668</v>
      </c>
      <c r="F168" s="21">
        <v>11</v>
      </c>
      <c r="G168" s="1" t="s">
        <v>709</v>
      </c>
      <c r="H168" s="1" t="s">
        <v>710</v>
      </c>
      <c r="I168" s="1" t="s">
        <v>711</v>
      </c>
      <c r="J168" s="1" t="s">
        <v>712</v>
      </c>
      <c r="L168" s="1" t="s">
        <v>8</v>
      </c>
    </row>
    <row r="169" spans="1:12" ht="15.75" customHeight="1" x14ac:dyDescent="0.25">
      <c r="A169" s="1" t="s">
        <v>12</v>
      </c>
      <c r="B169" s="21">
        <v>3</v>
      </c>
      <c r="C169" s="1" t="s">
        <v>495</v>
      </c>
      <c r="D169" s="21">
        <v>10</v>
      </c>
      <c r="E169" s="1" t="s">
        <v>668</v>
      </c>
      <c r="F169" s="21">
        <v>12</v>
      </c>
      <c r="G169" s="1" t="s">
        <v>713</v>
      </c>
      <c r="H169" s="1" t="s">
        <v>714</v>
      </c>
      <c r="I169" s="1" t="s">
        <v>715</v>
      </c>
      <c r="J169" s="1" t="s">
        <v>684</v>
      </c>
      <c r="L169" s="1" t="s">
        <v>9</v>
      </c>
    </row>
    <row r="170" spans="1:12" ht="15.75" customHeight="1" x14ac:dyDescent="0.25">
      <c r="A170" s="1" t="s">
        <v>12</v>
      </c>
      <c r="B170" s="21">
        <v>3</v>
      </c>
      <c r="C170" s="1" t="s">
        <v>495</v>
      </c>
      <c r="D170" s="21">
        <v>10</v>
      </c>
      <c r="E170" s="1" t="s">
        <v>668</v>
      </c>
      <c r="F170" s="21">
        <v>13</v>
      </c>
      <c r="G170" s="1" t="s">
        <v>716</v>
      </c>
      <c r="H170" s="1" t="s">
        <v>717</v>
      </c>
      <c r="I170" s="1" t="s">
        <v>718</v>
      </c>
      <c r="J170" s="1" t="s">
        <v>684</v>
      </c>
      <c r="L170" s="1" t="s">
        <v>9</v>
      </c>
    </row>
    <row r="171" spans="1:12" ht="15.75" customHeight="1" x14ac:dyDescent="0.25">
      <c r="A171" s="1" t="s">
        <v>12</v>
      </c>
      <c r="B171" s="21">
        <v>3</v>
      </c>
      <c r="C171" s="1" t="s">
        <v>495</v>
      </c>
      <c r="D171" s="21">
        <v>10</v>
      </c>
      <c r="E171" s="1" t="s">
        <v>668</v>
      </c>
      <c r="F171" s="21">
        <v>14</v>
      </c>
      <c r="G171" s="1" t="s">
        <v>719</v>
      </c>
      <c r="H171" s="1" t="s">
        <v>720</v>
      </c>
      <c r="I171" s="1" t="s">
        <v>721</v>
      </c>
      <c r="J171" s="1" t="s">
        <v>722</v>
      </c>
      <c r="L171" s="1" t="s">
        <v>9</v>
      </c>
    </row>
    <row r="172" spans="1:12" ht="15.75" customHeight="1" x14ac:dyDescent="0.25">
      <c r="A172" s="1" t="s">
        <v>12</v>
      </c>
      <c r="B172" s="21">
        <v>3</v>
      </c>
      <c r="C172" s="1" t="s">
        <v>495</v>
      </c>
      <c r="D172" s="21">
        <v>10</v>
      </c>
      <c r="E172" s="1" t="s">
        <v>668</v>
      </c>
      <c r="F172" s="21">
        <v>15</v>
      </c>
      <c r="G172" s="1" t="s">
        <v>723</v>
      </c>
      <c r="H172" s="1" t="s">
        <v>724</v>
      </c>
      <c r="I172" s="1" t="s">
        <v>725</v>
      </c>
      <c r="J172" s="1" t="s">
        <v>726</v>
      </c>
      <c r="L172" s="1" t="s">
        <v>9</v>
      </c>
    </row>
    <row r="173" spans="1:12" ht="15.75" customHeight="1" x14ac:dyDescent="0.25">
      <c r="A173" s="1" t="s">
        <v>12</v>
      </c>
      <c r="B173" s="21">
        <v>3</v>
      </c>
      <c r="C173" s="1" t="s">
        <v>495</v>
      </c>
      <c r="D173" s="21">
        <v>11</v>
      </c>
      <c r="E173" s="1" t="s">
        <v>727</v>
      </c>
      <c r="F173" s="21">
        <v>1</v>
      </c>
      <c r="G173" s="1" t="s">
        <v>728</v>
      </c>
      <c r="H173" s="1" t="s">
        <v>729</v>
      </c>
      <c r="I173" s="1" t="s">
        <v>730</v>
      </c>
      <c r="J173" s="1" t="s">
        <v>731</v>
      </c>
      <c r="L173" s="1" t="s">
        <v>9</v>
      </c>
    </row>
    <row r="174" spans="1:12" ht="15.75" customHeight="1" x14ac:dyDescent="0.25">
      <c r="A174" s="1" t="s">
        <v>12</v>
      </c>
      <c r="B174" s="21">
        <v>3</v>
      </c>
      <c r="C174" s="1" t="s">
        <v>495</v>
      </c>
      <c r="D174" s="21">
        <v>11</v>
      </c>
      <c r="E174" s="1" t="s">
        <v>727</v>
      </c>
      <c r="F174" s="21">
        <v>2</v>
      </c>
      <c r="G174" s="1" t="s">
        <v>732</v>
      </c>
      <c r="H174" s="1" t="s">
        <v>733</v>
      </c>
      <c r="I174" s="1" t="s">
        <v>734</v>
      </c>
      <c r="J174" s="1" t="s">
        <v>735</v>
      </c>
      <c r="L174" s="1" t="s">
        <v>8</v>
      </c>
    </row>
    <row r="175" spans="1:12" ht="15.75" customHeight="1" x14ac:dyDescent="0.25">
      <c r="A175" s="1" t="s">
        <v>12</v>
      </c>
      <c r="B175" s="21">
        <v>3</v>
      </c>
      <c r="C175" s="1" t="s">
        <v>495</v>
      </c>
      <c r="D175" s="21">
        <v>11</v>
      </c>
      <c r="E175" s="1" t="s">
        <v>727</v>
      </c>
      <c r="F175" s="21">
        <v>3</v>
      </c>
      <c r="G175" s="1" t="s">
        <v>736</v>
      </c>
      <c r="H175" s="1" t="s">
        <v>737</v>
      </c>
      <c r="I175" s="1" t="s">
        <v>738</v>
      </c>
      <c r="J175" s="1" t="s">
        <v>739</v>
      </c>
      <c r="L175" s="1" t="s">
        <v>7</v>
      </c>
    </row>
    <row r="176" spans="1:12" ht="15.75" customHeight="1" x14ac:dyDescent="0.25">
      <c r="A176" s="1" t="s">
        <v>12</v>
      </c>
      <c r="B176" s="21">
        <v>3</v>
      </c>
      <c r="C176" s="1" t="s">
        <v>495</v>
      </c>
      <c r="D176" s="21">
        <v>11</v>
      </c>
      <c r="E176" s="1" t="s">
        <v>727</v>
      </c>
      <c r="F176" s="21">
        <v>4</v>
      </c>
      <c r="G176" s="1" t="s">
        <v>740</v>
      </c>
      <c r="H176" s="1" t="s">
        <v>741</v>
      </c>
      <c r="I176" s="1" t="s">
        <v>742</v>
      </c>
      <c r="J176" s="1" t="s">
        <v>743</v>
      </c>
      <c r="L176" s="1" t="s">
        <v>7</v>
      </c>
    </row>
    <row r="177" spans="1:12" ht="15.75" customHeight="1" x14ac:dyDescent="0.25">
      <c r="A177" s="1" t="s">
        <v>12</v>
      </c>
      <c r="B177" s="21">
        <v>3</v>
      </c>
      <c r="C177" s="1" t="s">
        <v>495</v>
      </c>
      <c r="D177" s="21">
        <v>11</v>
      </c>
      <c r="E177" s="1" t="s">
        <v>727</v>
      </c>
      <c r="F177" s="21">
        <v>5</v>
      </c>
      <c r="G177" s="1" t="s">
        <v>744</v>
      </c>
      <c r="H177" s="1" t="s">
        <v>745</v>
      </c>
      <c r="I177" s="1" t="s">
        <v>746</v>
      </c>
      <c r="J177" s="1" t="s">
        <v>747</v>
      </c>
      <c r="L177" s="1" t="s">
        <v>7</v>
      </c>
    </row>
    <row r="178" spans="1:12" ht="15.75" customHeight="1" x14ac:dyDescent="0.25">
      <c r="A178" s="1" t="s">
        <v>12</v>
      </c>
      <c r="B178" s="21">
        <v>3</v>
      </c>
      <c r="C178" s="1" t="s">
        <v>495</v>
      </c>
      <c r="D178" s="21">
        <v>11</v>
      </c>
      <c r="E178" s="1" t="s">
        <v>727</v>
      </c>
      <c r="F178" s="21">
        <v>6</v>
      </c>
      <c r="G178" s="1" t="s">
        <v>748</v>
      </c>
      <c r="H178" s="1" t="s">
        <v>749</v>
      </c>
      <c r="I178" s="1" t="s">
        <v>750</v>
      </c>
      <c r="J178" s="1" t="s">
        <v>751</v>
      </c>
      <c r="L178" s="1" t="s">
        <v>7</v>
      </c>
    </row>
    <row r="179" spans="1:12" ht="15.75" customHeight="1" x14ac:dyDescent="0.25">
      <c r="A179" s="1" t="s">
        <v>12</v>
      </c>
      <c r="B179" s="21">
        <v>3</v>
      </c>
      <c r="C179" s="1" t="s">
        <v>495</v>
      </c>
      <c r="D179" s="21">
        <v>11</v>
      </c>
      <c r="E179" s="1" t="s">
        <v>727</v>
      </c>
      <c r="F179" s="21">
        <v>7</v>
      </c>
      <c r="G179" s="1" t="s">
        <v>752</v>
      </c>
      <c r="H179" s="1" t="s">
        <v>753</v>
      </c>
      <c r="I179" s="1" t="s">
        <v>754</v>
      </c>
      <c r="J179" s="1" t="s">
        <v>755</v>
      </c>
      <c r="L179" s="1" t="s">
        <v>8</v>
      </c>
    </row>
    <row r="180" spans="1:12" ht="15.75" customHeight="1" x14ac:dyDescent="0.25">
      <c r="A180" s="1" t="s">
        <v>12</v>
      </c>
      <c r="B180" s="21">
        <v>3</v>
      </c>
      <c r="C180" s="1" t="s">
        <v>495</v>
      </c>
      <c r="D180" s="21">
        <v>11</v>
      </c>
      <c r="E180" s="1" t="s">
        <v>727</v>
      </c>
      <c r="F180" s="21">
        <v>8</v>
      </c>
      <c r="G180" s="1" t="s">
        <v>756</v>
      </c>
      <c r="H180" s="1" t="s">
        <v>757</v>
      </c>
      <c r="I180" s="1" t="s">
        <v>758</v>
      </c>
      <c r="J180" s="1" t="s">
        <v>759</v>
      </c>
      <c r="L180" s="1" t="s">
        <v>7</v>
      </c>
    </row>
    <row r="181" spans="1:12" ht="15.75" customHeight="1" x14ac:dyDescent="0.25">
      <c r="A181" s="1" t="s">
        <v>12</v>
      </c>
      <c r="B181" s="21">
        <v>3</v>
      </c>
      <c r="C181" s="1" t="s">
        <v>495</v>
      </c>
      <c r="D181" s="21">
        <v>11</v>
      </c>
      <c r="E181" s="1" t="s">
        <v>727</v>
      </c>
      <c r="F181" s="21">
        <v>9</v>
      </c>
      <c r="G181" s="1" t="s">
        <v>760</v>
      </c>
      <c r="H181" s="1" t="s">
        <v>761</v>
      </c>
      <c r="I181" s="1" t="s">
        <v>762</v>
      </c>
      <c r="J181" s="1" t="s">
        <v>763</v>
      </c>
      <c r="L181" s="1" t="s">
        <v>8</v>
      </c>
    </row>
    <row r="182" spans="1:12" ht="15.75" customHeight="1" x14ac:dyDescent="0.25">
      <c r="A182" s="1" t="s">
        <v>12</v>
      </c>
      <c r="B182" s="21">
        <v>3</v>
      </c>
      <c r="C182" s="1" t="s">
        <v>495</v>
      </c>
      <c r="D182" s="21">
        <v>11</v>
      </c>
      <c r="E182" s="1" t="s">
        <v>727</v>
      </c>
      <c r="F182" s="21">
        <v>10</v>
      </c>
      <c r="G182" s="1" t="s">
        <v>764</v>
      </c>
      <c r="H182" s="1" t="s">
        <v>761</v>
      </c>
      <c r="I182" s="1" t="s">
        <v>765</v>
      </c>
      <c r="J182" s="1" t="s">
        <v>766</v>
      </c>
      <c r="L182" s="1" t="s">
        <v>7</v>
      </c>
    </row>
    <row r="183" spans="1:12" ht="15.75" customHeight="1" x14ac:dyDescent="0.25">
      <c r="A183" s="1" t="s">
        <v>12</v>
      </c>
      <c r="B183" s="21">
        <v>3</v>
      </c>
      <c r="C183" s="1" t="s">
        <v>495</v>
      </c>
      <c r="D183" s="21">
        <v>11</v>
      </c>
      <c r="E183" s="1" t="s">
        <v>727</v>
      </c>
      <c r="F183" s="21">
        <v>11</v>
      </c>
      <c r="G183" s="1" t="s">
        <v>767</v>
      </c>
      <c r="H183" s="1" t="s">
        <v>768</v>
      </c>
      <c r="I183" s="1" t="s">
        <v>769</v>
      </c>
      <c r="J183" s="1" t="s">
        <v>770</v>
      </c>
      <c r="L183" s="1" t="s">
        <v>7</v>
      </c>
    </row>
    <row r="184" spans="1:12" ht="15.75" customHeight="1" x14ac:dyDescent="0.25">
      <c r="A184" s="1" t="s">
        <v>12</v>
      </c>
      <c r="B184" s="21">
        <v>3</v>
      </c>
      <c r="C184" s="1" t="s">
        <v>495</v>
      </c>
      <c r="D184" s="21">
        <v>11</v>
      </c>
      <c r="E184" s="1" t="s">
        <v>727</v>
      </c>
      <c r="F184" s="21">
        <v>12</v>
      </c>
      <c r="G184" s="1" t="s">
        <v>771</v>
      </c>
      <c r="H184" s="1" t="s">
        <v>772</v>
      </c>
      <c r="I184" s="1" t="s">
        <v>773</v>
      </c>
      <c r="J184" s="1" t="s">
        <v>766</v>
      </c>
      <c r="L184" s="1" t="s">
        <v>7</v>
      </c>
    </row>
    <row r="185" spans="1:12" ht="15.75" customHeight="1" x14ac:dyDescent="0.25">
      <c r="A185" s="1" t="s">
        <v>12</v>
      </c>
      <c r="B185" s="21">
        <v>3</v>
      </c>
      <c r="C185" s="1" t="s">
        <v>495</v>
      </c>
      <c r="D185" s="21">
        <v>11</v>
      </c>
      <c r="E185" s="1" t="s">
        <v>727</v>
      </c>
      <c r="F185" s="21">
        <v>13</v>
      </c>
      <c r="G185" s="1" t="s">
        <v>774</v>
      </c>
      <c r="H185" s="1" t="s">
        <v>775</v>
      </c>
      <c r="I185" s="1" t="s">
        <v>776</v>
      </c>
      <c r="J185" s="1" t="s">
        <v>777</v>
      </c>
      <c r="L185" s="1" t="s">
        <v>8</v>
      </c>
    </row>
    <row r="186" spans="1:12" ht="15.75" customHeight="1" x14ac:dyDescent="0.25">
      <c r="A186" s="1" t="s">
        <v>12</v>
      </c>
      <c r="B186" s="21">
        <v>3</v>
      </c>
      <c r="C186" s="1" t="s">
        <v>495</v>
      </c>
      <c r="D186" s="21">
        <v>11</v>
      </c>
      <c r="E186" s="1" t="s">
        <v>727</v>
      </c>
      <c r="F186" s="21">
        <v>14</v>
      </c>
      <c r="G186" s="1" t="s">
        <v>778</v>
      </c>
      <c r="H186" s="1" t="s">
        <v>779</v>
      </c>
      <c r="I186" s="1" t="s">
        <v>780</v>
      </c>
      <c r="J186" s="1" t="s">
        <v>781</v>
      </c>
      <c r="L186" s="1" t="s">
        <v>9</v>
      </c>
    </row>
    <row r="187" spans="1:12" ht="15.75" customHeight="1" x14ac:dyDescent="0.25">
      <c r="A187" s="1" t="s">
        <v>12</v>
      </c>
      <c r="B187" s="21">
        <v>3</v>
      </c>
      <c r="C187" s="1" t="s">
        <v>495</v>
      </c>
      <c r="D187" s="21">
        <v>11</v>
      </c>
      <c r="E187" s="1" t="s">
        <v>727</v>
      </c>
      <c r="F187" s="21">
        <v>15</v>
      </c>
      <c r="G187" s="1" t="s">
        <v>782</v>
      </c>
      <c r="H187" s="1" t="s">
        <v>783</v>
      </c>
      <c r="I187" s="1" t="s">
        <v>784</v>
      </c>
      <c r="J187" s="1" t="s">
        <v>785</v>
      </c>
      <c r="L187" s="1" t="s">
        <v>8</v>
      </c>
    </row>
    <row r="188" spans="1:12" ht="15.75" customHeight="1" x14ac:dyDescent="0.25">
      <c r="A188" s="1" t="s">
        <v>12</v>
      </c>
      <c r="B188" s="21">
        <v>3</v>
      </c>
      <c r="C188" s="1" t="s">
        <v>495</v>
      </c>
      <c r="D188" s="21">
        <v>11</v>
      </c>
      <c r="E188" s="1" t="s">
        <v>727</v>
      </c>
      <c r="F188" s="21">
        <v>16</v>
      </c>
      <c r="G188" s="1" t="s">
        <v>786</v>
      </c>
      <c r="H188" s="1" t="s">
        <v>787</v>
      </c>
      <c r="I188" s="1" t="s">
        <v>788</v>
      </c>
      <c r="J188" s="1" t="s">
        <v>789</v>
      </c>
      <c r="L188" s="1" t="s">
        <v>9</v>
      </c>
    </row>
    <row r="189" spans="1:12" ht="15.75" customHeight="1" x14ac:dyDescent="0.25">
      <c r="A189" s="1" t="s">
        <v>12</v>
      </c>
      <c r="B189" s="21">
        <v>3</v>
      </c>
      <c r="C189" s="1" t="s">
        <v>495</v>
      </c>
      <c r="D189" s="21">
        <v>11</v>
      </c>
      <c r="E189" s="1" t="s">
        <v>727</v>
      </c>
      <c r="F189" s="21">
        <v>17</v>
      </c>
      <c r="G189" s="1" t="s">
        <v>790</v>
      </c>
      <c r="H189" s="1" t="s">
        <v>791</v>
      </c>
      <c r="I189" s="1" t="s">
        <v>792</v>
      </c>
      <c r="J189" s="1" t="s">
        <v>793</v>
      </c>
      <c r="L189" s="1" t="s">
        <v>9</v>
      </c>
    </row>
    <row r="190" spans="1:12" ht="15.75" customHeight="1" x14ac:dyDescent="0.25">
      <c r="A190" s="1" t="s">
        <v>12</v>
      </c>
      <c r="B190" s="21">
        <v>3</v>
      </c>
      <c r="C190" s="1" t="s">
        <v>495</v>
      </c>
      <c r="D190" s="21">
        <v>11</v>
      </c>
      <c r="E190" s="1" t="s">
        <v>727</v>
      </c>
      <c r="F190" s="21">
        <v>18</v>
      </c>
      <c r="G190" s="1" t="s">
        <v>794</v>
      </c>
      <c r="H190" s="1" t="s">
        <v>795</v>
      </c>
      <c r="I190" s="1" t="s">
        <v>796</v>
      </c>
      <c r="J190" s="1" t="s">
        <v>797</v>
      </c>
      <c r="L190" s="1" t="s">
        <v>8</v>
      </c>
    </row>
    <row r="191" spans="1:12" ht="15.75" customHeight="1" x14ac:dyDescent="0.25">
      <c r="A191" s="1" t="s">
        <v>12</v>
      </c>
      <c r="B191" s="21">
        <v>3</v>
      </c>
      <c r="C191" s="1" t="s">
        <v>495</v>
      </c>
      <c r="D191" s="21">
        <v>11</v>
      </c>
      <c r="E191" s="1" t="s">
        <v>727</v>
      </c>
      <c r="F191" s="21">
        <v>19</v>
      </c>
      <c r="G191" s="1" t="s">
        <v>798</v>
      </c>
      <c r="H191" s="1" t="s">
        <v>799</v>
      </c>
      <c r="I191" s="1" t="s">
        <v>800</v>
      </c>
      <c r="J191" s="1" t="s">
        <v>766</v>
      </c>
      <c r="L191" s="1" t="s">
        <v>9</v>
      </c>
    </row>
    <row r="192" spans="1:12" ht="15.75" customHeight="1" x14ac:dyDescent="0.25">
      <c r="A192" s="1" t="s">
        <v>12</v>
      </c>
      <c r="B192" s="21">
        <v>3</v>
      </c>
      <c r="C192" s="1" t="s">
        <v>495</v>
      </c>
      <c r="D192" s="21">
        <v>11</v>
      </c>
      <c r="E192" s="1" t="s">
        <v>727</v>
      </c>
      <c r="F192" s="21">
        <v>20</v>
      </c>
      <c r="G192" s="1" t="s">
        <v>801</v>
      </c>
      <c r="H192" s="1" t="s">
        <v>802</v>
      </c>
      <c r="I192" s="1" t="s">
        <v>803</v>
      </c>
      <c r="J192" s="1" t="s">
        <v>789</v>
      </c>
      <c r="L192" s="1" t="s">
        <v>9</v>
      </c>
    </row>
    <row r="193" spans="1:12" ht="15.75" customHeight="1" x14ac:dyDescent="0.25">
      <c r="A193" s="1" t="s">
        <v>12</v>
      </c>
      <c r="B193" s="21">
        <v>3</v>
      </c>
      <c r="C193" s="1" t="s">
        <v>495</v>
      </c>
      <c r="D193" s="21">
        <v>11</v>
      </c>
      <c r="E193" s="1" t="s">
        <v>727</v>
      </c>
      <c r="F193" s="21">
        <v>21</v>
      </c>
      <c r="G193" s="1" t="s">
        <v>804</v>
      </c>
      <c r="H193" s="1" t="s">
        <v>805</v>
      </c>
      <c r="I193" s="1" t="s">
        <v>806</v>
      </c>
      <c r="J193" s="1" t="s">
        <v>807</v>
      </c>
      <c r="L193" s="1" t="s">
        <v>9</v>
      </c>
    </row>
    <row r="194" spans="1:12" ht="15.75" customHeight="1" x14ac:dyDescent="0.25">
      <c r="A194" s="1" t="s">
        <v>12</v>
      </c>
      <c r="B194" s="21">
        <v>3</v>
      </c>
      <c r="C194" s="1" t="s">
        <v>495</v>
      </c>
      <c r="D194" s="21">
        <v>11</v>
      </c>
      <c r="E194" s="1" t="s">
        <v>727</v>
      </c>
      <c r="F194" s="21">
        <v>22</v>
      </c>
      <c r="G194" s="1" t="s">
        <v>808</v>
      </c>
      <c r="H194" s="1" t="s">
        <v>809</v>
      </c>
      <c r="I194" s="1" t="s">
        <v>810</v>
      </c>
      <c r="J194" s="1" t="s">
        <v>811</v>
      </c>
      <c r="L194" s="1" t="s">
        <v>7</v>
      </c>
    </row>
    <row r="195" spans="1:12" ht="15.75" customHeight="1" x14ac:dyDescent="0.25">
      <c r="A195" s="1" t="s">
        <v>12</v>
      </c>
      <c r="B195" s="21">
        <v>3</v>
      </c>
      <c r="C195" s="1" t="s">
        <v>495</v>
      </c>
      <c r="D195" s="21">
        <v>11</v>
      </c>
      <c r="E195" s="1" t="s">
        <v>727</v>
      </c>
      <c r="F195" s="21">
        <v>23</v>
      </c>
      <c r="G195" s="1" t="s">
        <v>812</v>
      </c>
      <c r="H195" s="1" t="s">
        <v>813</v>
      </c>
      <c r="I195" s="1" t="s">
        <v>814</v>
      </c>
      <c r="J195" s="1" t="s">
        <v>789</v>
      </c>
      <c r="L195" s="1" t="s">
        <v>9</v>
      </c>
    </row>
    <row r="196" spans="1:12" ht="15.75" customHeight="1" x14ac:dyDescent="0.25">
      <c r="A196" s="1" t="s">
        <v>12</v>
      </c>
      <c r="B196" s="21">
        <v>3</v>
      </c>
      <c r="C196" s="1" t="s">
        <v>495</v>
      </c>
      <c r="D196" s="21">
        <v>11</v>
      </c>
      <c r="E196" s="1" t="s">
        <v>727</v>
      </c>
      <c r="F196" s="21">
        <v>24</v>
      </c>
      <c r="G196" s="1" t="s">
        <v>815</v>
      </c>
      <c r="H196" s="1" t="s">
        <v>816</v>
      </c>
      <c r="I196" s="1" t="s">
        <v>817</v>
      </c>
      <c r="J196" s="1" t="s">
        <v>818</v>
      </c>
      <c r="L196" s="1" t="s">
        <v>7</v>
      </c>
    </row>
    <row r="197" spans="1:12" ht="15.75" customHeight="1" x14ac:dyDescent="0.25">
      <c r="A197" s="1" t="s">
        <v>12</v>
      </c>
      <c r="B197" s="21">
        <v>3</v>
      </c>
      <c r="C197" s="1" t="s">
        <v>495</v>
      </c>
      <c r="D197" s="21">
        <v>11</v>
      </c>
      <c r="E197" s="1" t="s">
        <v>727</v>
      </c>
      <c r="F197" s="21">
        <v>25</v>
      </c>
      <c r="G197" s="1" t="s">
        <v>819</v>
      </c>
      <c r="H197" s="1" t="s">
        <v>820</v>
      </c>
      <c r="I197" s="1" t="s">
        <v>821</v>
      </c>
      <c r="J197" s="1" t="s">
        <v>766</v>
      </c>
      <c r="L197" s="1" t="s">
        <v>9</v>
      </c>
    </row>
    <row r="198" spans="1:12" ht="15.75" customHeight="1" x14ac:dyDescent="0.25">
      <c r="A198" s="1" t="s">
        <v>12</v>
      </c>
      <c r="B198" s="21">
        <v>3</v>
      </c>
      <c r="C198" s="1" t="s">
        <v>495</v>
      </c>
      <c r="D198" s="21">
        <v>11</v>
      </c>
      <c r="E198" s="1" t="s">
        <v>727</v>
      </c>
      <c r="F198" s="21">
        <v>26</v>
      </c>
      <c r="G198" s="1" t="s">
        <v>822</v>
      </c>
      <c r="H198" s="1" t="s">
        <v>823</v>
      </c>
      <c r="I198" s="1" t="s">
        <v>824</v>
      </c>
      <c r="J198" s="1" t="s">
        <v>766</v>
      </c>
      <c r="L198" s="1" t="s">
        <v>7</v>
      </c>
    </row>
    <row r="199" spans="1:12" ht="15.75" customHeight="1" x14ac:dyDescent="0.25">
      <c r="A199" s="1" t="s">
        <v>12</v>
      </c>
      <c r="B199" s="21">
        <v>3</v>
      </c>
      <c r="C199" s="1" t="s">
        <v>495</v>
      </c>
      <c r="D199" s="21">
        <v>11</v>
      </c>
      <c r="E199" s="1" t="s">
        <v>727</v>
      </c>
      <c r="F199" s="21">
        <v>27</v>
      </c>
      <c r="G199" s="1" t="s">
        <v>825</v>
      </c>
      <c r="H199" s="1" t="s">
        <v>826</v>
      </c>
      <c r="I199" s="1" t="s">
        <v>827</v>
      </c>
      <c r="J199" s="1" t="s">
        <v>828</v>
      </c>
      <c r="L199" s="1" t="s">
        <v>9</v>
      </c>
    </row>
    <row r="200" spans="1:12" ht="15.75" customHeight="1" x14ac:dyDescent="0.25">
      <c r="A200" s="1" t="s">
        <v>12</v>
      </c>
      <c r="B200" s="21">
        <v>3</v>
      </c>
      <c r="C200" s="1" t="s">
        <v>495</v>
      </c>
      <c r="D200" s="21">
        <v>11</v>
      </c>
      <c r="E200" s="1" t="s">
        <v>727</v>
      </c>
      <c r="F200" s="21">
        <v>28</v>
      </c>
      <c r="G200" s="1" t="s">
        <v>829</v>
      </c>
      <c r="H200" s="1" t="s">
        <v>830</v>
      </c>
      <c r="I200" s="1" t="s">
        <v>831</v>
      </c>
      <c r="J200" s="1" t="s">
        <v>832</v>
      </c>
      <c r="L200" s="1" t="s">
        <v>7</v>
      </c>
    </row>
    <row r="201" spans="1:12" ht="15.75" customHeight="1" x14ac:dyDescent="0.25">
      <c r="A201" s="1" t="s">
        <v>12</v>
      </c>
      <c r="B201" s="21">
        <v>4</v>
      </c>
      <c r="C201" s="1" t="s">
        <v>833</v>
      </c>
      <c r="D201" s="21">
        <v>12</v>
      </c>
      <c r="E201" s="1" t="s">
        <v>834</v>
      </c>
      <c r="F201" s="21">
        <v>1</v>
      </c>
      <c r="G201" s="1" t="s">
        <v>835</v>
      </c>
      <c r="H201" s="1" t="s">
        <v>836</v>
      </c>
      <c r="I201" s="1" t="s">
        <v>837</v>
      </c>
      <c r="J201" s="1" t="s">
        <v>838</v>
      </c>
      <c r="K201" s="1" t="s">
        <v>839</v>
      </c>
      <c r="L201" s="1" t="s">
        <v>8</v>
      </c>
    </row>
    <row r="202" spans="1:12" ht="15.75" customHeight="1" x14ac:dyDescent="0.25">
      <c r="A202" s="1" t="s">
        <v>12</v>
      </c>
      <c r="B202" s="21">
        <v>4</v>
      </c>
      <c r="C202" s="1" t="s">
        <v>833</v>
      </c>
      <c r="D202" s="21">
        <v>12</v>
      </c>
      <c r="E202" s="1" t="s">
        <v>834</v>
      </c>
      <c r="F202" s="21">
        <v>2</v>
      </c>
      <c r="G202" s="1" t="s">
        <v>840</v>
      </c>
      <c r="H202" s="1" t="s">
        <v>841</v>
      </c>
      <c r="I202" s="1" t="s">
        <v>842</v>
      </c>
      <c r="J202" s="1" t="s">
        <v>843</v>
      </c>
      <c r="K202" s="1" t="s">
        <v>844</v>
      </c>
      <c r="L202" s="1" t="s">
        <v>8</v>
      </c>
    </row>
    <row r="203" spans="1:12" ht="15.75" customHeight="1" x14ac:dyDescent="0.25">
      <c r="A203" s="1" t="s">
        <v>12</v>
      </c>
      <c r="B203" s="21">
        <v>4</v>
      </c>
      <c r="C203" s="1" t="s">
        <v>833</v>
      </c>
      <c r="D203" s="21">
        <v>12</v>
      </c>
      <c r="E203" s="1" t="s">
        <v>834</v>
      </c>
      <c r="F203" s="21">
        <v>3</v>
      </c>
      <c r="G203" s="1" t="s">
        <v>845</v>
      </c>
      <c r="H203" s="1" t="s">
        <v>846</v>
      </c>
      <c r="I203" s="1" t="s">
        <v>847</v>
      </c>
      <c r="J203" s="1" t="s">
        <v>848</v>
      </c>
      <c r="K203" s="1" t="s">
        <v>849</v>
      </c>
      <c r="L203" s="1" t="s">
        <v>8</v>
      </c>
    </row>
    <row r="204" spans="1:12" ht="15.75" customHeight="1" x14ac:dyDescent="0.25">
      <c r="A204" s="1" t="s">
        <v>12</v>
      </c>
      <c r="B204" s="21">
        <v>4</v>
      </c>
      <c r="C204" s="1" t="s">
        <v>833</v>
      </c>
      <c r="D204" s="21">
        <v>12</v>
      </c>
      <c r="E204" s="1" t="s">
        <v>834</v>
      </c>
      <c r="F204" s="21">
        <v>4</v>
      </c>
      <c r="G204" s="1" t="s">
        <v>850</v>
      </c>
      <c r="H204" s="1" t="s">
        <v>851</v>
      </c>
      <c r="I204" s="1" t="s">
        <v>852</v>
      </c>
      <c r="J204" s="1" t="s">
        <v>853</v>
      </c>
      <c r="K204" s="1" t="s">
        <v>854</v>
      </c>
      <c r="L204" s="1" t="s">
        <v>9</v>
      </c>
    </row>
    <row r="205" spans="1:12" ht="15.75" customHeight="1" x14ac:dyDescent="0.25">
      <c r="A205" s="1" t="s">
        <v>12</v>
      </c>
      <c r="B205" s="21">
        <v>4</v>
      </c>
      <c r="C205" s="1" t="s">
        <v>833</v>
      </c>
      <c r="D205" s="21">
        <v>12</v>
      </c>
      <c r="E205" s="1" t="s">
        <v>834</v>
      </c>
      <c r="F205" s="21">
        <v>5</v>
      </c>
      <c r="G205" s="1" t="s">
        <v>855</v>
      </c>
      <c r="H205" s="1" t="s">
        <v>838</v>
      </c>
      <c r="I205" s="1" t="s">
        <v>837</v>
      </c>
      <c r="J205" s="1" t="s">
        <v>839</v>
      </c>
      <c r="K205" s="1" t="s">
        <v>836</v>
      </c>
      <c r="L205" s="1" t="s">
        <v>9</v>
      </c>
    </row>
    <row r="206" spans="1:12" ht="15.75" customHeight="1" x14ac:dyDescent="0.25">
      <c r="A206" s="1" t="s">
        <v>12</v>
      </c>
      <c r="B206" s="21">
        <v>4</v>
      </c>
      <c r="C206" s="1" t="s">
        <v>833</v>
      </c>
      <c r="D206" s="21">
        <v>12</v>
      </c>
      <c r="E206" s="1" t="s">
        <v>834</v>
      </c>
      <c r="F206" s="21">
        <v>6</v>
      </c>
      <c r="G206" s="1" t="s">
        <v>856</v>
      </c>
      <c r="H206" s="1" t="s">
        <v>857</v>
      </c>
      <c r="I206" s="1" t="s">
        <v>858</v>
      </c>
      <c r="J206" s="1" t="s">
        <v>859</v>
      </c>
      <c r="K206" s="1" t="s">
        <v>860</v>
      </c>
      <c r="L206" s="1" t="s">
        <v>10</v>
      </c>
    </row>
    <row r="207" spans="1:12" ht="15.75" customHeight="1" x14ac:dyDescent="0.25">
      <c r="A207" s="1" t="s">
        <v>12</v>
      </c>
      <c r="B207" s="21">
        <v>4</v>
      </c>
      <c r="C207" s="1" t="s">
        <v>833</v>
      </c>
      <c r="D207" s="21">
        <v>12</v>
      </c>
      <c r="E207" s="1" t="s">
        <v>834</v>
      </c>
      <c r="F207" s="21">
        <v>7</v>
      </c>
      <c r="G207" s="1" t="s">
        <v>861</v>
      </c>
      <c r="H207" s="1" t="s">
        <v>862</v>
      </c>
      <c r="I207" s="1" t="s">
        <v>863</v>
      </c>
      <c r="J207" s="1" t="s">
        <v>864</v>
      </c>
      <c r="K207" s="1" t="s">
        <v>865</v>
      </c>
      <c r="L207" s="1" t="s">
        <v>8</v>
      </c>
    </row>
    <row r="208" spans="1:12" ht="15.75" customHeight="1" x14ac:dyDescent="0.25">
      <c r="A208" s="1" t="s">
        <v>12</v>
      </c>
      <c r="B208" s="21">
        <v>4</v>
      </c>
      <c r="C208" s="1" t="s">
        <v>833</v>
      </c>
      <c r="D208" s="21">
        <v>12</v>
      </c>
      <c r="E208" s="1" t="s">
        <v>834</v>
      </c>
      <c r="F208" s="21">
        <v>8</v>
      </c>
      <c r="G208" s="1" t="s">
        <v>866</v>
      </c>
      <c r="H208" s="1" t="s">
        <v>867</v>
      </c>
      <c r="I208" s="1" t="s">
        <v>868</v>
      </c>
      <c r="J208" s="1" t="s">
        <v>869</v>
      </c>
      <c r="K208" s="1" t="s">
        <v>870</v>
      </c>
      <c r="L208" s="1" t="s">
        <v>7</v>
      </c>
    </row>
    <row r="209" spans="1:12" ht="15.75" customHeight="1" x14ac:dyDescent="0.25">
      <c r="A209" s="1" t="s">
        <v>12</v>
      </c>
      <c r="B209" s="21">
        <v>4</v>
      </c>
      <c r="C209" s="1" t="s">
        <v>833</v>
      </c>
      <c r="D209" s="21">
        <v>12</v>
      </c>
      <c r="E209" s="1" t="s">
        <v>834</v>
      </c>
      <c r="F209" s="21">
        <v>9</v>
      </c>
      <c r="G209" s="1" t="s">
        <v>871</v>
      </c>
      <c r="H209" s="1" t="s">
        <v>872</v>
      </c>
      <c r="I209" s="1" t="s">
        <v>873</v>
      </c>
      <c r="J209" s="1" t="s">
        <v>874</v>
      </c>
      <c r="K209" s="1" t="s">
        <v>875</v>
      </c>
      <c r="L209" s="1" t="s">
        <v>9</v>
      </c>
    </row>
    <row r="210" spans="1:12" ht="15.75" customHeight="1" x14ac:dyDescent="0.25">
      <c r="A210" s="1" t="s">
        <v>12</v>
      </c>
      <c r="B210" s="21">
        <v>4</v>
      </c>
      <c r="C210" s="1" t="s">
        <v>833</v>
      </c>
      <c r="D210" s="21">
        <v>12</v>
      </c>
      <c r="E210" s="1" t="s">
        <v>834</v>
      </c>
      <c r="F210" s="21">
        <v>10</v>
      </c>
      <c r="G210" s="1" t="s">
        <v>876</v>
      </c>
      <c r="H210" s="1" t="s">
        <v>846</v>
      </c>
      <c r="I210" s="1" t="s">
        <v>877</v>
      </c>
      <c r="J210" s="1" t="s">
        <v>848</v>
      </c>
      <c r="K210" s="1" t="s">
        <v>878</v>
      </c>
      <c r="L210" s="1" t="s">
        <v>10</v>
      </c>
    </row>
    <row r="211" spans="1:12" ht="15.75" customHeight="1" x14ac:dyDescent="0.25">
      <c r="A211" s="1" t="s">
        <v>12</v>
      </c>
      <c r="B211" s="21">
        <v>4</v>
      </c>
      <c r="C211" s="1" t="s">
        <v>833</v>
      </c>
      <c r="D211" s="21">
        <v>12</v>
      </c>
      <c r="E211" s="1" t="s">
        <v>834</v>
      </c>
      <c r="F211" s="21">
        <v>11</v>
      </c>
      <c r="G211" s="1" t="s">
        <v>879</v>
      </c>
      <c r="H211" s="1" t="s">
        <v>880</v>
      </c>
      <c r="I211" s="1" t="s">
        <v>881</v>
      </c>
      <c r="J211" s="1" t="s">
        <v>882</v>
      </c>
      <c r="K211" s="1" t="s">
        <v>883</v>
      </c>
      <c r="L211" s="1" t="s">
        <v>9</v>
      </c>
    </row>
    <row r="212" spans="1:12" ht="15.75" customHeight="1" x14ac:dyDescent="0.25">
      <c r="A212" s="1" t="s">
        <v>12</v>
      </c>
      <c r="B212" s="21">
        <v>4</v>
      </c>
      <c r="C212" s="1" t="s">
        <v>833</v>
      </c>
      <c r="D212" s="21">
        <v>12</v>
      </c>
      <c r="E212" s="1" t="s">
        <v>834</v>
      </c>
      <c r="F212" s="21">
        <v>12</v>
      </c>
      <c r="G212" s="1" t="s">
        <v>884</v>
      </c>
      <c r="H212" s="1" t="s">
        <v>885</v>
      </c>
      <c r="I212" s="1" t="s">
        <v>886</v>
      </c>
      <c r="J212" s="1" t="s">
        <v>887</v>
      </c>
      <c r="K212" s="1" t="s">
        <v>888</v>
      </c>
      <c r="L212" s="1" t="s">
        <v>7</v>
      </c>
    </row>
    <row r="213" spans="1:12" ht="15.75" customHeight="1" x14ac:dyDescent="0.25">
      <c r="A213" s="1" t="s">
        <v>12</v>
      </c>
      <c r="B213" s="21">
        <v>4</v>
      </c>
      <c r="C213" s="1" t="s">
        <v>833</v>
      </c>
      <c r="D213" s="21">
        <v>12</v>
      </c>
      <c r="E213" s="1" t="s">
        <v>834</v>
      </c>
      <c r="F213" s="21">
        <v>13</v>
      </c>
      <c r="G213" s="1" t="s">
        <v>889</v>
      </c>
      <c r="H213" s="1" t="s">
        <v>890</v>
      </c>
      <c r="I213" s="1" t="s">
        <v>891</v>
      </c>
      <c r="J213" s="1" t="s">
        <v>892</v>
      </c>
      <c r="K213" s="1" t="s">
        <v>893</v>
      </c>
      <c r="L213" s="1" t="s">
        <v>10</v>
      </c>
    </row>
    <row r="214" spans="1:12" ht="15.75" customHeight="1" x14ac:dyDescent="0.25">
      <c r="A214" s="1" t="s">
        <v>12</v>
      </c>
      <c r="B214" s="21">
        <v>4</v>
      </c>
      <c r="C214" s="1" t="s">
        <v>833</v>
      </c>
      <c r="D214" s="21">
        <v>12</v>
      </c>
      <c r="E214" s="1" t="s">
        <v>834</v>
      </c>
      <c r="F214" s="21">
        <v>14</v>
      </c>
      <c r="G214" s="1" t="s">
        <v>894</v>
      </c>
      <c r="H214" s="1" t="s">
        <v>895</v>
      </c>
      <c r="I214" s="1" t="s">
        <v>896</v>
      </c>
      <c r="J214" s="1" t="s">
        <v>897</v>
      </c>
      <c r="K214" s="1" t="s">
        <v>898</v>
      </c>
      <c r="L214" s="1" t="s">
        <v>8</v>
      </c>
    </row>
    <row r="215" spans="1:12" ht="15.75" customHeight="1" x14ac:dyDescent="0.25">
      <c r="A215" s="1" t="s">
        <v>12</v>
      </c>
      <c r="B215" s="21">
        <v>4</v>
      </c>
      <c r="C215" s="1" t="s">
        <v>833</v>
      </c>
      <c r="D215" s="21">
        <v>12</v>
      </c>
      <c r="E215" s="1" t="s">
        <v>834</v>
      </c>
      <c r="F215" s="21">
        <v>15</v>
      </c>
      <c r="G215" s="1" t="s">
        <v>899</v>
      </c>
      <c r="H215" s="1" t="s">
        <v>900</v>
      </c>
      <c r="I215" s="1" t="s">
        <v>901</v>
      </c>
      <c r="J215" s="1" t="s">
        <v>902</v>
      </c>
      <c r="K215" s="1" t="s">
        <v>903</v>
      </c>
      <c r="L215" s="1" t="s">
        <v>10</v>
      </c>
    </row>
    <row r="216" spans="1:12" ht="15.75" customHeight="1" x14ac:dyDescent="0.25">
      <c r="A216" s="1" t="s">
        <v>12</v>
      </c>
      <c r="B216" s="21">
        <v>4</v>
      </c>
      <c r="C216" s="1" t="s">
        <v>833</v>
      </c>
      <c r="D216" s="21">
        <v>12</v>
      </c>
      <c r="E216" s="1" t="s">
        <v>834</v>
      </c>
      <c r="F216" s="21">
        <v>16</v>
      </c>
      <c r="G216" s="1" t="s">
        <v>904</v>
      </c>
      <c r="H216" s="1" t="s">
        <v>905</v>
      </c>
      <c r="I216" s="1" t="s">
        <v>906</v>
      </c>
      <c r="J216" s="1" t="s">
        <v>907</v>
      </c>
      <c r="K216" s="1" t="s">
        <v>908</v>
      </c>
      <c r="L216" s="1" t="s">
        <v>9</v>
      </c>
    </row>
    <row r="217" spans="1:12" ht="15.75" customHeight="1" x14ac:dyDescent="0.25">
      <c r="A217" s="1" t="s">
        <v>12</v>
      </c>
      <c r="B217" s="21">
        <v>4</v>
      </c>
      <c r="C217" s="1" t="s">
        <v>833</v>
      </c>
      <c r="D217" s="21">
        <v>12</v>
      </c>
      <c r="E217" s="1" t="s">
        <v>834</v>
      </c>
      <c r="F217" s="21">
        <v>17</v>
      </c>
      <c r="G217" s="1" t="s">
        <v>909</v>
      </c>
      <c r="H217" s="1" t="s">
        <v>910</v>
      </c>
      <c r="I217" s="1" t="s">
        <v>911</v>
      </c>
      <c r="J217" s="1" t="s">
        <v>912</v>
      </c>
      <c r="K217" s="1" t="s">
        <v>913</v>
      </c>
      <c r="L217" s="1" t="s">
        <v>8</v>
      </c>
    </row>
    <row r="218" spans="1:12" ht="15.75" customHeight="1" x14ac:dyDescent="0.25">
      <c r="A218" s="1" t="s">
        <v>12</v>
      </c>
      <c r="B218" s="21">
        <v>4</v>
      </c>
      <c r="C218" s="1" t="s">
        <v>833</v>
      </c>
      <c r="D218" s="21">
        <v>12</v>
      </c>
      <c r="E218" s="1" t="s">
        <v>834</v>
      </c>
      <c r="F218" s="21">
        <v>18</v>
      </c>
      <c r="G218" s="1" t="s">
        <v>914</v>
      </c>
      <c r="H218" s="1" t="s">
        <v>846</v>
      </c>
      <c r="I218" s="1" t="s">
        <v>877</v>
      </c>
      <c r="J218" s="1" t="s">
        <v>878</v>
      </c>
      <c r="K218" s="1" t="s">
        <v>849</v>
      </c>
      <c r="L218" s="1" t="s">
        <v>7</v>
      </c>
    </row>
    <row r="219" spans="1:12" ht="15.75" customHeight="1" x14ac:dyDescent="0.25">
      <c r="A219" s="1" t="s">
        <v>12</v>
      </c>
      <c r="B219" s="21">
        <v>4</v>
      </c>
      <c r="C219" s="1" t="s">
        <v>833</v>
      </c>
      <c r="D219" s="21">
        <v>12</v>
      </c>
      <c r="E219" s="1" t="s">
        <v>834</v>
      </c>
      <c r="F219" s="21">
        <v>19</v>
      </c>
      <c r="G219" s="1" t="s">
        <v>915</v>
      </c>
      <c r="H219" s="1" t="s">
        <v>846</v>
      </c>
      <c r="I219" s="1" t="s">
        <v>877</v>
      </c>
      <c r="J219" s="1" t="s">
        <v>847</v>
      </c>
      <c r="K219" s="1" t="s">
        <v>916</v>
      </c>
      <c r="L219" s="1" t="s">
        <v>10</v>
      </c>
    </row>
    <row r="220" spans="1:12" ht="15.75" customHeight="1" x14ac:dyDescent="0.25">
      <c r="A220" s="1" t="s">
        <v>12</v>
      </c>
      <c r="B220" s="21">
        <v>4</v>
      </c>
      <c r="C220" s="1" t="s">
        <v>833</v>
      </c>
      <c r="D220" s="21">
        <v>12</v>
      </c>
      <c r="E220" s="1" t="s">
        <v>834</v>
      </c>
      <c r="F220" s="21">
        <v>20</v>
      </c>
      <c r="G220" s="1" t="s">
        <v>917</v>
      </c>
      <c r="H220" s="1" t="s">
        <v>918</v>
      </c>
      <c r="I220" s="1" t="s">
        <v>919</v>
      </c>
      <c r="J220" s="1" t="s">
        <v>920</v>
      </c>
      <c r="K220" s="1" t="s">
        <v>921</v>
      </c>
      <c r="L220" s="1" t="s">
        <v>9</v>
      </c>
    </row>
    <row r="221" spans="1:12" ht="15.75" customHeight="1" x14ac:dyDescent="0.25">
      <c r="A221" s="1" t="s">
        <v>12</v>
      </c>
      <c r="B221" s="21">
        <v>4</v>
      </c>
      <c r="C221" s="1" t="s">
        <v>833</v>
      </c>
      <c r="D221" s="21">
        <v>12</v>
      </c>
      <c r="E221" s="1" t="s">
        <v>834</v>
      </c>
      <c r="F221" s="21">
        <v>21</v>
      </c>
      <c r="G221" s="1" t="s">
        <v>922</v>
      </c>
      <c r="H221" s="1" t="s">
        <v>923</v>
      </c>
      <c r="I221" s="1" t="s">
        <v>924</v>
      </c>
      <c r="J221" s="1" t="s">
        <v>925</v>
      </c>
      <c r="K221" s="1" t="s">
        <v>926</v>
      </c>
      <c r="L221" s="1" t="s">
        <v>9</v>
      </c>
    </row>
    <row r="222" spans="1:12" ht="15.75" customHeight="1" x14ac:dyDescent="0.25">
      <c r="A222" s="1" t="s">
        <v>12</v>
      </c>
      <c r="B222" s="21">
        <v>4</v>
      </c>
      <c r="C222" s="1" t="s">
        <v>833</v>
      </c>
      <c r="D222" s="21">
        <v>12</v>
      </c>
      <c r="E222" s="1" t="s">
        <v>834</v>
      </c>
      <c r="F222" s="21">
        <v>22</v>
      </c>
      <c r="G222" s="1" t="s">
        <v>927</v>
      </c>
      <c r="H222" s="1" t="s">
        <v>928</v>
      </c>
      <c r="I222" s="1" t="s">
        <v>929</v>
      </c>
      <c r="J222" s="1" t="s">
        <v>930</v>
      </c>
      <c r="K222" s="1" t="s">
        <v>931</v>
      </c>
      <c r="L222" s="1" t="s">
        <v>10</v>
      </c>
    </row>
    <row r="223" spans="1:12" ht="15.75" customHeight="1" x14ac:dyDescent="0.25">
      <c r="A223" s="1" t="s">
        <v>12</v>
      </c>
      <c r="B223" s="21">
        <v>4</v>
      </c>
      <c r="C223" s="1" t="s">
        <v>833</v>
      </c>
      <c r="D223" s="21">
        <v>12</v>
      </c>
      <c r="E223" s="1" t="s">
        <v>834</v>
      </c>
      <c r="F223" s="21">
        <v>23</v>
      </c>
      <c r="G223" s="1" t="s">
        <v>932</v>
      </c>
      <c r="H223" s="1" t="s">
        <v>933</v>
      </c>
      <c r="I223" s="1" t="s">
        <v>934</v>
      </c>
      <c r="J223" s="1" t="s">
        <v>935</v>
      </c>
      <c r="K223" s="1" t="s">
        <v>414</v>
      </c>
      <c r="L223" s="1" t="s">
        <v>7</v>
      </c>
    </row>
    <row r="224" spans="1:12" ht="15.75" customHeight="1" x14ac:dyDescent="0.25">
      <c r="A224" s="1" t="s">
        <v>12</v>
      </c>
      <c r="B224" s="21">
        <v>4</v>
      </c>
      <c r="C224" s="1" t="s">
        <v>833</v>
      </c>
      <c r="D224" s="21">
        <v>12</v>
      </c>
      <c r="E224" s="1" t="s">
        <v>834</v>
      </c>
      <c r="F224" s="21">
        <v>24</v>
      </c>
      <c r="G224" s="1" t="s">
        <v>936</v>
      </c>
      <c r="H224" s="1" t="s">
        <v>937</v>
      </c>
      <c r="I224" s="1" t="s">
        <v>938</v>
      </c>
      <c r="J224" s="1" t="s">
        <v>939</v>
      </c>
      <c r="K224" s="1" t="s">
        <v>940</v>
      </c>
      <c r="L224" s="1" t="s">
        <v>8</v>
      </c>
    </row>
    <row r="225" spans="1:12" ht="15.75" customHeight="1" x14ac:dyDescent="0.25">
      <c r="A225" s="1" t="s">
        <v>12</v>
      </c>
      <c r="B225" s="21">
        <v>4</v>
      </c>
      <c r="C225" s="1" t="s">
        <v>833</v>
      </c>
      <c r="D225" s="21">
        <v>12</v>
      </c>
      <c r="E225" s="1" t="s">
        <v>834</v>
      </c>
      <c r="F225" s="21">
        <v>26</v>
      </c>
      <c r="G225" s="1" t="s">
        <v>941</v>
      </c>
      <c r="H225" s="1" t="s">
        <v>942</v>
      </c>
      <c r="I225" s="1" t="s">
        <v>943</v>
      </c>
      <c r="J225" s="1" t="s">
        <v>944</v>
      </c>
      <c r="K225" s="1" t="s">
        <v>945</v>
      </c>
      <c r="L225" s="1" t="s">
        <v>8</v>
      </c>
    </row>
    <row r="226" spans="1:12" ht="15.75" customHeight="1" x14ac:dyDescent="0.25">
      <c r="A226" s="1" t="s">
        <v>12</v>
      </c>
      <c r="B226" s="21">
        <v>4</v>
      </c>
      <c r="C226" s="1" t="s">
        <v>833</v>
      </c>
      <c r="D226" s="21">
        <v>12</v>
      </c>
      <c r="E226" s="1" t="s">
        <v>834</v>
      </c>
      <c r="F226" s="21">
        <v>27</v>
      </c>
      <c r="G226" s="1" t="s">
        <v>946</v>
      </c>
      <c r="H226" s="1" t="s">
        <v>947</v>
      </c>
      <c r="I226" s="1" t="s">
        <v>948</v>
      </c>
      <c r="J226" s="1" t="s">
        <v>949</v>
      </c>
      <c r="K226" s="1" t="s">
        <v>950</v>
      </c>
      <c r="L226" s="1" t="s">
        <v>7</v>
      </c>
    </row>
    <row r="227" spans="1:12" ht="15.75" customHeight="1" x14ac:dyDescent="0.25">
      <c r="A227" s="1" t="s">
        <v>12</v>
      </c>
      <c r="B227" s="21">
        <v>4</v>
      </c>
      <c r="C227" s="1" t="s">
        <v>833</v>
      </c>
      <c r="D227" s="21">
        <v>12</v>
      </c>
      <c r="E227" s="1" t="s">
        <v>834</v>
      </c>
      <c r="F227" s="21">
        <v>28</v>
      </c>
      <c r="G227" s="1" t="s">
        <v>951</v>
      </c>
      <c r="H227" s="1" t="s">
        <v>952</v>
      </c>
      <c r="I227" s="1" t="s">
        <v>953</v>
      </c>
      <c r="J227" s="1" t="s">
        <v>954</v>
      </c>
      <c r="K227" s="1" t="s">
        <v>955</v>
      </c>
      <c r="L227" s="1" t="s">
        <v>7</v>
      </c>
    </row>
    <row r="228" spans="1:12" ht="15.75" customHeight="1" x14ac:dyDescent="0.25">
      <c r="A228" s="1" t="s">
        <v>12</v>
      </c>
      <c r="B228" s="21">
        <v>4</v>
      </c>
      <c r="C228" s="1" t="s">
        <v>833</v>
      </c>
      <c r="D228" s="21">
        <v>12</v>
      </c>
      <c r="E228" s="1" t="s">
        <v>834</v>
      </c>
      <c r="F228" s="21">
        <v>29</v>
      </c>
      <c r="G228" s="1" t="s">
        <v>956</v>
      </c>
      <c r="H228" s="1" t="s">
        <v>957</v>
      </c>
      <c r="I228" s="1" t="s">
        <v>958</v>
      </c>
      <c r="J228" s="1" t="s">
        <v>959</v>
      </c>
      <c r="K228" s="1" t="s">
        <v>960</v>
      </c>
      <c r="L228" s="1" t="s">
        <v>9</v>
      </c>
    </row>
    <row r="229" spans="1:12" ht="15.75" customHeight="1" x14ac:dyDescent="0.25">
      <c r="A229" s="1" t="s">
        <v>12</v>
      </c>
      <c r="B229" s="21">
        <v>4</v>
      </c>
      <c r="C229" s="1" t="s">
        <v>833</v>
      </c>
      <c r="D229" s="21">
        <v>12</v>
      </c>
      <c r="E229" s="1" t="s">
        <v>834</v>
      </c>
      <c r="F229" s="21">
        <v>30</v>
      </c>
      <c r="G229" s="1" t="s">
        <v>961</v>
      </c>
      <c r="H229" s="1" t="s">
        <v>962</v>
      </c>
      <c r="I229" s="1" t="s">
        <v>963</v>
      </c>
      <c r="J229" s="1" t="s">
        <v>479</v>
      </c>
      <c r="K229" s="1" t="s">
        <v>964</v>
      </c>
      <c r="L229" s="1" t="s">
        <v>9</v>
      </c>
    </row>
    <row r="230" spans="1:12" ht="15.75" customHeight="1" x14ac:dyDescent="0.25">
      <c r="A230" s="1" t="s">
        <v>12</v>
      </c>
      <c r="B230" s="21">
        <v>4</v>
      </c>
      <c r="C230" s="1" t="s">
        <v>833</v>
      </c>
      <c r="D230" s="21">
        <v>13</v>
      </c>
      <c r="E230" s="1" t="s">
        <v>965</v>
      </c>
      <c r="F230" s="21">
        <v>1</v>
      </c>
      <c r="G230" s="1" t="s">
        <v>966</v>
      </c>
      <c r="H230" s="1" t="s">
        <v>967</v>
      </c>
      <c r="I230" s="1" t="s">
        <v>968</v>
      </c>
      <c r="J230" s="1" t="s">
        <v>969</v>
      </c>
      <c r="K230" s="1" t="s">
        <v>970</v>
      </c>
      <c r="L230" s="1" t="s">
        <v>7</v>
      </c>
    </row>
    <row r="231" spans="1:12" ht="15.75" customHeight="1" x14ac:dyDescent="0.25">
      <c r="A231" s="1" t="s">
        <v>12</v>
      </c>
      <c r="B231" s="21">
        <v>4</v>
      </c>
      <c r="C231" s="1" t="s">
        <v>833</v>
      </c>
      <c r="D231" s="21">
        <v>13</v>
      </c>
      <c r="E231" s="1" t="s">
        <v>965</v>
      </c>
      <c r="F231" s="21">
        <v>2</v>
      </c>
      <c r="G231" s="1" t="s">
        <v>971</v>
      </c>
      <c r="H231" s="1" t="s">
        <v>972</v>
      </c>
      <c r="I231" s="1" t="s">
        <v>973</v>
      </c>
      <c r="J231" s="1" t="s">
        <v>974</v>
      </c>
      <c r="K231" s="1" t="s">
        <v>975</v>
      </c>
      <c r="L231" s="1" t="s">
        <v>7</v>
      </c>
    </row>
    <row r="232" spans="1:12" ht="15.75" customHeight="1" x14ac:dyDescent="0.25">
      <c r="A232" s="1" t="s">
        <v>12</v>
      </c>
      <c r="B232" s="21">
        <v>4</v>
      </c>
      <c r="C232" s="1" t="s">
        <v>833</v>
      </c>
      <c r="D232" s="21">
        <v>13</v>
      </c>
      <c r="E232" s="1" t="s">
        <v>965</v>
      </c>
      <c r="F232" s="21">
        <v>3</v>
      </c>
      <c r="G232" s="1" t="s">
        <v>976</v>
      </c>
      <c r="H232" s="1" t="s">
        <v>977</v>
      </c>
      <c r="I232" s="1" t="s">
        <v>978</v>
      </c>
      <c r="J232" s="1" t="s">
        <v>979</v>
      </c>
      <c r="K232" s="1" t="s">
        <v>980</v>
      </c>
      <c r="L232" s="1" t="s">
        <v>7</v>
      </c>
    </row>
    <row r="233" spans="1:12" ht="15.75" customHeight="1" x14ac:dyDescent="0.25">
      <c r="A233" s="1" t="s">
        <v>12</v>
      </c>
      <c r="B233" s="21">
        <v>4</v>
      </c>
      <c r="C233" s="1" t="s">
        <v>833</v>
      </c>
      <c r="D233" s="21">
        <v>13</v>
      </c>
      <c r="E233" s="1" t="s">
        <v>965</v>
      </c>
      <c r="F233" s="21">
        <v>4</v>
      </c>
      <c r="G233" s="1" t="s">
        <v>981</v>
      </c>
      <c r="H233" s="1" t="s">
        <v>982</v>
      </c>
      <c r="I233" s="1" t="s">
        <v>983</v>
      </c>
      <c r="J233" s="1" t="s">
        <v>984</v>
      </c>
      <c r="K233" s="1" t="s">
        <v>985</v>
      </c>
      <c r="L233" s="1" t="s">
        <v>7</v>
      </c>
    </row>
    <row r="234" spans="1:12" ht="15.75" customHeight="1" x14ac:dyDescent="0.25">
      <c r="A234" s="1" t="s">
        <v>12</v>
      </c>
      <c r="B234" s="21">
        <v>4</v>
      </c>
      <c r="C234" s="1" t="s">
        <v>833</v>
      </c>
      <c r="D234" s="21">
        <v>13</v>
      </c>
      <c r="E234" s="1" t="s">
        <v>965</v>
      </c>
      <c r="F234" s="21">
        <v>5</v>
      </c>
      <c r="G234" s="1" t="s">
        <v>986</v>
      </c>
      <c r="H234" s="1" t="s">
        <v>987</v>
      </c>
      <c r="I234" s="1" t="s">
        <v>988</v>
      </c>
      <c r="J234" s="1" t="s">
        <v>989</v>
      </c>
      <c r="K234" s="1" t="s">
        <v>990</v>
      </c>
      <c r="L234" s="1" t="s">
        <v>7</v>
      </c>
    </row>
    <row r="235" spans="1:12" ht="15.75" customHeight="1" x14ac:dyDescent="0.25">
      <c r="A235" s="1" t="s">
        <v>12</v>
      </c>
      <c r="B235" s="21">
        <v>4</v>
      </c>
      <c r="C235" s="1" t="s">
        <v>833</v>
      </c>
      <c r="D235" s="21">
        <v>13</v>
      </c>
      <c r="E235" s="1" t="s">
        <v>965</v>
      </c>
      <c r="F235" s="21">
        <v>6</v>
      </c>
      <c r="G235" s="1" t="s">
        <v>991</v>
      </c>
      <c r="H235" s="1" t="s">
        <v>992</v>
      </c>
      <c r="I235" s="1" t="s">
        <v>993</v>
      </c>
      <c r="J235" s="1" t="s">
        <v>994</v>
      </c>
      <c r="K235" s="1" t="s">
        <v>995</v>
      </c>
      <c r="L235" s="1" t="s">
        <v>8</v>
      </c>
    </row>
    <row r="236" spans="1:12" ht="15.75" customHeight="1" x14ac:dyDescent="0.25">
      <c r="A236" s="1" t="s">
        <v>12</v>
      </c>
      <c r="B236" s="21">
        <v>4</v>
      </c>
      <c r="C236" s="1" t="s">
        <v>833</v>
      </c>
      <c r="D236" s="21">
        <v>13</v>
      </c>
      <c r="E236" s="1" t="s">
        <v>965</v>
      </c>
      <c r="F236" s="21">
        <v>7</v>
      </c>
      <c r="G236" s="1" t="s">
        <v>996</v>
      </c>
      <c r="H236" s="1" t="s">
        <v>997</v>
      </c>
      <c r="I236" s="1" t="s">
        <v>998</v>
      </c>
      <c r="J236" s="1" t="s">
        <v>999</v>
      </c>
      <c r="K236" s="1" t="s">
        <v>1000</v>
      </c>
      <c r="L236" s="1" t="s">
        <v>10</v>
      </c>
    </row>
    <row r="237" spans="1:12" ht="15.75" customHeight="1" x14ac:dyDescent="0.25">
      <c r="A237" s="1" t="s">
        <v>12</v>
      </c>
      <c r="B237" s="21">
        <v>4</v>
      </c>
      <c r="C237" s="1" t="s">
        <v>833</v>
      </c>
      <c r="D237" s="21">
        <v>13</v>
      </c>
      <c r="E237" s="1" t="s">
        <v>965</v>
      </c>
      <c r="F237" s="21">
        <v>14</v>
      </c>
      <c r="G237" s="1" t="s">
        <v>1001</v>
      </c>
      <c r="H237" s="1" t="s">
        <v>1002</v>
      </c>
      <c r="I237" s="1" t="s">
        <v>1003</v>
      </c>
      <c r="J237" s="1" t="s">
        <v>1004</v>
      </c>
      <c r="K237" s="1" t="s">
        <v>414</v>
      </c>
      <c r="L237" s="1" t="s">
        <v>7</v>
      </c>
    </row>
    <row r="238" spans="1:12" ht="15.75" customHeight="1" x14ac:dyDescent="0.25">
      <c r="A238" s="1" t="s">
        <v>12</v>
      </c>
      <c r="B238" s="21">
        <v>4</v>
      </c>
      <c r="C238" s="1" t="s">
        <v>833</v>
      </c>
      <c r="D238" s="21">
        <v>13</v>
      </c>
      <c r="E238" s="1" t="s">
        <v>965</v>
      </c>
      <c r="F238" s="21">
        <v>15</v>
      </c>
      <c r="G238" s="1" t="s">
        <v>1005</v>
      </c>
      <c r="H238" s="1" t="s">
        <v>1006</v>
      </c>
      <c r="I238" s="1" t="s">
        <v>1007</v>
      </c>
      <c r="J238" s="1" t="s">
        <v>1008</v>
      </c>
      <c r="K238" s="1" t="s">
        <v>1009</v>
      </c>
      <c r="L238" s="1" t="s">
        <v>10</v>
      </c>
    </row>
    <row r="239" spans="1:12" ht="15.75" customHeight="1" x14ac:dyDescent="0.25">
      <c r="A239" s="1" t="s">
        <v>12</v>
      </c>
      <c r="B239" s="21">
        <v>4</v>
      </c>
      <c r="C239" s="1" t="s">
        <v>833</v>
      </c>
      <c r="D239" s="21">
        <v>13</v>
      </c>
      <c r="E239" s="1" t="s">
        <v>965</v>
      </c>
      <c r="F239" s="21">
        <v>16</v>
      </c>
      <c r="G239" s="1" t="s">
        <v>1010</v>
      </c>
      <c r="H239" s="1" t="s">
        <v>1011</v>
      </c>
      <c r="I239" s="1" t="s">
        <v>1012</v>
      </c>
      <c r="J239" s="1" t="s">
        <v>1013</v>
      </c>
      <c r="K239" s="1" t="s">
        <v>1014</v>
      </c>
      <c r="L239" s="1" t="s">
        <v>8</v>
      </c>
    </row>
    <row r="240" spans="1:12" ht="15.75" customHeight="1" x14ac:dyDescent="0.25">
      <c r="A240" s="1" t="s">
        <v>12</v>
      </c>
      <c r="B240" s="21">
        <v>4</v>
      </c>
      <c r="C240" s="1" t="s">
        <v>833</v>
      </c>
      <c r="D240" s="21">
        <v>13</v>
      </c>
      <c r="E240" s="1" t="s">
        <v>965</v>
      </c>
      <c r="F240" s="21">
        <v>17</v>
      </c>
      <c r="G240" s="1" t="s">
        <v>1015</v>
      </c>
      <c r="H240" s="1" t="s">
        <v>1016</v>
      </c>
      <c r="I240" s="1" t="s">
        <v>1017</v>
      </c>
      <c r="J240" s="1" t="s">
        <v>1018</v>
      </c>
      <c r="K240" s="1" t="s">
        <v>1019</v>
      </c>
      <c r="L240" s="1" t="s">
        <v>8</v>
      </c>
    </row>
    <row r="241" spans="1:12" ht="15.75" customHeight="1" x14ac:dyDescent="0.25">
      <c r="A241" s="1" t="s">
        <v>12</v>
      </c>
      <c r="B241" s="21">
        <v>4</v>
      </c>
      <c r="C241" s="1" t="s">
        <v>833</v>
      </c>
      <c r="D241" s="21">
        <v>13</v>
      </c>
      <c r="E241" s="1" t="s">
        <v>965</v>
      </c>
      <c r="F241" s="21">
        <v>18</v>
      </c>
      <c r="G241" s="1" t="s">
        <v>1020</v>
      </c>
      <c r="H241" s="1" t="s">
        <v>1021</v>
      </c>
      <c r="I241" s="1" t="s">
        <v>1022</v>
      </c>
      <c r="J241" s="1" t="s">
        <v>1023</v>
      </c>
      <c r="K241" s="1" t="s">
        <v>1024</v>
      </c>
      <c r="L241" s="1" t="s">
        <v>7</v>
      </c>
    </row>
    <row r="242" spans="1:12" ht="15.75" customHeight="1" x14ac:dyDescent="0.25">
      <c r="A242" s="1" t="s">
        <v>12</v>
      </c>
      <c r="B242" s="21">
        <v>4</v>
      </c>
      <c r="C242" s="1" t="s">
        <v>833</v>
      </c>
      <c r="D242" s="21">
        <v>13</v>
      </c>
      <c r="E242" s="1" t="s">
        <v>965</v>
      </c>
      <c r="F242" s="21">
        <v>19</v>
      </c>
      <c r="G242" s="1" t="s">
        <v>1025</v>
      </c>
      <c r="H242" s="1" t="s">
        <v>1026</v>
      </c>
      <c r="I242" s="1" t="s">
        <v>1027</v>
      </c>
      <c r="J242" s="1" t="s">
        <v>1028</v>
      </c>
      <c r="K242" s="1" t="s">
        <v>414</v>
      </c>
      <c r="L242" s="1" t="s">
        <v>7</v>
      </c>
    </row>
    <row r="243" spans="1:12" ht="15.75" customHeight="1" x14ac:dyDescent="0.25">
      <c r="A243" s="1" t="s">
        <v>12</v>
      </c>
      <c r="B243" s="21">
        <v>4</v>
      </c>
      <c r="C243" s="1" t="s">
        <v>833</v>
      </c>
      <c r="D243" s="21">
        <v>13</v>
      </c>
      <c r="E243" s="1" t="s">
        <v>1029</v>
      </c>
      <c r="F243" s="21">
        <v>1</v>
      </c>
      <c r="G243" s="1" t="s">
        <v>1030</v>
      </c>
      <c r="H243" s="1" t="s">
        <v>862</v>
      </c>
      <c r="I243" s="1" t="s">
        <v>863</v>
      </c>
      <c r="J243" s="1" t="s">
        <v>864</v>
      </c>
      <c r="K243" s="1" t="s">
        <v>865</v>
      </c>
      <c r="L243" s="1" t="s">
        <v>8</v>
      </c>
    </row>
    <row r="244" spans="1:12" ht="15.75" customHeight="1" x14ac:dyDescent="0.25">
      <c r="A244" s="1" t="s">
        <v>12</v>
      </c>
      <c r="B244" s="21">
        <v>4</v>
      </c>
      <c r="C244" s="1" t="s">
        <v>833</v>
      </c>
      <c r="D244" s="21">
        <v>13</v>
      </c>
      <c r="E244" s="1" t="s">
        <v>1029</v>
      </c>
      <c r="F244" s="21">
        <v>3</v>
      </c>
      <c r="G244" s="1" t="s">
        <v>1031</v>
      </c>
      <c r="H244" s="1" t="s">
        <v>1032</v>
      </c>
      <c r="I244" s="1" t="s">
        <v>1033</v>
      </c>
      <c r="J244" s="1" t="s">
        <v>1034</v>
      </c>
      <c r="K244" s="1" t="s">
        <v>1035</v>
      </c>
      <c r="L244" s="1" t="s">
        <v>7</v>
      </c>
    </row>
    <row r="245" spans="1:12" ht="15.75" customHeight="1" x14ac:dyDescent="0.25">
      <c r="A245" s="1" t="s">
        <v>12</v>
      </c>
      <c r="B245" s="21">
        <v>4</v>
      </c>
      <c r="C245" s="1" t="s">
        <v>833</v>
      </c>
      <c r="D245" s="21">
        <v>13</v>
      </c>
      <c r="E245" s="1" t="s">
        <v>1029</v>
      </c>
      <c r="F245" s="21">
        <v>4</v>
      </c>
      <c r="G245" s="1" t="s">
        <v>1036</v>
      </c>
      <c r="H245" s="1" t="s">
        <v>1037</v>
      </c>
      <c r="I245" s="1" t="s">
        <v>1038</v>
      </c>
      <c r="J245" s="1" t="s">
        <v>1039</v>
      </c>
      <c r="K245" s="1" t="s">
        <v>1040</v>
      </c>
      <c r="L245" s="1" t="s">
        <v>9</v>
      </c>
    </row>
    <row r="246" spans="1:12" ht="15.75" customHeight="1" x14ac:dyDescent="0.25">
      <c r="A246" s="1" t="s">
        <v>12</v>
      </c>
      <c r="B246" s="21">
        <v>4</v>
      </c>
      <c r="C246" s="1" t="s">
        <v>833</v>
      </c>
      <c r="D246" s="21">
        <v>13</v>
      </c>
      <c r="E246" s="1" t="s">
        <v>1029</v>
      </c>
      <c r="F246" s="21">
        <v>5</v>
      </c>
      <c r="G246" s="1" t="s">
        <v>1041</v>
      </c>
      <c r="H246" s="1" t="s">
        <v>1042</v>
      </c>
      <c r="I246" s="1" t="s">
        <v>842</v>
      </c>
      <c r="J246" s="1" t="s">
        <v>1043</v>
      </c>
      <c r="K246" s="1" t="s">
        <v>1044</v>
      </c>
      <c r="L246" s="1" t="s">
        <v>9</v>
      </c>
    </row>
    <row r="247" spans="1:12" ht="15.75" customHeight="1" x14ac:dyDescent="0.25">
      <c r="A247" s="1" t="s">
        <v>12</v>
      </c>
      <c r="B247" s="21">
        <v>4</v>
      </c>
      <c r="C247" s="1" t="s">
        <v>833</v>
      </c>
      <c r="D247" s="21">
        <v>13</v>
      </c>
      <c r="E247" s="1" t="s">
        <v>1029</v>
      </c>
      <c r="F247" s="21">
        <v>6</v>
      </c>
      <c r="G247" s="1" t="s">
        <v>1045</v>
      </c>
      <c r="H247" s="1" t="s">
        <v>1046</v>
      </c>
      <c r="I247" s="1" t="s">
        <v>1047</v>
      </c>
      <c r="J247" s="1" t="s">
        <v>1048</v>
      </c>
      <c r="K247" s="1" t="s">
        <v>1049</v>
      </c>
      <c r="L247" s="1" t="s">
        <v>8</v>
      </c>
    </row>
    <row r="248" spans="1:12" ht="15.75" customHeight="1" x14ac:dyDescent="0.25">
      <c r="A248" s="1" t="s">
        <v>12</v>
      </c>
      <c r="B248" s="21">
        <v>4</v>
      </c>
      <c r="C248" s="1" t="s">
        <v>833</v>
      </c>
      <c r="D248" s="21">
        <v>13</v>
      </c>
      <c r="E248" s="1" t="s">
        <v>1029</v>
      </c>
      <c r="F248" s="21">
        <v>9</v>
      </c>
      <c r="G248" s="1" t="s">
        <v>1050</v>
      </c>
      <c r="H248" s="1" t="s">
        <v>1051</v>
      </c>
      <c r="I248" s="1" t="s">
        <v>1052</v>
      </c>
      <c r="J248" s="1" t="s">
        <v>1053</v>
      </c>
      <c r="K248" s="1" t="s">
        <v>1054</v>
      </c>
      <c r="L248" s="1" t="s">
        <v>8</v>
      </c>
    </row>
    <row r="249" spans="1:12" ht="15.75" customHeight="1" x14ac:dyDescent="0.25">
      <c r="A249" s="1" t="s">
        <v>12</v>
      </c>
      <c r="B249" s="21">
        <v>4</v>
      </c>
      <c r="C249" s="1" t="s">
        <v>833</v>
      </c>
      <c r="D249" s="21">
        <v>13</v>
      </c>
      <c r="E249" s="1" t="s">
        <v>1029</v>
      </c>
      <c r="F249" s="21">
        <v>10</v>
      </c>
      <c r="G249" s="1" t="s">
        <v>1055</v>
      </c>
      <c r="H249" s="1" t="s">
        <v>1056</v>
      </c>
      <c r="I249" s="1" t="s">
        <v>1057</v>
      </c>
      <c r="J249" s="1" t="s">
        <v>1058</v>
      </c>
      <c r="K249" s="1" t="s">
        <v>1059</v>
      </c>
      <c r="L249" s="1" t="s">
        <v>7</v>
      </c>
    </row>
    <row r="250" spans="1:12" ht="15.75" customHeight="1" x14ac:dyDescent="0.25">
      <c r="A250" s="1" t="s">
        <v>12</v>
      </c>
      <c r="B250" s="21">
        <v>4</v>
      </c>
      <c r="C250" s="1" t="s">
        <v>833</v>
      </c>
      <c r="D250" s="21">
        <v>13</v>
      </c>
      <c r="E250" s="1" t="s">
        <v>1029</v>
      </c>
      <c r="F250" s="21">
        <v>11</v>
      </c>
      <c r="G250" s="1" t="s">
        <v>1060</v>
      </c>
      <c r="H250" s="1" t="s">
        <v>1061</v>
      </c>
      <c r="I250" s="1" t="s">
        <v>1062</v>
      </c>
      <c r="J250" s="1" t="s">
        <v>1063</v>
      </c>
      <c r="K250" s="1" t="s">
        <v>1064</v>
      </c>
      <c r="L250" s="1" t="s">
        <v>8</v>
      </c>
    </row>
    <row r="251" spans="1:12" ht="15.75" customHeight="1" x14ac:dyDescent="0.25">
      <c r="A251" s="1" t="s">
        <v>12</v>
      </c>
      <c r="B251" s="21">
        <v>4</v>
      </c>
      <c r="C251" s="1" t="s">
        <v>833</v>
      </c>
      <c r="D251" s="21">
        <v>13</v>
      </c>
      <c r="E251" s="1" t="s">
        <v>1029</v>
      </c>
      <c r="F251" s="21">
        <v>19</v>
      </c>
      <c r="G251" s="1" t="s">
        <v>1065</v>
      </c>
      <c r="H251" s="1" t="s">
        <v>1066</v>
      </c>
      <c r="I251" s="1" t="s">
        <v>1067</v>
      </c>
      <c r="J251" s="1" t="s">
        <v>1068</v>
      </c>
      <c r="K251" s="1" t="s">
        <v>1069</v>
      </c>
      <c r="L251" s="1" t="s">
        <v>7</v>
      </c>
    </row>
    <row r="252" spans="1:12" ht="15.75" customHeight="1" x14ac:dyDescent="0.25">
      <c r="A252" s="1" t="s">
        <v>12</v>
      </c>
      <c r="B252" s="21">
        <v>4</v>
      </c>
      <c r="C252" s="1" t="s">
        <v>833</v>
      </c>
      <c r="D252" s="21">
        <v>13</v>
      </c>
      <c r="E252" s="1" t="s">
        <v>1070</v>
      </c>
      <c r="F252" s="21">
        <v>1</v>
      </c>
      <c r="G252" s="1" t="s">
        <v>1071</v>
      </c>
      <c r="H252" s="1" t="s">
        <v>277</v>
      </c>
      <c r="I252" s="1" t="s">
        <v>1072</v>
      </c>
      <c r="J252" s="1" t="s">
        <v>1073</v>
      </c>
      <c r="L252" s="1" t="s">
        <v>8</v>
      </c>
    </row>
    <row r="253" spans="1:12" ht="15.75" customHeight="1" x14ac:dyDescent="0.25">
      <c r="A253" s="1" t="s">
        <v>12</v>
      </c>
      <c r="B253" s="21">
        <v>4</v>
      </c>
      <c r="C253" s="1" t="s">
        <v>833</v>
      </c>
      <c r="D253" s="21">
        <v>13</v>
      </c>
      <c r="E253" s="1" t="s">
        <v>1070</v>
      </c>
      <c r="F253" s="21">
        <v>2</v>
      </c>
      <c r="G253" s="1" t="s">
        <v>1074</v>
      </c>
      <c r="H253" s="1" t="s">
        <v>1075</v>
      </c>
      <c r="I253" s="1" t="s">
        <v>987</v>
      </c>
      <c r="J253" s="1" t="s">
        <v>1076</v>
      </c>
      <c r="L253" s="1" t="s">
        <v>7</v>
      </c>
    </row>
    <row r="254" spans="1:12" ht="15.75" customHeight="1" x14ac:dyDescent="0.25">
      <c r="A254" s="1" t="s">
        <v>12</v>
      </c>
      <c r="B254" s="21">
        <v>4</v>
      </c>
      <c r="C254" s="1" t="s">
        <v>833</v>
      </c>
      <c r="D254" s="21">
        <v>13</v>
      </c>
      <c r="E254" s="1" t="s">
        <v>1070</v>
      </c>
      <c r="F254" s="21">
        <v>3</v>
      </c>
      <c r="G254" s="1" t="s">
        <v>1077</v>
      </c>
      <c r="H254" s="1" t="s">
        <v>1078</v>
      </c>
      <c r="I254" s="1" t="s">
        <v>1079</v>
      </c>
      <c r="J254" s="1" t="s">
        <v>1080</v>
      </c>
      <c r="L254" s="1" t="s">
        <v>7</v>
      </c>
    </row>
    <row r="255" spans="1:12" ht="15.75" customHeight="1" x14ac:dyDescent="0.25">
      <c r="A255" s="1" t="s">
        <v>12</v>
      </c>
      <c r="B255" s="21">
        <v>4</v>
      </c>
      <c r="C255" s="1" t="s">
        <v>833</v>
      </c>
      <c r="D255" s="21">
        <v>13</v>
      </c>
      <c r="E255" s="1" t="s">
        <v>1070</v>
      </c>
      <c r="F255" s="21">
        <v>4</v>
      </c>
      <c r="G255" s="1" t="s">
        <v>1081</v>
      </c>
      <c r="H255" s="1" t="s">
        <v>1082</v>
      </c>
      <c r="I255" s="1" t="s">
        <v>1083</v>
      </c>
      <c r="J255" s="1" t="s">
        <v>1084</v>
      </c>
      <c r="K255" s="1" t="s">
        <v>1085</v>
      </c>
      <c r="L255" s="1" t="s">
        <v>8</v>
      </c>
    </row>
    <row r="256" spans="1:12" ht="15.75" customHeight="1" x14ac:dyDescent="0.25">
      <c r="A256" s="1" t="s">
        <v>12</v>
      </c>
      <c r="B256" s="21">
        <v>4</v>
      </c>
      <c r="C256" s="1" t="s">
        <v>833</v>
      </c>
      <c r="D256" s="21">
        <v>13</v>
      </c>
      <c r="E256" s="1" t="s">
        <v>1070</v>
      </c>
      <c r="F256" s="21">
        <v>5</v>
      </c>
      <c r="G256" s="1" t="s">
        <v>1086</v>
      </c>
      <c r="H256" s="1" t="s">
        <v>1084</v>
      </c>
      <c r="I256" s="1" t="s">
        <v>1085</v>
      </c>
      <c r="J256" s="1" t="s">
        <v>1083</v>
      </c>
      <c r="K256" s="1" t="s">
        <v>1082</v>
      </c>
      <c r="L256" s="1" t="s">
        <v>8</v>
      </c>
    </row>
    <row r="257" spans="1:12" ht="15.75" customHeight="1" x14ac:dyDescent="0.25">
      <c r="A257" s="1" t="s">
        <v>12</v>
      </c>
      <c r="B257" s="21">
        <v>4</v>
      </c>
      <c r="C257" s="1" t="s">
        <v>833</v>
      </c>
      <c r="D257" s="21">
        <v>13</v>
      </c>
      <c r="E257" s="1" t="s">
        <v>1070</v>
      </c>
      <c r="F257" s="21">
        <v>8</v>
      </c>
      <c r="G257" s="1" t="s">
        <v>1087</v>
      </c>
      <c r="H257" s="1" t="s">
        <v>1088</v>
      </c>
      <c r="I257" s="1" t="s">
        <v>934</v>
      </c>
      <c r="J257" s="1" t="s">
        <v>935</v>
      </c>
      <c r="K257" s="1" t="s">
        <v>1089</v>
      </c>
      <c r="L257" s="1" t="s">
        <v>7</v>
      </c>
    </row>
    <row r="258" spans="1:12" ht="15.75" customHeight="1" x14ac:dyDescent="0.25">
      <c r="A258" s="1" t="s">
        <v>12</v>
      </c>
      <c r="B258" s="21">
        <v>4</v>
      </c>
      <c r="C258" s="1" t="s">
        <v>833</v>
      </c>
      <c r="D258" s="21">
        <v>13</v>
      </c>
      <c r="E258" s="1" t="s">
        <v>1070</v>
      </c>
      <c r="F258" s="21">
        <v>15</v>
      </c>
      <c r="G258" s="1" t="s">
        <v>961</v>
      </c>
      <c r="H258" s="1" t="s">
        <v>962</v>
      </c>
      <c r="I258" s="1" t="s">
        <v>1090</v>
      </c>
      <c r="J258" s="1" t="s">
        <v>479</v>
      </c>
      <c r="K258" s="1" t="s">
        <v>964</v>
      </c>
      <c r="L258" s="1" t="s">
        <v>9</v>
      </c>
    </row>
    <row r="259" spans="1:12" ht="15.75" customHeight="1" x14ac:dyDescent="0.25">
      <c r="A259" s="1" t="s">
        <v>12</v>
      </c>
      <c r="B259" s="21">
        <v>4</v>
      </c>
      <c r="C259" s="1" t="s">
        <v>833</v>
      </c>
      <c r="D259" s="21">
        <v>13</v>
      </c>
      <c r="E259" s="1" t="s">
        <v>1070</v>
      </c>
      <c r="F259" s="21">
        <v>16</v>
      </c>
      <c r="G259" s="1" t="s">
        <v>1091</v>
      </c>
      <c r="H259" s="1" t="s">
        <v>1092</v>
      </c>
      <c r="I259" s="1" t="s">
        <v>1093</v>
      </c>
      <c r="J259" s="1" t="s">
        <v>1094</v>
      </c>
      <c r="K259" s="1" t="s">
        <v>1095</v>
      </c>
      <c r="L259" s="1" t="s">
        <v>8</v>
      </c>
    </row>
    <row r="260" spans="1:12" ht="15.75" customHeight="1" x14ac:dyDescent="0.25">
      <c r="A260" s="1" t="s">
        <v>12</v>
      </c>
      <c r="B260" s="21">
        <v>4</v>
      </c>
      <c r="C260" s="1" t="s">
        <v>833</v>
      </c>
      <c r="D260" s="21">
        <v>13</v>
      </c>
      <c r="E260" s="1" t="s">
        <v>1070</v>
      </c>
      <c r="F260" s="21">
        <v>17</v>
      </c>
      <c r="G260" s="1" t="s">
        <v>1096</v>
      </c>
      <c r="H260" s="1" t="s">
        <v>1097</v>
      </c>
      <c r="I260" s="1" t="s">
        <v>1098</v>
      </c>
      <c r="J260" s="1" t="s">
        <v>1099</v>
      </c>
      <c r="K260" s="1" t="s">
        <v>1100</v>
      </c>
      <c r="L260" s="1" t="s">
        <v>9</v>
      </c>
    </row>
    <row r="261" spans="1:12" ht="15.75" customHeight="1" x14ac:dyDescent="0.25">
      <c r="A261" s="1" t="s">
        <v>12</v>
      </c>
      <c r="B261" s="21">
        <v>4</v>
      </c>
      <c r="C261" s="1" t="s">
        <v>833</v>
      </c>
      <c r="D261" s="21">
        <v>13</v>
      </c>
      <c r="E261" s="1" t="s">
        <v>1070</v>
      </c>
      <c r="F261" s="21">
        <v>19</v>
      </c>
      <c r="G261" s="1" t="s">
        <v>1101</v>
      </c>
      <c r="H261" s="1" t="s">
        <v>1102</v>
      </c>
      <c r="I261" s="1" t="s">
        <v>1103</v>
      </c>
      <c r="J261" s="1" t="s">
        <v>1104</v>
      </c>
      <c r="K261" s="1" t="s">
        <v>1105</v>
      </c>
      <c r="L261" s="1" t="s">
        <v>9</v>
      </c>
    </row>
    <row r="262" spans="1:12" ht="15.75" customHeight="1" x14ac:dyDescent="0.25">
      <c r="A262" s="1" t="s">
        <v>12</v>
      </c>
      <c r="B262" s="21">
        <v>4</v>
      </c>
      <c r="C262" s="1" t="s">
        <v>833</v>
      </c>
      <c r="D262" s="21">
        <v>13</v>
      </c>
      <c r="E262" s="1" t="s">
        <v>1070</v>
      </c>
      <c r="F262" s="21">
        <v>20</v>
      </c>
      <c r="G262" s="1" t="s">
        <v>1106</v>
      </c>
      <c r="H262" s="1" t="s">
        <v>1107</v>
      </c>
      <c r="I262" s="1" t="s">
        <v>1108</v>
      </c>
      <c r="J262" s="1" t="s">
        <v>1109</v>
      </c>
      <c r="K262" s="1" t="s">
        <v>1110</v>
      </c>
      <c r="L262" s="1" t="s">
        <v>7</v>
      </c>
    </row>
    <row r="263" spans="1:12" ht="15.75" customHeight="1" x14ac:dyDescent="0.25">
      <c r="A263" s="1" t="s">
        <v>12</v>
      </c>
      <c r="B263" s="21">
        <v>5</v>
      </c>
      <c r="C263" s="1" t="s">
        <v>1111</v>
      </c>
      <c r="D263" s="21">
        <v>14</v>
      </c>
      <c r="E263" s="1" t="s">
        <v>1112</v>
      </c>
      <c r="F263" s="21">
        <v>1</v>
      </c>
      <c r="G263" s="1" t="s">
        <v>1113</v>
      </c>
      <c r="H263" s="1" t="s">
        <v>1114</v>
      </c>
      <c r="I263" s="1" t="s">
        <v>1115</v>
      </c>
      <c r="J263" s="1" t="s">
        <v>1116</v>
      </c>
      <c r="K263" s="1" t="s">
        <v>1117</v>
      </c>
      <c r="L263" s="1" t="s">
        <v>9</v>
      </c>
    </row>
    <row r="264" spans="1:12" ht="15.75" customHeight="1" x14ac:dyDescent="0.25">
      <c r="A264" s="1" t="s">
        <v>12</v>
      </c>
      <c r="B264" s="21">
        <v>5</v>
      </c>
      <c r="C264" s="1" t="s">
        <v>1111</v>
      </c>
      <c r="D264" s="21">
        <v>14</v>
      </c>
      <c r="E264" s="1" t="s">
        <v>1112</v>
      </c>
      <c r="F264" s="21">
        <v>2</v>
      </c>
      <c r="G264" s="1" t="s">
        <v>1118</v>
      </c>
      <c r="H264" s="1" t="s">
        <v>1119</v>
      </c>
      <c r="I264" s="1" t="s">
        <v>1120</v>
      </c>
      <c r="J264" s="1" t="s">
        <v>1121</v>
      </c>
      <c r="K264" s="1" t="s">
        <v>1122</v>
      </c>
      <c r="L264" s="1" t="s">
        <v>10</v>
      </c>
    </row>
    <row r="265" spans="1:12" ht="15.75" customHeight="1" x14ac:dyDescent="0.25">
      <c r="A265" s="1" t="s">
        <v>12</v>
      </c>
      <c r="B265" s="21">
        <v>5</v>
      </c>
      <c r="C265" s="1" t="s">
        <v>1111</v>
      </c>
      <c r="D265" s="21">
        <v>14</v>
      </c>
      <c r="E265" s="1" t="s">
        <v>1112</v>
      </c>
      <c r="F265" s="21">
        <v>3</v>
      </c>
      <c r="G265" s="1" t="s">
        <v>1123</v>
      </c>
      <c r="H265" s="1" t="s">
        <v>1124</v>
      </c>
      <c r="I265" s="1" t="s">
        <v>1125</v>
      </c>
      <c r="J265" s="1" t="s">
        <v>1126</v>
      </c>
      <c r="K265" s="1" t="s">
        <v>1127</v>
      </c>
      <c r="L265" s="1" t="s">
        <v>9</v>
      </c>
    </row>
    <row r="266" spans="1:12" ht="15.75" customHeight="1" x14ac:dyDescent="0.25">
      <c r="A266" s="1" t="s">
        <v>12</v>
      </c>
      <c r="B266" s="21">
        <v>5</v>
      </c>
      <c r="C266" s="1" t="s">
        <v>1111</v>
      </c>
      <c r="D266" s="21">
        <v>14</v>
      </c>
      <c r="E266" s="1" t="s">
        <v>1112</v>
      </c>
      <c r="F266" s="21">
        <v>4</v>
      </c>
      <c r="G266" s="1" t="s">
        <v>1128</v>
      </c>
      <c r="H266" s="1" t="s">
        <v>1129</v>
      </c>
      <c r="I266" s="1" t="s">
        <v>1130</v>
      </c>
      <c r="J266" s="1" t="s">
        <v>1131</v>
      </c>
      <c r="K266" s="1" t="s">
        <v>1132</v>
      </c>
      <c r="L266" s="1" t="s">
        <v>10</v>
      </c>
    </row>
    <row r="267" spans="1:12" ht="15.75" customHeight="1" x14ac:dyDescent="0.25">
      <c r="A267" s="1" t="s">
        <v>12</v>
      </c>
      <c r="B267" s="21">
        <v>5</v>
      </c>
      <c r="C267" s="1" t="s">
        <v>1111</v>
      </c>
      <c r="D267" s="21">
        <v>14</v>
      </c>
      <c r="E267" s="1" t="s">
        <v>1112</v>
      </c>
      <c r="F267" s="21">
        <v>5</v>
      </c>
      <c r="G267" s="1" t="s">
        <v>1133</v>
      </c>
      <c r="H267" s="1" t="s">
        <v>1134</v>
      </c>
      <c r="I267" s="1" t="s">
        <v>1135</v>
      </c>
      <c r="J267" s="1" t="s">
        <v>1136</v>
      </c>
      <c r="K267" s="1" t="s">
        <v>1137</v>
      </c>
      <c r="L267" s="1" t="s">
        <v>9</v>
      </c>
    </row>
    <row r="268" spans="1:12" ht="15.75" customHeight="1" x14ac:dyDescent="0.25">
      <c r="A268" s="1" t="s">
        <v>12</v>
      </c>
      <c r="B268" s="21">
        <v>5</v>
      </c>
      <c r="C268" s="1" t="s">
        <v>1111</v>
      </c>
      <c r="D268" s="21">
        <v>14</v>
      </c>
      <c r="E268" s="1" t="s">
        <v>1112</v>
      </c>
      <c r="F268" s="21">
        <v>6</v>
      </c>
      <c r="G268" s="1" t="s">
        <v>1138</v>
      </c>
      <c r="H268" s="1" t="s">
        <v>1139</v>
      </c>
      <c r="I268" s="1" t="s">
        <v>1140</v>
      </c>
      <c r="J268" s="1" t="s">
        <v>1141</v>
      </c>
      <c r="K268" s="1" t="s">
        <v>1142</v>
      </c>
      <c r="L268" s="1" t="s">
        <v>8</v>
      </c>
    </row>
    <row r="269" spans="1:12" ht="15.75" customHeight="1" x14ac:dyDescent="0.25">
      <c r="A269" s="1" t="s">
        <v>12</v>
      </c>
      <c r="B269" s="21">
        <v>5</v>
      </c>
      <c r="C269" s="1" t="s">
        <v>1111</v>
      </c>
      <c r="D269" s="21">
        <v>14</v>
      </c>
      <c r="E269" s="1" t="s">
        <v>1112</v>
      </c>
      <c r="F269" s="21">
        <v>7</v>
      </c>
      <c r="G269" s="1" t="s">
        <v>1143</v>
      </c>
      <c r="H269" s="1" t="s">
        <v>1144</v>
      </c>
      <c r="I269" s="1" t="s">
        <v>1145</v>
      </c>
      <c r="J269" s="1" t="s">
        <v>1146</v>
      </c>
      <c r="K269" s="1" t="s">
        <v>1147</v>
      </c>
      <c r="L269" s="1" t="s">
        <v>8</v>
      </c>
    </row>
    <row r="270" spans="1:12" ht="15.75" customHeight="1" x14ac:dyDescent="0.25">
      <c r="A270" s="1" t="s">
        <v>12</v>
      </c>
      <c r="B270" s="21">
        <v>5</v>
      </c>
      <c r="C270" s="1" t="s">
        <v>1111</v>
      </c>
      <c r="D270" s="21">
        <v>14</v>
      </c>
      <c r="E270" s="1" t="s">
        <v>1112</v>
      </c>
      <c r="F270" s="21">
        <v>8</v>
      </c>
      <c r="G270" s="1" t="s">
        <v>1148</v>
      </c>
      <c r="H270" s="1" t="s">
        <v>1149</v>
      </c>
      <c r="I270" s="1" t="s">
        <v>1150</v>
      </c>
      <c r="J270" s="1" t="s">
        <v>1151</v>
      </c>
      <c r="K270" s="1" t="s">
        <v>1152</v>
      </c>
      <c r="L270" s="1" t="s">
        <v>9</v>
      </c>
    </row>
    <row r="271" spans="1:12" ht="15.75" customHeight="1" x14ac:dyDescent="0.25">
      <c r="A271" s="1" t="s">
        <v>12</v>
      </c>
      <c r="B271" s="21">
        <v>5</v>
      </c>
      <c r="C271" s="1" t="s">
        <v>1111</v>
      </c>
      <c r="D271" s="21">
        <v>14</v>
      </c>
      <c r="E271" s="1" t="s">
        <v>1112</v>
      </c>
      <c r="F271" s="21">
        <v>9</v>
      </c>
      <c r="G271" s="1" t="s">
        <v>1153</v>
      </c>
      <c r="H271" s="1" t="s">
        <v>1154</v>
      </c>
      <c r="I271" s="1" t="s">
        <v>1155</v>
      </c>
      <c r="J271" s="1" t="s">
        <v>1156</v>
      </c>
      <c r="K271" s="1" t="s">
        <v>1157</v>
      </c>
      <c r="L271" s="1" t="s">
        <v>8</v>
      </c>
    </row>
    <row r="272" spans="1:12" ht="15.75" customHeight="1" x14ac:dyDescent="0.25">
      <c r="A272" s="1" t="s">
        <v>12</v>
      </c>
      <c r="B272" s="21">
        <v>5</v>
      </c>
      <c r="C272" s="1" t="s">
        <v>1111</v>
      </c>
      <c r="D272" s="21">
        <v>14</v>
      </c>
      <c r="E272" s="1" t="s">
        <v>1112</v>
      </c>
      <c r="F272" s="21">
        <v>10</v>
      </c>
      <c r="G272" s="1" t="s">
        <v>1158</v>
      </c>
      <c r="H272" s="1" t="s">
        <v>1159</v>
      </c>
      <c r="I272" s="1" t="s">
        <v>1160</v>
      </c>
      <c r="J272" s="1" t="s">
        <v>1161</v>
      </c>
      <c r="K272" s="1" t="s">
        <v>1162</v>
      </c>
      <c r="L272" s="1" t="s">
        <v>7</v>
      </c>
    </row>
    <row r="273" spans="1:12" ht="15.75" customHeight="1" x14ac:dyDescent="0.25">
      <c r="A273" s="1" t="s">
        <v>12</v>
      </c>
      <c r="B273" s="21">
        <v>5</v>
      </c>
      <c r="C273" s="1" t="s">
        <v>1111</v>
      </c>
      <c r="D273" s="21">
        <v>14</v>
      </c>
      <c r="E273" s="1" t="s">
        <v>1112</v>
      </c>
      <c r="F273" s="21">
        <v>11</v>
      </c>
      <c r="G273" s="1" t="s">
        <v>1163</v>
      </c>
      <c r="H273" s="1" t="s">
        <v>1164</v>
      </c>
      <c r="I273" s="1" t="s">
        <v>1165</v>
      </c>
      <c r="J273" s="1" t="s">
        <v>1166</v>
      </c>
      <c r="K273" s="1" t="s">
        <v>1167</v>
      </c>
      <c r="L273" s="1" t="s">
        <v>7</v>
      </c>
    </row>
    <row r="274" spans="1:12" ht="15.75" customHeight="1" x14ac:dyDescent="0.25">
      <c r="A274" s="1" t="s">
        <v>12</v>
      </c>
      <c r="B274" s="21">
        <v>5</v>
      </c>
      <c r="C274" s="1" t="s">
        <v>1111</v>
      </c>
      <c r="D274" s="21">
        <v>14</v>
      </c>
      <c r="E274" s="1" t="s">
        <v>1112</v>
      </c>
      <c r="F274" s="21">
        <v>12</v>
      </c>
      <c r="G274" s="1" t="s">
        <v>1168</v>
      </c>
      <c r="H274" s="1" t="s">
        <v>1169</v>
      </c>
      <c r="I274" s="1" t="s">
        <v>1170</v>
      </c>
      <c r="J274" s="1" t="s">
        <v>1171</v>
      </c>
      <c r="K274" s="1" t="s">
        <v>1172</v>
      </c>
      <c r="L274" s="1" t="s">
        <v>9</v>
      </c>
    </row>
    <row r="275" spans="1:12" ht="15.75" customHeight="1" x14ac:dyDescent="0.25">
      <c r="A275" s="1" t="s">
        <v>12</v>
      </c>
      <c r="B275" s="21">
        <v>5</v>
      </c>
      <c r="C275" s="1" t="s">
        <v>1111</v>
      </c>
      <c r="D275" s="21">
        <v>14</v>
      </c>
      <c r="E275" s="1" t="s">
        <v>1112</v>
      </c>
      <c r="F275" s="21">
        <v>13</v>
      </c>
      <c r="G275" s="1" t="s">
        <v>1173</v>
      </c>
      <c r="H275" s="1" t="s">
        <v>1174</v>
      </c>
      <c r="I275" s="1" t="s">
        <v>1175</v>
      </c>
      <c r="J275" s="1" t="s">
        <v>1176</v>
      </c>
      <c r="K275" s="1" t="s">
        <v>1177</v>
      </c>
      <c r="L275" s="1" t="s">
        <v>10</v>
      </c>
    </row>
    <row r="276" spans="1:12" ht="15.75" customHeight="1" x14ac:dyDescent="0.25">
      <c r="A276" s="1" t="s">
        <v>12</v>
      </c>
      <c r="B276" s="21">
        <v>5</v>
      </c>
      <c r="C276" s="1" t="s">
        <v>1111</v>
      </c>
      <c r="D276" s="21">
        <v>14</v>
      </c>
      <c r="E276" s="1" t="s">
        <v>1112</v>
      </c>
      <c r="F276" s="21">
        <v>14</v>
      </c>
      <c r="G276" s="1" t="s">
        <v>1178</v>
      </c>
      <c r="H276" s="1" t="s">
        <v>1179</v>
      </c>
      <c r="I276" s="1" t="s">
        <v>1180</v>
      </c>
      <c r="J276" s="1" t="s">
        <v>1181</v>
      </c>
      <c r="K276" s="1" t="s">
        <v>1182</v>
      </c>
      <c r="L276" s="1" t="s">
        <v>7</v>
      </c>
    </row>
    <row r="277" spans="1:12" ht="15.75" customHeight="1" x14ac:dyDescent="0.25">
      <c r="A277" s="1" t="s">
        <v>12</v>
      </c>
      <c r="B277" s="21">
        <v>5</v>
      </c>
      <c r="C277" s="1" t="s">
        <v>1111</v>
      </c>
      <c r="D277" s="21">
        <v>14</v>
      </c>
      <c r="E277" s="1" t="s">
        <v>1112</v>
      </c>
      <c r="F277" s="21">
        <v>15</v>
      </c>
      <c r="G277" s="1" t="s">
        <v>1183</v>
      </c>
      <c r="H277" s="1" t="s">
        <v>1184</v>
      </c>
      <c r="I277" s="1" t="s">
        <v>1185</v>
      </c>
      <c r="J277" s="1" t="s">
        <v>1186</v>
      </c>
      <c r="K277" s="1" t="s">
        <v>1187</v>
      </c>
      <c r="L277" s="1" t="s">
        <v>8</v>
      </c>
    </row>
    <row r="278" spans="1:12" ht="15.75" customHeight="1" x14ac:dyDescent="0.25">
      <c r="A278" s="1" t="s">
        <v>12</v>
      </c>
      <c r="B278" s="21">
        <v>5</v>
      </c>
      <c r="C278" s="1" t="s">
        <v>1111</v>
      </c>
      <c r="D278" s="21">
        <v>14</v>
      </c>
      <c r="E278" s="1" t="s">
        <v>1112</v>
      </c>
      <c r="F278" s="21">
        <v>16</v>
      </c>
      <c r="G278" s="1" t="s">
        <v>1188</v>
      </c>
      <c r="H278" s="1" t="s">
        <v>1189</v>
      </c>
      <c r="I278" s="1" t="s">
        <v>1190</v>
      </c>
      <c r="J278" s="1" t="s">
        <v>1191</v>
      </c>
      <c r="K278" s="1" t="s">
        <v>1192</v>
      </c>
      <c r="L278" s="1" t="s">
        <v>8</v>
      </c>
    </row>
    <row r="279" spans="1:12" ht="15.75" customHeight="1" x14ac:dyDescent="0.25">
      <c r="A279" s="1" t="s">
        <v>12</v>
      </c>
      <c r="B279" s="21">
        <v>5</v>
      </c>
      <c r="C279" s="1" t="s">
        <v>1111</v>
      </c>
      <c r="D279" s="21">
        <v>14</v>
      </c>
      <c r="E279" s="1" t="s">
        <v>1112</v>
      </c>
      <c r="F279" s="21">
        <v>17</v>
      </c>
      <c r="G279" s="1" t="s">
        <v>1193</v>
      </c>
      <c r="H279" s="1" t="s">
        <v>1194</v>
      </c>
      <c r="I279" s="1" t="s">
        <v>1195</v>
      </c>
      <c r="J279" s="1" t="s">
        <v>1196</v>
      </c>
      <c r="K279" s="1" t="s">
        <v>1197</v>
      </c>
      <c r="L279" s="1" t="s">
        <v>8</v>
      </c>
    </row>
    <row r="280" spans="1:12" ht="15.75" customHeight="1" x14ac:dyDescent="0.25">
      <c r="A280" s="1" t="s">
        <v>12</v>
      </c>
      <c r="B280" s="21">
        <v>5</v>
      </c>
      <c r="C280" s="1" t="s">
        <v>1111</v>
      </c>
      <c r="D280" s="21">
        <v>14</v>
      </c>
      <c r="E280" s="1" t="s">
        <v>1112</v>
      </c>
      <c r="F280" s="21">
        <v>18</v>
      </c>
      <c r="G280" s="1" t="s">
        <v>1198</v>
      </c>
      <c r="H280" s="1" t="s">
        <v>1199</v>
      </c>
      <c r="I280" s="1" t="s">
        <v>1200</v>
      </c>
      <c r="J280" s="1" t="s">
        <v>937</v>
      </c>
      <c r="K280" s="1" t="s">
        <v>1201</v>
      </c>
      <c r="L280" s="1" t="s">
        <v>8</v>
      </c>
    </row>
    <row r="281" spans="1:12" ht="15.75" customHeight="1" x14ac:dyDescent="0.25">
      <c r="A281" s="1" t="s">
        <v>12</v>
      </c>
      <c r="B281" s="21">
        <v>5</v>
      </c>
      <c r="C281" s="1" t="s">
        <v>1111</v>
      </c>
      <c r="D281" s="21">
        <v>14</v>
      </c>
      <c r="E281" s="1" t="s">
        <v>1112</v>
      </c>
      <c r="F281" s="21">
        <v>19</v>
      </c>
      <c r="G281" s="1" t="s">
        <v>1202</v>
      </c>
      <c r="H281" s="1" t="s">
        <v>1203</v>
      </c>
      <c r="I281" s="1" t="s">
        <v>1204</v>
      </c>
      <c r="J281" s="1" t="s">
        <v>1170</v>
      </c>
      <c r="K281" s="1" t="s">
        <v>1205</v>
      </c>
      <c r="L281" s="1" t="s">
        <v>7</v>
      </c>
    </row>
    <row r="282" spans="1:12" ht="15.75" customHeight="1" x14ac:dyDescent="0.25">
      <c r="A282" s="1" t="s">
        <v>12</v>
      </c>
      <c r="B282" s="21">
        <v>5</v>
      </c>
      <c r="C282" s="1" t="s">
        <v>1111</v>
      </c>
      <c r="D282" s="21">
        <v>14</v>
      </c>
      <c r="E282" s="1" t="s">
        <v>1112</v>
      </c>
      <c r="F282" s="21">
        <v>20</v>
      </c>
      <c r="G282" s="1" t="s">
        <v>1206</v>
      </c>
      <c r="H282" s="1" t="s">
        <v>1207</v>
      </c>
      <c r="I282" s="1" t="s">
        <v>1208</v>
      </c>
      <c r="J282" s="1" t="s">
        <v>1209</v>
      </c>
      <c r="K282" s="1" t="s">
        <v>1210</v>
      </c>
      <c r="L282" s="1" t="s">
        <v>7</v>
      </c>
    </row>
    <row r="283" spans="1:12" ht="15.75" customHeight="1" x14ac:dyDescent="0.25">
      <c r="A283" s="1" t="s">
        <v>12</v>
      </c>
      <c r="B283" s="21">
        <v>5</v>
      </c>
      <c r="C283" s="1" t="s">
        <v>1111</v>
      </c>
      <c r="D283" s="21">
        <v>16</v>
      </c>
      <c r="E283" s="1" t="s">
        <v>1211</v>
      </c>
      <c r="F283" s="21">
        <v>2</v>
      </c>
      <c r="G283" s="1" t="s">
        <v>1213</v>
      </c>
      <c r="H283" s="1" t="s">
        <v>1214</v>
      </c>
      <c r="I283" s="1" t="s">
        <v>1215</v>
      </c>
      <c r="J283" s="1" t="s">
        <v>414</v>
      </c>
      <c r="K283" s="1" t="s">
        <v>479</v>
      </c>
      <c r="L283" s="1" t="s">
        <v>10</v>
      </c>
    </row>
    <row r="284" spans="1:12" ht="15.75" customHeight="1" x14ac:dyDescent="0.25">
      <c r="A284" s="1" t="s">
        <v>12</v>
      </c>
      <c r="B284" s="21">
        <v>5</v>
      </c>
      <c r="C284" s="1" t="s">
        <v>1111</v>
      </c>
      <c r="D284" s="21">
        <v>16</v>
      </c>
      <c r="E284" s="1" t="s">
        <v>1211</v>
      </c>
      <c r="F284" s="21">
        <v>4</v>
      </c>
      <c r="G284" s="1" t="s">
        <v>1216</v>
      </c>
      <c r="H284" s="1" t="s">
        <v>1217</v>
      </c>
      <c r="I284" s="1" t="s">
        <v>1218</v>
      </c>
      <c r="J284" s="1" t="s">
        <v>1219</v>
      </c>
      <c r="K284" s="1" t="s">
        <v>1220</v>
      </c>
      <c r="L284" s="1" t="s">
        <v>10</v>
      </c>
    </row>
    <row r="285" spans="1:12" ht="15.75" customHeight="1" x14ac:dyDescent="0.25">
      <c r="A285" s="1" t="s">
        <v>12</v>
      </c>
      <c r="B285" s="21">
        <v>5</v>
      </c>
      <c r="C285" s="1" t="s">
        <v>1111</v>
      </c>
      <c r="D285" s="21">
        <v>16</v>
      </c>
      <c r="E285" s="1" t="s">
        <v>1211</v>
      </c>
      <c r="F285" s="21">
        <v>6</v>
      </c>
      <c r="G285" s="1" t="s">
        <v>1221</v>
      </c>
      <c r="H285" s="1" t="s">
        <v>1222</v>
      </c>
      <c r="I285" s="1" t="s">
        <v>1223</v>
      </c>
      <c r="J285" s="1" t="s">
        <v>1224</v>
      </c>
      <c r="K285" s="1" t="s">
        <v>1225</v>
      </c>
      <c r="L285" s="1" t="s">
        <v>8</v>
      </c>
    </row>
    <row r="286" spans="1:12" ht="15.75" customHeight="1" x14ac:dyDescent="0.25">
      <c r="A286" s="1" t="s">
        <v>12</v>
      </c>
      <c r="B286" s="21">
        <v>5</v>
      </c>
      <c r="C286" s="1" t="s">
        <v>1111</v>
      </c>
      <c r="D286" s="21">
        <v>16</v>
      </c>
      <c r="E286" s="1" t="s">
        <v>1211</v>
      </c>
      <c r="F286" s="21">
        <v>7</v>
      </c>
      <c r="G286" s="1" t="s">
        <v>1226</v>
      </c>
      <c r="H286" s="1" t="s">
        <v>1227</v>
      </c>
      <c r="I286" s="1" t="s">
        <v>1228</v>
      </c>
      <c r="J286" s="1" t="s">
        <v>1229</v>
      </c>
      <c r="K286" s="1" t="s">
        <v>1230</v>
      </c>
      <c r="L286" s="1" t="s">
        <v>9</v>
      </c>
    </row>
    <row r="287" spans="1:12" ht="15.75" customHeight="1" x14ac:dyDescent="0.25">
      <c r="A287" s="1" t="s">
        <v>12</v>
      </c>
      <c r="B287" s="21">
        <v>5</v>
      </c>
      <c r="C287" s="1" t="s">
        <v>1111</v>
      </c>
      <c r="D287" s="21">
        <v>16</v>
      </c>
      <c r="E287" s="1" t="s">
        <v>1211</v>
      </c>
      <c r="F287" s="21">
        <v>8</v>
      </c>
      <c r="G287" s="1" t="s">
        <v>1231</v>
      </c>
      <c r="H287" s="1" t="s">
        <v>1232</v>
      </c>
      <c r="I287" s="1" t="s">
        <v>1233</v>
      </c>
      <c r="J287" s="1" t="s">
        <v>1234</v>
      </c>
      <c r="K287" s="1" t="s">
        <v>1212</v>
      </c>
      <c r="L287" s="1" t="s">
        <v>7</v>
      </c>
    </row>
    <row r="288" spans="1:12" ht="15.75" customHeight="1" x14ac:dyDescent="0.25">
      <c r="A288" s="1" t="s">
        <v>12</v>
      </c>
      <c r="B288" s="21">
        <v>5</v>
      </c>
      <c r="C288" s="1" t="s">
        <v>1111</v>
      </c>
      <c r="D288" s="21">
        <v>16</v>
      </c>
      <c r="E288" s="1" t="s">
        <v>1211</v>
      </c>
      <c r="F288" s="21">
        <v>9</v>
      </c>
      <c r="G288" s="1" t="s">
        <v>1235</v>
      </c>
      <c r="H288" s="1" t="s">
        <v>1236</v>
      </c>
      <c r="I288" s="1" t="s">
        <v>1237</v>
      </c>
      <c r="J288" s="1" t="s">
        <v>1238</v>
      </c>
      <c r="K288" s="1" t="s">
        <v>1239</v>
      </c>
      <c r="L288" s="1" t="s">
        <v>8</v>
      </c>
    </row>
    <row r="289" spans="1:12" ht="15.75" customHeight="1" x14ac:dyDescent="0.25">
      <c r="A289" s="1" t="s">
        <v>12</v>
      </c>
      <c r="B289" s="21">
        <v>5</v>
      </c>
      <c r="C289" s="1" t="s">
        <v>1111</v>
      </c>
      <c r="D289" s="21">
        <v>16</v>
      </c>
      <c r="E289" s="1" t="s">
        <v>1211</v>
      </c>
      <c r="F289" s="21">
        <v>10</v>
      </c>
      <c r="G289" s="1" t="s">
        <v>1240</v>
      </c>
      <c r="H289" s="1" t="s">
        <v>1241</v>
      </c>
      <c r="I289" s="1" t="s">
        <v>1242</v>
      </c>
      <c r="J289" s="1" t="s">
        <v>1243</v>
      </c>
      <c r="K289" s="1" t="s">
        <v>1244</v>
      </c>
      <c r="L289" s="1" t="s">
        <v>8</v>
      </c>
    </row>
    <row r="290" spans="1:12" ht="15.75" customHeight="1" x14ac:dyDescent="0.25">
      <c r="A290" s="1" t="s">
        <v>12</v>
      </c>
      <c r="B290" s="21">
        <v>5</v>
      </c>
      <c r="C290" s="1" t="s">
        <v>1111</v>
      </c>
      <c r="D290" s="21">
        <v>16</v>
      </c>
      <c r="E290" s="1" t="s">
        <v>1211</v>
      </c>
      <c r="F290" s="21">
        <v>11</v>
      </c>
      <c r="G290" s="1" t="s">
        <v>1245</v>
      </c>
      <c r="H290" s="1" t="s">
        <v>336</v>
      </c>
      <c r="I290" s="1" t="s">
        <v>339</v>
      </c>
      <c r="J290" s="1" t="s">
        <v>338</v>
      </c>
      <c r="L290" s="1" t="s">
        <v>9</v>
      </c>
    </row>
    <row r="291" spans="1:12" ht="15.75" customHeight="1" x14ac:dyDescent="0.25">
      <c r="A291" s="1" t="s">
        <v>12</v>
      </c>
      <c r="B291" s="21">
        <v>5</v>
      </c>
      <c r="C291" s="1" t="s">
        <v>1111</v>
      </c>
      <c r="D291" s="21">
        <v>16</v>
      </c>
      <c r="E291" s="1" t="s">
        <v>1211</v>
      </c>
      <c r="F291" s="21">
        <v>12</v>
      </c>
      <c r="G291" s="1" t="s">
        <v>1246</v>
      </c>
      <c r="H291" s="1" t="s">
        <v>1247</v>
      </c>
      <c r="I291" s="1" t="s">
        <v>1248</v>
      </c>
      <c r="J291" s="1" t="s">
        <v>1249</v>
      </c>
      <c r="L291" s="1" t="s">
        <v>9</v>
      </c>
    </row>
    <row r="292" spans="1:12" ht="15.75" customHeight="1" x14ac:dyDescent="0.25">
      <c r="A292" s="1" t="s">
        <v>12</v>
      </c>
      <c r="B292" s="21">
        <v>5</v>
      </c>
      <c r="C292" s="1" t="s">
        <v>1111</v>
      </c>
      <c r="D292" s="21">
        <v>16</v>
      </c>
      <c r="E292" s="1" t="s">
        <v>1211</v>
      </c>
      <c r="F292" s="21">
        <v>13</v>
      </c>
      <c r="G292" s="1" t="s">
        <v>1250</v>
      </c>
      <c r="H292" s="1" t="s">
        <v>1251</v>
      </c>
      <c r="I292" s="1" t="s">
        <v>1252</v>
      </c>
      <c r="J292" s="1" t="s">
        <v>1253</v>
      </c>
      <c r="L292" s="1" t="s">
        <v>9</v>
      </c>
    </row>
    <row r="293" spans="1:12" ht="15.75" customHeight="1" x14ac:dyDescent="0.25">
      <c r="A293" s="1" t="s">
        <v>12</v>
      </c>
      <c r="B293" s="21">
        <v>5</v>
      </c>
      <c r="C293" s="1" t="s">
        <v>1111</v>
      </c>
      <c r="D293" s="21">
        <v>16</v>
      </c>
      <c r="E293" s="1" t="s">
        <v>1211</v>
      </c>
      <c r="F293" s="21">
        <v>14</v>
      </c>
      <c r="G293" s="1" t="s">
        <v>1254</v>
      </c>
      <c r="H293" s="1" t="s">
        <v>1255</v>
      </c>
      <c r="I293" s="1" t="s">
        <v>1256</v>
      </c>
      <c r="J293" s="1" t="s">
        <v>1257</v>
      </c>
      <c r="L293" s="1" t="s">
        <v>9</v>
      </c>
    </row>
    <row r="294" spans="1:12" ht="15.75" customHeight="1" x14ac:dyDescent="0.25">
      <c r="A294" s="1" t="s">
        <v>12</v>
      </c>
      <c r="B294" s="21">
        <v>5</v>
      </c>
      <c r="C294" s="1" t="s">
        <v>1111</v>
      </c>
      <c r="D294" s="21">
        <v>16</v>
      </c>
      <c r="E294" s="1" t="s">
        <v>1211</v>
      </c>
      <c r="F294" s="21">
        <v>15</v>
      </c>
      <c r="G294" s="1" t="s">
        <v>1258</v>
      </c>
      <c r="H294" s="1" t="s">
        <v>1259</v>
      </c>
      <c r="I294" s="1" t="s">
        <v>1260</v>
      </c>
      <c r="J294" s="1" t="s">
        <v>1261</v>
      </c>
      <c r="L294" s="1" t="s">
        <v>8</v>
      </c>
    </row>
    <row r="295" spans="1:12" ht="15.75" customHeight="1" x14ac:dyDescent="0.25">
      <c r="A295" s="1" t="s">
        <v>12</v>
      </c>
      <c r="B295" s="21">
        <v>5</v>
      </c>
      <c r="C295" s="1" t="s">
        <v>1111</v>
      </c>
      <c r="D295" s="21">
        <v>16</v>
      </c>
      <c r="E295" s="1" t="s">
        <v>1211</v>
      </c>
      <c r="F295" s="21">
        <v>16</v>
      </c>
      <c r="G295" s="1" t="s">
        <v>1262</v>
      </c>
      <c r="H295" s="1" t="s">
        <v>1263</v>
      </c>
      <c r="I295" s="1" t="s">
        <v>1264</v>
      </c>
      <c r="J295" s="1" t="s">
        <v>1265</v>
      </c>
      <c r="L295" s="1" t="s">
        <v>7</v>
      </c>
    </row>
    <row r="296" spans="1:12" ht="15.75" customHeight="1" x14ac:dyDescent="0.25">
      <c r="A296" s="1" t="s">
        <v>12</v>
      </c>
      <c r="B296" s="21">
        <v>5</v>
      </c>
      <c r="C296" s="1" t="s">
        <v>1111</v>
      </c>
      <c r="D296" s="21">
        <v>16</v>
      </c>
      <c r="E296" s="1" t="s">
        <v>1211</v>
      </c>
      <c r="F296" s="21">
        <v>17</v>
      </c>
      <c r="G296" s="1" t="s">
        <v>1266</v>
      </c>
      <c r="H296" s="1" t="s">
        <v>1267</v>
      </c>
      <c r="I296" s="1" t="s">
        <v>1268</v>
      </c>
      <c r="J296" s="1" t="s">
        <v>940</v>
      </c>
      <c r="L296" s="1" t="s">
        <v>8</v>
      </c>
    </row>
    <row r="297" spans="1:12" ht="15.75" customHeight="1" x14ac:dyDescent="0.25">
      <c r="A297" s="1" t="s">
        <v>12</v>
      </c>
      <c r="B297" s="21">
        <v>5</v>
      </c>
      <c r="C297" s="1" t="s">
        <v>1111</v>
      </c>
      <c r="D297" s="21">
        <v>16</v>
      </c>
      <c r="E297" s="1" t="s">
        <v>1211</v>
      </c>
      <c r="F297" s="21">
        <v>18</v>
      </c>
      <c r="G297" s="1" t="s">
        <v>1269</v>
      </c>
      <c r="H297" s="1" t="s">
        <v>1270</v>
      </c>
      <c r="I297" s="1" t="s">
        <v>1271</v>
      </c>
      <c r="J297" s="1" t="s">
        <v>1272</v>
      </c>
      <c r="L297" s="1" t="s">
        <v>9</v>
      </c>
    </row>
    <row r="298" spans="1:12" ht="15.75" customHeight="1" x14ac:dyDescent="0.25">
      <c r="A298" s="1" t="s">
        <v>12</v>
      </c>
      <c r="B298" s="21">
        <v>5</v>
      </c>
      <c r="C298" s="1" t="s">
        <v>1111</v>
      </c>
      <c r="D298" s="21">
        <v>16</v>
      </c>
      <c r="E298" s="1" t="s">
        <v>1211</v>
      </c>
      <c r="F298" s="21">
        <v>19</v>
      </c>
      <c r="G298" s="1" t="s">
        <v>1273</v>
      </c>
      <c r="H298" s="1" t="s">
        <v>1274</v>
      </c>
      <c r="I298" s="1" t="s">
        <v>1275</v>
      </c>
      <c r="J298" s="1" t="s">
        <v>1276</v>
      </c>
      <c r="L298" s="1" t="s">
        <v>8</v>
      </c>
    </row>
    <row r="299" spans="1:12" ht="15.75" customHeight="1" x14ac:dyDescent="0.25">
      <c r="A299" s="1" t="s">
        <v>12</v>
      </c>
      <c r="B299" s="21">
        <v>5</v>
      </c>
      <c r="C299" s="1" t="s">
        <v>1111</v>
      </c>
      <c r="D299" s="21">
        <v>16</v>
      </c>
      <c r="E299" s="1" t="s">
        <v>1211</v>
      </c>
      <c r="F299" s="21">
        <v>20</v>
      </c>
      <c r="G299" s="1" t="s">
        <v>1277</v>
      </c>
      <c r="H299" s="1" t="s">
        <v>1278</v>
      </c>
      <c r="I299" s="1" t="s">
        <v>1279</v>
      </c>
      <c r="J299" s="1" t="s">
        <v>1280</v>
      </c>
      <c r="L299" s="1" t="s">
        <v>8</v>
      </c>
    </row>
    <row r="300" spans="1:12" ht="15.75" customHeight="1" x14ac:dyDescent="0.25">
      <c r="A300" s="1" t="s">
        <v>12</v>
      </c>
      <c r="B300" s="21">
        <v>5</v>
      </c>
      <c r="C300" s="1" t="s">
        <v>1111</v>
      </c>
      <c r="D300" s="21">
        <v>16</v>
      </c>
      <c r="E300" s="1" t="s">
        <v>1211</v>
      </c>
      <c r="F300" s="21">
        <v>21</v>
      </c>
      <c r="G300" s="1" t="s">
        <v>1281</v>
      </c>
      <c r="H300" s="1" t="s">
        <v>1282</v>
      </c>
      <c r="I300" s="1" t="s">
        <v>1283</v>
      </c>
      <c r="J300" s="1" t="s">
        <v>1284</v>
      </c>
      <c r="K300" s="1" t="s">
        <v>1285</v>
      </c>
      <c r="L300" s="1" t="s">
        <v>8</v>
      </c>
    </row>
    <row r="301" spans="1:12" ht="15.75" customHeight="1" x14ac:dyDescent="0.25">
      <c r="A301" s="1" t="s">
        <v>12</v>
      </c>
      <c r="B301" s="21">
        <v>5</v>
      </c>
      <c r="C301" s="1" t="s">
        <v>1111</v>
      </c>
      <c r="D301" s="21">
        <v>16</v>
      </c>
      <c r="E301" s="1" t="s">
        <v>1211</v>
      </c>
      <c r="F301" s="21">
        <v>22</v>
      </c>
      <c r="G301" s="1" t="s">
        <v>1286</v>
      </c>
      <c r="H301" s="1" t="s">
        <v>1287</v>
      </c>
      <c r="I301" s="1" t="s">
        <v>1288</v>
      </c>
      <c r="J301" s="1" t="s">
        <v>1289</v>
      </c>
      <c r="K301" s="1" t="s">
        <v>1290</v>
      </c>
      <c r="L301" s="1" t="s">
        <v>8</v>
      </c>
    </row>
    <row r="302" spans="1:12" ht="15.75" customHeight="1" x14ac:dyDescent="0.25">
      <c r="A302" s="1" t="s">
        <v>12</v>
      </c>
      <c r="B302" s="21">
        <v>6</v>
      </c>
      <c r="C302" s="1" t="s">
        <v>8374</v>
      </c>
      <c r="D302" s="21">
        <v>17</v>
      </c>
      <c r="E302" s="1" t="s">
        <v>1291</v>
      </c>
      <c r="F302" s="21">
        <v>1</v>
      </c>
      <c r="G302" s="1" t="s">
        <v>1292</v>
      </c>
      <c r="H302" s="1" t="s">
        <v>1293</v>
      </c>
      <c r="I302" s="1" t="s">
        <v>1294</v>
      </c>
      <c r="J302" s="1" t="s">
        <v>1295</v>
      </c>
      <c r="K302" s="1" t="s">
        <v>1296</v>
      </c>
      <c r="L302" s="1" t="s">
        <v>9</v>
      </c>
    </row>
    <row r="303" spans="1:12" ht="15.75" customHeight="1" x14ac:dyDescent="0.25">
      <c r="A303" s="1" t="s">
        <v>12</v>
      </c>
      <c r="B303" s="21">
        <v>6</v>
      </c>
      <c r="C303" s="1" t="s">
        <v>8374</v>
      </c>
      <c r="D303" s="21">
        <v>17</v>
      </c>
      <c r="E303" s="1" t="s">
        <v>1291</v>
      </c>
      <c r="F303" s="21">
        <v>2</v>
      </c>
      <c r="G303" s="1" t="s">
        <v>1297</v>
      </c>
      <c r="H303" s="1" t="s">
        <v>1298</v>
      </c>
      <c r="I303" s="1" t="s">
        <v>1299</v>
      </c>
      <c r="J303" s="1" t="s">
        <v>1300</v>
      </c>
      <c r="K303" s="1" t="s">
        <v>1301</v>
      </c>
      <c r="L303" s="1" t="s">
        <v>10</v>
      </c>
    </row>
    <row r="304" spans="1:12" ht="15.75" customHeight="1" x14ac:dyDescent="0.25">
      <c r="A304" s="1" t="s">
        <v>12</v>
      </c>
      <c r="B304" s="21">
        <v>6</v>
      </c>
      <c r="C304" s="1" t="s">
        <v>8374</v>
      </c>
      <c r="D304" s="21">
        <v>17</v>
      </c>
      <c r="E304" s="1" t="s">
        <v>1291</v>
      </c>
      <c r="F304" s="21">
        <v>3</v>
      </c>
      <c r="G304" s="1" t="s">
        <v>1302</v>
      </c>
      <c r="H304" s="1" t="s">
        <v>1303</v>
      </c>
      <c r="I304" s="1" t="s">
        <v>1304</v>
      </c>
      <c r="J304" s="1" t="s">
        <v>1305</v>
      </c>
      <c r="K304" s="1" t="s">
        <v>1306</v>
      </c>
      <c r="L304" s="1" t="s">
        <v>10</v>
      </c>
    </row>
    <row r="305" spans="1:12" ht="15.75" customHeight="1" x14ac:dyDescent="0.25">
      <c r="A305" s="1" t="s">
        <v>12</v>
      </c>
      <c r="B305" s="21">
        <v>6</v>
      </c>
      <c r="C305" s="1" t="s">
        <v>8374</v>
      </c>
      <c r="D305" s="21">
        <v>17</v>
      </c>
      <c r="E305" s="1" t="s">
        <v>1291</v>
      </c>
      <c r="F305" s="21">
        <v>4</v>
      </c>
      <c r="G305" s="1" t="s">
        <v>1307</v>
      </c>
      <c r="H305" s="1" t="s">
        <v>1308</v>
      </c>
      <c r="I305" s="1" t="s">
        <v>1309</v>
      </c>
      <c r="J305" s="1" t="s">
        <v>1310</v>
      </c>
      <c r="K305" s="1" t="s">
        <v>1296</v>
      </c>
      <c r="L305" s="1" t="s">
        <v>9</v>
      </c>
    </row>
    <row r="306" spans="1:12" ht="15.75" customHeight="1" x14ac:dyDescent="0.25">
      <c r="A306" s="1" t="s">
        <v>12</v>
      </c>
      <c r="B306" s="21">
        <v>6</v>
      </c>
      <c r="C306" s="1" t="s">
        <v>8374</v>
      </c>
      <c r="D306" s="21">
        <v>17</v>
      </c>
      <c r="E306" s="1" t="s">
        <v>1291</v>
      </c>
      <c r="F306" s="21">
        <v>5</v>
      </c>
      <c r="G306" s="1" t="s">
        <v>1311</v>
      </c>
      <c r="H306" s="1" t="s">
        <v>1312</v>
      </c>
      <c r="I306" s="1" t="s">
        <v>1313</v>
      </c>
      <c r="J306" s="1" t="s">
        <v>1295</v>
      </c>
      <c r="K306" s="1" t="s">
        <v>1296</v>
      </c>
      <c r="L306" s="1" t="s">
        <v>8</v>
      </c>
    </row>
    <row r="307" spans="1:12" ht="15.75" customHeight="1" x14ac:dyDescent="0.25">
      <c r="A307" s="1" t="s">
        <v>12</v>
      </c>
      <c r="B307" s="21">
        <v>6</v>
      </c>
      <c r="C307" s="1" t="s">
        <v>8374</v>
      </c>
      <c r="D307" s="21">
        <v>17</v>
      </c>
      <c r="E307" s="1" t="s">
        <v>1291</v>
      </c>
      <c r="F307" s="21">
        <v>6</v>
      </c>
      <c r="G307" s="1" t="s">
        <v>1314</v>
      </c>
      <c r="H307" s="1" t="s">
        <v>1315</v>
      </c>
      <c r="I307" s="1" t="s">
        <v>1316</v>
      </c>
      <c r="J307" s="1" t="s">
        <v>1317</v>
      </c>
      <c r="K307" s="1" t="s">
        <v>1318</v>
      </c>
      <c r="L307" s="1" t="s">
        <v>10</v>
      </c>
    </row>
    <row r="308" spans="1:12" ht="15.75" customHeight="1" x14ac:dyDescent="0.25">
      <c r="A308" s="1" t="s">
        <v>12</v>
      </c>
      <c r="B308" s="21">
        <v>6</v>
      </c>
      <c r="C308" s="1" t="s">
        <v>8374</v>
      </c>
      <c r="D308" s="21">
        <v>17</v>
      </c>
      <c r="E308" s="1" t="s">
        <v>1291</v>
      </c>
      <c r="F308" s="21">
        <v>7</v>
      </c>
      <c r="G308" s="1" t="s">
        <v>1319</v>
      </c>
      <c r="H308" s="1" t="s">
        <v>1320</v>
      </c>
      <c r="I308" s="1" t="s">
        <v>1321</v>
      </c>
      <c r="J308" s="1" t="s">
        <v>1322</v>
      </c>
      <c r="K308" s="1" t="s">
        <v>1301</v>
      </c>
      <c r="L308" s="1" t="s">
        <v>10</v>
      </c>
    </row>
    <row r="309" spans="1:12" ht="15.75" customHeight="1" x14ac:dyDescent="0.25">
      <c r="A309" s="1" t="s">
        <v>12</v>
      </c>
      <c r="B309" s="21">
        <v>6</v>
      </c>
      <c r="C309" s="1" t="s">
        <v>8374</v>
      </c>
      <c r="D309" s="21">
        <v>17</v>
      </c>
      <c r="E309" s="1" t="s">
        <v>1291</v>
      </c>
      <c r="F309" s="21">
        <v>8</v>
      </c>
      <c r="G309" s="1" t="s">
        <v>1323</v>
      </c>
      <c r="H309" s="1" t="s">
        <v>1324</v>
      </c>
      <c r="I309" s="1" t="s">
        <v>1325</v>
      </c>
      <c r="J309" s="1" t="s">
        <v>1326</v>
      </c>
      <c r="K309" s="1" t="s">
        <v>1327</v>
      </c>
      <c r="L309" s="1" t="s">
        <v>8</v>
      </c>
    </row>
    <row r="310" spans="1:12" ht="15.75" customHeight="1" x14ac:dyDescent="0.25">
      <c r="A310" s="1" t="s">
        <v>12</v>
      </c>
      <c r="B310" s="21">
        <v>6</v>
      </c>
      <c r="C310" s="1" t="s">
        <v>8374</v>
      </c>
      <c r="D310" s="21">
        <v>17</v>
      </c>
      <c r="E310" s="1" t="s">
        <v>1291</v>
      </c>
      <c r="F310" s="21">
        <v>9</v>
      </c>
      <c r="G310" s="1" t="s">
        <v>1328</v>
      </c>
      <c r="H310" s="1" t="s">
        <v>1329</v>
      </c>
      <c r="I310" s="1" t="s">
        <v>1325</v>
      </c>
      <c r="J310" s="1" t="s">
        <v>1326</v>
      </c>
      <c r="K310" s="1" t="s">
        <v>1327</v>
      </c>
      <c r="L310" s="1" t="s">
        <v>7</v>
      </c>
    </row>
    <row r="311" spans="1:12" ht="15.75" customHeight="1" x14ac:dyDescent="0.25">
      <c r="A311" s="1" t="s">
        <v>12</v>
      </c>
      <c r="B311" s="21">
        <v>6</v>
      </c>
      <c r="C311" s="1" t="s">
        <v>8374</v>
      </c>
      <c r="D311" s="21">
        <v>17</v>
      </c>
      <c r="E311" s="1" t="s">
        <v>1291</v>
      </c>
      <c r="F311" s="21">
        <v>10</v>
      </c>
      <c r="G311" s="1" t="s">
        <v>1330</v>
      </c>
      <c r="H311" s="1" t="s">
        <v>1331</v>
      </c>
      <c r="I311" s="1" t="s">
        <v>1332</v>
      </c>
      <c r="J311" s="1" t="s">
        <v>1333</v>
      </c>
      <c r="K311" s="1" t="s">
        <v>1334</v>
      </c>
      <c r="L311" s="1" t="s">
        <v>9</v>
      </c>
    </row>
    <row r="312" spans="1:12" ht="15.75" customHeight="1" x14ac:dyDescent="0.25">
      <c r="A312" s="1" t="s">
        <v>12</v>
      </c>
      <c r="B312" s="21">
        <v>6</v>
      </c>
      <c r="C312" s="1" t="s">
        <v>8374</v>
      </c>
      <c r="D312" s="21">
        <v>17</v>
      </c>
      <c r="E312" s="1" t="s">
        <v>1291</v>
      </c>
      <c r="F312" s="21">
        <v>11</v>
      </c>
      <c r="G312" s="1" t="s">
        <v>1335</v>
      </c>
      <c r="H312" s="1" t="s">
        <v>1336</v>
      </c>
      <c r="I312" s="1" t="s">
        <v>1337</v>
      </c>
      <c r="J312" s="1" t="s">
        <v>1338</v>
      </c>
      <c r="K312" s="1" t="s">
        <v>1339</v>
      </c>
      <c r="L312" s="1" t="s">
        <v>10</v>
      </c>
    </row>
    <row r="313" spans="1:12" ht="15.75" customHeight="1" x14ac:dyDescent="0.25">
      <c r="A313" s="1" t="s">
        <v>12</v>
      </c>
      <c r="B313" s="21">
        <v>6</v>
      </c>
      <c r="C313" s="1" t="s">
        <v>8374</v>
      </c>
      <c r="D313" s="21">
        <v>17</v>
      </c>
      <c r="E313" s="1" t="s">
        <v>1291</v>
      </c>
      <c r="F313" s="21">
        <v>12</v>
      </c>
      <c r="G313" s="1" t="s">
        <v>1340</v>
      </c>
      <c r="H313" s="1" t="s">
        <v>1341</v>
      </c>
      <c r="I313" s="1" t="s">
        <v>1342</v>
      </c>
      <c r="J313" s="1" t="s">
        <v>1343</v>
      </c>
      <c r="K313" s="1" t="s">
        <v>1344</v>
      </c>
      <c r="L313" s="1" t="s">
        <v>8</v>
      </c>
    </row>
    <row r="314" spans="1:12" ht="15.75" customHeight="1" x14ac:dyDescent="0.25">
      <c r="A314" s="1" t="s">
        <v>12</v>
      </c>
      <c r="B314" s="21">
        <v>6</v>
      </c>
      <c r="C314" s="1" t="s">
        <v>8374</v>
      </c>
      <c r="D314" s="21">
        <v>17</v>
      </c>
      <c r="E314" s="1" t="s">
        <v>1291</v>
      </c>
      <c r="F314" s="21">
        <v>13</v>
      </c>
      <c r="G314" s="1" t="s">
        <v>1345</v>
      </c>
      <c r="H314" s="1" t="s">
        <v>1346</v>
      </c>
      <c r="I314" s="1" t="s">
        <v>1347</v>
      </c>
      <c r="J314" s="1" t="s">
        <v>1348</v>
      </c>
      <c r="K314" s="1" t="s">
        <v>1349</v>
      </c>
      <c r="L314" s="1" t="s">
        <v>10</v>
      </c>
    </row>
    <row r="315" spans="1:12" ht="15.75" customHeight="1" x14ac:dyDescent="0.25">
      <c r="A315" s="1" t="s">
        <v>12</v>
      </c>
      <c r="B315" s="21">
        <v>6</v>
      </c>
      <c r="C315" s="1" t="s">
        <v>8374</v>
      </c>
      <c r="D315" s="21">
        <v>17</v>
      </c>
      <c r="E315" s="1" t="s">
        <v>1291</v>
      </c>
      <c r="F315" s="21">
        <v>14</v>
      </c>
      <c r="G315" s="1" t="s">
        <v>1350</v>
      </c>
      <c r="H315" s="1" t="s">
        <v>1351</v>
      </c>
      <c r="I315" s="1" t="s">
        <v>1341</v>
      </c>
      <c r="J315" s="1" t="s">
        <v>1352</v>
      </c>
      <c r="K315" s="1" t="s">
        <v>1353</v>
      </c>
      <c r="L315" s="1" t="s">
        <v>7</v>
      </c>
    </row>
    <row r="316" spans="1:12" ht="15.75" customHeight="1" x14ac:dyDescent="0.25">
      <c r="A316" s="1" t="s">
        <v>12</v>
      </c>
      <c r="B316" s="21">
        <v>6</v>
      </c>
      <c r="C316" s="1" t="s">
        <v>8374</v>
      </c>
      <c r="D316" s="21">
        <v>17</v>
      </c>
      <c r="E316" s="1" t="s">
        <v>1291</v>
      </c>
      <c r="F316" s="21">
        <v>15</v>
      </c>
      <c r="G316" s="1" t="s">
        <v>1354</v>
      </c>
      <c r="H316" s="1" t="s">
        <v>1355</v>
      </c>
      <c r="I316" s="1" t="s">
        <v>1356</v>
      </c>
      <c r="J316" s="1" t="s">
        <v>1357</v>
      </c>
      <c r="K316" s="1" t="s">
        <v>1358</v>
      </c>
      <c r="L316" s="1" t="s">
        <v>10</v>
      </c>
    </row>
    <row r="317" spans="1:12" ht="15.75" customHeight="1" x14ac:dyDescent="0.25">
      <c r="A317" s="1" t="s">
        <v>12</v>
      </c>
      <c r="B317" s="21">
        <v>6</v>
      </c>
      <c r="C317" s="1" t="s">
        <v>8374</v>
      </c>
      <c r="D317" s="21">
        <v>17</v>
      </c>
      <c r="E317" s="1" t="s">
        <v>1291</v>
      </c>
      <c r="F317" s="21">
        <v>16</v>
      </c>
      <c r="G317" s="1" t="s">
        <v>1359</v>
      </c>
      <c r="H317" s="1" t="s">
        <v>1360</v>
      </c>
      <c r="I317" s="1" t="s">
        <v>1361</v>
      </c>
      <c r="J317" s="1" t="s">
        <v>1362</v>
      </c>
      <c r="K317" s="1" t="s">
        <v>1363</v>
      </c>
      <c r="L317" s="1" t="s">
        <v>7</v>
      </c>
    </row>
    <row r="318" spans="1:12" ht="15.75" customHeight="1" x14ac:dyDescent="0.25">
      <c r="A318" s="1" t="s">
        <v>12</v>
      </c>
      <c r="B318" s="21">
        <v>6</v>
      </c>
      <c r="C318" s="1" t="s">
        <v>8374</v>
      </c>
      <c r="D318" s="21">
        <v>17</v>
      </c>
      <c r="E318" s="1" t="s">
        <v>1291</v>
      </c>
      <c r="F318" s="21">
        <v>17</v>
      </c>
      <c r="G318" s="1" t="s">
        <v>1364</v>
      </c>
      <c r="H318" s="1" t="s">
        <v>1365</v>
      </c>
      <c r="I318" s="1" t="s">
        <v>1366</v>
      </c>
      <c r="J318" s="1" t="s">
        <v>1367</v>
      </c>
      <c r="K318" s="1" t="s">
        <v>1368</v>
      </c>
      <c r="L318" s="1" t="s">
        <v>9</v>
      </c>
    </row>
    <row r="319" spans="1:12" ht="15.75" customHeight="1" x14ac:dyDescent="0.25">
      <c r="A319" s="1" t="s">
        <v>12</v>
      </c>
      <c r="B319" s="21">
        <v>6</v>
      </c>
      <c r="C319" s="1" t="s">
        <v>8374</v>
      </c>
      <c r="D319" s="21">
        <v>17</v>
      </c>
      <c r="E319" s="1" t="s">
        <v>1291</v>
      </c>
      <c r="F319" s="21">
        <v>18</v>
      </c>
      <c r="G319" s="1" t="s">
        <v>1369</v>
      </c>
      <c r="H319" s="1" t="s">
        <v>1370</v>
      </c>
      <c r="I319" s="1" t="s">
        <v>1371</v>
      </c>
      <c r="J319" s="1" t="s">
        <v>1372</v>
      </c>
      <c r="K319" s="1" t="s">
        <v>1296</v>
      </c>
      <c r="L319" s="1" t="s">
        <v>8</v>
      </c>
    </row>
    <row r="320" spans="1:12" ht="15.75" customHeight="1" x14ac:dyDescent="0.25">
      <c r="A320" s="1" t="s">
        <v>12</v>
      </c>
      <c r="B320" s="21">
        <v>6</v>
      </c>
      <c r="C320" s="1" t="s">
        <v>8374</v>
      </c>
      <c r="D320" s="21">
        <v>17</v>
      </c>
      <c r="E320" s="1" t="s">
        <v>1291</v>
      </c>
      <c r="F320" s="21">
        <v>19</v>
      </c>
      <c r="G320" s="1" t="s">
        <v>1373</v>
      </c>
      <c r="H320" s="1" t="s">
        <v>1374</v>
      </c>
      <c r="I320" s="1" t="s">
        <v>1341</v>
      </c>
      <c r="J320" s="1" t="s">
        <v>1375</v>
      </c>
      <c r="K320" s="1" t="s">
        <v>1344</v>
      </c>
      <c r="L320" s="1" t="s">
        <v>10</v>
      </c>
    </row>
    <row r="321" spans="1:12" ht="15.75" customHeight="1" x14ac:dyDescent="0.25">
      <c r="A321" s="1" t="s">
        <v>12</v>
      </c>
      <c r="B321" s="21">
        <v>6</v>
      </c>
      <c r="C321" s="1" t="s">
        <v>8374</v>
      </c>
      <c r="D321" s="21">
        <v>17</v>
      </c>
      <c r="E321" s="1" t="s">
        <v>1291</v>
      </c>
      <c r="F321" s="21">
        <v>20</v>
      </c>
      <c r="G321" s="1" t="s">
        <v>1376</v>
      </c>
      <c r="H321" s="1" t="s">
        <v>1374</v>
      </c>
      <c r="I321" s="1" t="s">
        <v>1341</v>
      </c>
      <c r="J321" s="1" t="s">
        <v>1375</v>
      </c>
      <c r="K321" s="1" t="s">
        <v>1344</v>
      </c>
      <c r="L321" s="1" t="s">
        <v>8</v>
      </c>
    </row>
    <row r="322" spans="1:12" ht="15.75" customHeight="1" x14ac:dyDescent="0.25">
      <c r="A322" s="1" t="s">
        <v>12</v>
      </c>
      <c r="B322" s="21">
        <v>6</v>
      </c>
      <c r="C322" s="1" t="s">
        <v>8374</v>
      </c>
      <c r="D322" s="21">
        <v>17</v>
      </c>
      <c r="E322" s="1" t="s">
        <v>1291</v>
      </c>
      <c r="F322" s="21">
        <v>21</v>
      </c>
      <c r="G322" s="1" t="s">
        <v>1377</v>
      </c>
      <c r="H322" s="1" t="s">
        <v>1378</v>
      </c>
      <c r="I322" s="1" t="s">
        <v>1379</v>
      </c>
      <c r="J322" s="1" t="s">
        <v>1380</v>
      </c>
      <c r="K322" s="1" t="s">
        <v>1381</v>
      </c>
      <c r="L322" s="1" t="s">
        <v>9</v>
      </c>
    </row>
    <row r="323" spans="1:12" ht="15.75" customHeight="1" x14ac:dyDescent="0.25">
      <c r="A323" s="1" t="s">
        <v>12</v>
      </c>
      <c r="B323" s="21">
        <v>6</v>
      </c>
      <c r="C323" s="1" t="s">
        <v>8374</v>
      </c>
      <c r="D323" s="21">
        <v>17</v>
      </c>
      <c r="E323" s="1" t="s">
        <v>1291</v>
      </c>
      <c r="F323" s="21">
        <v>22</v>
      </c>
      <c r="G323" s="1" t="s">
        <v>1382</v>
      </c>
      <c r="H323" s="1" t="s">
        <v>1383</v>
      </c>
      <c r="I323" s="1" t="s">
        <v>1384</v>
      </c>
      <c r="J323" s="1" t="s">
        <v>1385</v>
      </c>
      <c r="K323" s="1" t="s">
        <v>1301</v>
      </c>
      <c r="L323" s="1" t="s">
        <v>10</v>
      </c>
    </row>
    <row r="324" spans="1:12" ht="15.75" customHeight="1" x14ac:dyDescent="0.25">
      <c r="A324" s="1" t="s">
        <v>12</v>
      </c>
      <c r="B324" s="21">
        <v>6</v>
      </c>
      <c r="C324" s="1" t="s">
        <v>8374</v>
      </c>
      <c r="D324" s="21">
        <v>17</v>
      </c>
      <c r="E324" s="1" t="s">
        <v>1291</v>
      </c>
      <c r="F324" s="21">
        <v>23</v>
      </c>
      <c r="G324" s="1" t="s">
        <v>1386</v>
      </c>
      <c r="H324" s="1" t="s">
        <v>1387</v>
      </c>
      <c r="I324" s="1" t="s">
        <v>1388</v>
      </c>
      <c r="J324" s="1" t="s">
        <v>1389</v>
      </c>
      <c r="K324" s="1" t="s">
        <v>1301</v>
      </c>
      <c r="L324" s="1" t="s">
        <v>7</v>
      </c>
    </row>
    <row r="325" spans="1:12" ht="15.75" customHeight="1" x14ac:dyDescent="0.25">
      <c r="A325" s="1" t="s">
        <v>12</v>
      </c>
      <c r="B325" s="21">
        <v>6</v>
      </c>
      <c r="C325" s="1" t="s">
        <v>8374</v>
      </c>
      <c r="D325" s="21">
        <v>17</v>
      </c>
      <c r="E325" s="1" t="s">
        <v>1291</v>
      </c>
      <c r="F325" s="21">
        <v>24</v>
      </c>
      <c r="G325" s="1" t="s">
        <v>1390</v>
      </c>
      <c r="H325" s="1" t="s">
        <v>1391</v>
      </c>
      <c r="I325" s="1" t="s">
        <v>1392</v>
      </c>
      <c r="J325" s="1" t="s">
        <v>1393</v>
      </c>
      <c r="K325" s="1" t="s">
        <v>1394</v>
      </c>
      <c r="L325" s="1" t="s">
        <v>9</v>
      </c>
    </row>
    <row r="326" spans="1:12" ht="15.75" customHeight="1" x14ac:dyDescent="0.25">
      <c r="A326" s="1" t="s">
        <v>12</v>
      </c>
      <c r="B326" s="21">
        <v>6</v>
      </c>
      <c r="C326" s="1" t="s">
        <v>8374</v>
      </c>
      <c r="D326" s="21">
        <v>17</v>
      </c>
      <c r="E326" s="1" t="s">
        <v>1291</v>
      </c>
      <c r="F326" s="21">
        <v>25</v>
      </c>
      <c r="G326" s="1" t="s">
        <v>1395</v>
      </c>
      <c r="H326" s="1" t="s">
        <v>1396</v>
      </c>
      <c r="I326" s="1" t="s">
        <v>1397</v>
      </c>
      <c r="J326" s="1" t="s">
        <v>1398</v>
      </c>
      <c r="K326" s="1" t="s">
        <v>1296</v>
      </c>
      <c r="L326" s="1" t="s">
        <v>8</v>
      </c>
    </row>
    <row r="327" spans="1:12" ht="15.75" customHeight="1" x14ac:dyDescent="0.25">
      <c r="A327" s="1" t="s">
        <v>12</v>
      </c>
      <c r="B327" s="21">
        <v>6</v>
      </c>
      <c r="C327" s="1" t="s">
        <v>8374</v>
      </c>
      <c r="D327" s="21">
        <v>17</v>
      </c>
      <c r="E327" s="1" t="s">
        <v>1291</v>
      </c>
      <c r="F327" s="21">
        <v>26</v>
      </c>
      <c r="G327" s="1" t="s">
        <v>1399</v>
      </c>
      <c r="H327" s="1" t="s">
        <v>1400</v>
      </c>
      <c r="I327" s="1" t="s">
        <v>1401</v>
      </c>
      <c r="J327" s="1" t="s">
        <v>1402</v>
      </c>
      <c r="K327" s="1" t="s">
        <v>1403</v>
      </c>
      <c r="L327" s="1" t="s">
        <v>8</v>
      </c>
    </row>
    <row r="328" spans="1:12" ht="15.75" customHeight="1" x14ac:dyDescent="0.25">
      <c r="A328" s="1" t="s">
        <v>12</v>
      </c>
      <c r="B328" s="21">
        <v>6</v>
      </c>
      <c r="C328" s="1" t="s">
        <v>8374</v>
      </c>
      <c r="D328" s="21">
        <v>17</v>
      </c>
      <c r="E328" s="1" t="s">
        <v>1291</v>
      </c>
      <c r="F328" s="21">
        <v>27</v>
      </c>
      <c r="G328" s="1" t="s">
        <v>1404</v>
      </c>
      <c r="H328" s="1" t="s">
        <v>1405</v>
      </c>
      <c r="I328" s="1" t="s">
        <v>1406</v>
      </c>
      <c r="J328" s="1" t="s">
        <v>1407</v>
      </c>
      <c r="K328" s="1" t="s">
        <v>1363</v>
      </c>
      <c r="L328" s="1" t="s">
        <v>10</v>
      </c>
    </row>
    <row r="329" spans="1:12" ht="15.75" customHeight="1" x14ac:dyDescent="0.25">
      <c r="A329" s="1" t="s">
        <v>12</v>
      </c>
      <c r="B329" s="21">
        <v>6</v>
      </c>
      <c r="C329" s="1" t="s">
        <v>8374</v>
      </c>
      <c r="D329" s="21">
        <v>18</v>
      </c>
      <c r="E329" s="1" t="s">
        <v>1408</v>
      </c>
      <c r="F329" s="21">
        <v>1</v>
      </c>
      <c r="G329" s="1" t="s">
        <v>1409</v>
      </c>
      <c r="H329" s="1" t="s">
        <v>1410</v>
      </c>
      <c r="I329" s="1" t="s">
        <v>1411</v>
      </c>
      <c r="J329" s="1" t="s">
        <v>1412</v>
      </c>
      <c r="K329" s="1" t="s">
        <v>1413</v>
      </c>
      <c r="L329" s="1" t="s">
        <v>7</v>
      </c>
    </row>
    <row r="330" spans="1:12" ht="15.75" customHeight="1" x14ac:dyDescent="0.25">
      <c r="A330" s="1" t="s">
        <v>12</v>
      </c>
      <c r="B330" s="21">
        <v>6</v>
      </c>
      <c r="C330" s="1" t="s">
        <v>8374</v>
      </c>
      <c r="D330" s="21">
        <v>18</v>
      </c>
      <c r="E330" s="1" t="s">
        <v>1408</v>
      </c>
      <c r="F330" s="21">
        <v>2</v>
      </c>
      <c r="G330" s="1" t="s">
        <v>1414</v>
      </c>
      <c r="H330" s="1" t="s">
        <v>1415</v>
      </c>
      <c r="I330" s="1" t="s">
        <v>1416</v>
      </c>
      <c r="J330" s="1" t="s">
        <v>1417</v>
      </c>
      <c r="K330" s="1" t="s">
        <v>1418</v>
      </c>
      <c r="L330" s="1" t="s">
        <v>7</v>
      </c>
    </row>
    <row r="331" spans="1:12" ht="15.75" customHeight="1" x14ac:dyDescent="0.25">
      <c r="A331" s="1" t="s">
        <v>12</v>
      </c>
      <c r="B331" s="21">
        <v>6</v>
      </c>
      <c r="C331" s="1" t="s">
        <v>8374</v>
      </c>
      <c r="D331" s="21">
        <v>18</v>
      </c>
      <c r="E331" s="1" t="s">
        <v>1408</v>
      </c>
      <c r="F331" s="21">
        <v>3</v>
      </c>
      <c r="G331" s="1" t="s">
        <v>1419</v>
      </c>
      <c r="H331" s="1" t="s">
        <v>1420</v>
      </c>
      <c r="I331" s="1" t="s">
        <v>1416</v>
      </c>
      <c r="J331" s="1" t="s">
        <v>1417</v>
      </c>
      <c r="K331" s="1" t="s">
        <v>1418</v>
      </c>
      <c r="L331" s="1" t="s">
        <v>8</v>
      </c>
    </row>
    <row r="332" spans="1:12" ht="15.75" customHeight="1" x14ac:dyDescent="0.25">
      <c r="A332" s="1" t="s">
        <v>12</v>
      </c>
      <c r="B332" s="21">
        <v>6</v>
      </c>
      <c r="C332" s="1" t="s">
        <v>8374</v>
      </c>
      <c r="D332" s="21">
        <v>18</v>
      </c>
      <c r="E332" s="1" t="s">
        <v>1408</v>
      </c>
      <c r="F332" s="21">
        <v>4</v>
      </c>
      <c r="G332" s="1" t="s">
        <v>1421</v>
      </c>
      <c r="H332" s="1" t="s">
        <v>1422</v>
      </c>
      <c r="I332" s="1" t="s">
        <v>1423</v>
      </c>
      <c r="J332" s="1" t="s">
        <v>1424</v>
      </c>
      <c r="K332" s="1" t="s">
        <v>1425</v>
      </c>
      <c r="L332" s="1" t="s">
        <v>10</v>
      </c>
    </row>
    <row r="333" spans="1:12" ht="15.75" customHeight="1" x14ac:dyDescent="0.25">
      <c r="A333" s="1" t="s">
        <v>12</v>
      </c>
      <c r="B333" s="21">
        <v>6</v>
      </c>
      <c r="C333" s="1" t="s">
        <v>8374</v>
      </c>
      <c r="D333" s="21">
        <v>18</v>
      </c>
      <c r="E333" s="1" t="s">
        <v>1408</v>
      </c>
      <c r="F333" s="21">
        <v>5</v>
      </c>
      <c r="G333" s="1" t="s">
        <v>1426</v>
      </c>
      <c r="H333" s="1" t="s">
        <v>1324</v>
      </c>
      <c r="I333" s="1" t="s">
        <v>1325</v>
      </c>
      <c r="J333" s="1" t="s">
        <v>1326</v>
      </c>
      <c r="K333" s="1" t="s">
        <v>1327</v>
      </c>
      <c r="L333" s="1" t="s">
        <v>9</v>
      </c>
    </row>
    <row r="334" spans="1:12" ht="15.75" customHeight="1" x14ac:dyDescent="0.25">
      <c r="A334" s="1" t="s">
        <v>12</v>
      </c>
      <c r="B334" s="21">
        <v>6</v>
      </c>
      <c r="C334" s="1" t="s">
        <v>8374</v>
      </c>
      <c r="D334" s="21">
        <v>18</v>
      </c>
      <c r="E334" s="1" t="s">
        <v>1408</v>
      </c>
      <c r="F334" s="21">
        <v>6</v>
      </c>
      <c r="G334" s="1" t="s">
        <v>1427</v>
      </c>
      <c r="H334" s="1" t="s">
        <v>1428</v>
      </c>
      <c r="I334" s="1" t="s">
        <v>1429</v>
      </c>
      <c r="J334" s="1" t="s">
        <v>1430</v>
      </c>
      <c r="K334" s="1" t="s">
        <v>1431</v>
      </c>
      <c r="L334" s="1" t="s">
        <v>8</v>
      </c>
    </row>
    <row r="335" spans="1:12" ht="15.75" customHeight="1" x14ac:dyDescent="0.25">
      <c r="A335" s="1" t="s">
        <v>12</v>
      </c>
      <c r="B335" s="21">
        <v>6</v>
      </c>
      <c r="C335" s="1" t="s">
        <v>8374</v>
      </c>
      <c r="D335" s="21">
        <v>18</v>
      </c>
      <c r="E335" s="1" t="s">
        <v>1408</v>
      </c>
      <c r="F335" s="21">
        <v>7</v>
      </c>
      <c r="G335" s="1" t="s">
        <v>1432</v>
      </c>
      <c r="H335" s="1" t="s">
        <v>1433</v>
      </c>
      <c r="I335" s="1" t="s">
        <v>1434</v>
      </c>
      <c r="J335" s="1" t="s">
        <v>1435</v>
      </c>
      <c r="K335" s="1" t="s">
        <v>1436</v>
      </c>
      <c r="L335" s="1" t="s">
        <v>7</v>
      </c>
    </row>
    <row r="336" spans="1:12" ht="15.75" customHeight="1" x14ac:dyDescent="0.25">
      <c r="A336" s="1" t="s">
        <v>12</v>
      </c>
      <c r="B336" s="21">
        <v>6</v>
      </c>
      <c r="C336" s="1" t="s">
        <v>8374</v>
      </c>
      <c r="D336" s="21">
        <v>18</v>
      </c>
      <c r="E336" s="1" t="s">
        <v>1408</v>
      </c>
      <c r="F336" s="21">
        <v>8</v>
      </c>
      <c r="G336" s="1" t="s">
        <v>1437</v>
      </c>
      <c r="H336" s="1" t="s">
        <v>1438</v>
      </c>
      <c r="I336" s="1" t="s">
        <v>1439</v>
      </c>
      <c r="J336" s="1" t="s">
        <v>1440</v>
      </c>
      <c r="K336" s="1" t="s">
        <v>1363</v>
      </c>
      <c r="L336" s="1" t="s">
        <v>10</v>
      </c>
    </row>
    <row r="337" spans="1:12" ht="15.75" customHeight="1" x14ac:dyDescent="0.25">
      <c r="A337" s="1" t="s">
        <v>12</v>
      </c>
      <c r="B337" s="21">
        <v>6</v>
      </c>
      <c r="C337" s="1" t="s">
        <v>8374</v>
      </c>
      <c r="D337" s="21">
        <v>18</v>
      </c>
      <c r="E337" s="1" t="s">
        <v>1408</v>
      </c>
      <c r="F337" s="21">
        <v>9</v>
      </c>
      <c r="G337" s="1" t="s">
        <v>1441</v>
      </c>
      <c r="H337" s="1" t="s">
        <v>1442</v>
      </c>
      <c r="I337" s="1" t="s">
        <v>1443</v>
      </c>
      <c r="J337" s="1" t="s">
        <v>1444</v>
      </c>
      <c r="K337" s="1" t="s">
        <v>1445</v>
      </c>
      <c r="L337" s="1" t="s">
        <v>9</v>
      </c>
    </row>
    <row r="338" spans="1:12" ht="15.75" customHeight="1" x14ac:dyDescent="0.25">
      <c r="A338" s="1" t="s">
        <v>12</v>
      </c>
      <c r="B338" s="21">
        <v>6</v>
      </c>
      <c r="C338" s="1" t="s">
        <v>8374</v>
      </c>
      <c r="D338" s="21">
        <v>18</v>
      </c>
      <c r="E338" s="1" t="s">
        <v>1408</v>
      </c>
      <c r="F338" s="21">
        <v>10</v>
      </c>
      <c r="G338" s="1" t="s">
        <v>1446</v>
      </c>
      <c r="H338" s="1" t="s">
        <v>1447</v>
      </c>
      <c r="I338" s="1" t="s">
        <v>1448</v>
      </c>
      <c r="J338" s="1" t="s">
        <v>1449</v>
      </c>
      <c r="K338" s="1" t="s">
        <v>1450</v>
      </c>
      <c r="L338" s="1" t="s">
        <v>7</v>
      </c>
    </row>
    <row r="339" spans="1:12" ht="15.75" customHeight="1" x14ac:dyDescent="0.25">
      <c r="A339" s="1" t="s">
        <v>12</v>
      </c>
      <c r="B339" s="21">
        <v>6</v>
      </c>
      <c r="C339" s="1" t="s">
        <v>8374</v>
      </c>
      <c r="D339" s="21">
        <v>18</v>
      </c>
      <c r="E339" s="1" t="s">
        <v>1408</v>
      </c>
      <c r="F339" s="21">
        <v>11</v>
      </c>
      <c r="G339" s="1" t="s">
        <v>1451</v>
      </c>
      <c r="H339" s="1" t="s">
        <v>1452</v>
      </c>
      <c r="I339" s="1" t="s">
        <v>1453</v>
      </c>
      <c r="J339" s="1" t="s">
        <v>1454</v>
      </c>
      <c r="K339" s="1" t="s">
        <v>1455</v>
      </c>
      <c r="L339" s="1" t="s">
        <v>8</v>
      </c>
    </row>
    <row r="340" spans="1:12" ht="15.75" customHeight="1" x14ac:dyDescent="0.25">
      <c r="A340" s="1" t="s">
        <v>12</v>
      </c>
      <c r="B340" s="21">
        <v>6</v>
      </c>
      <c r="C340" s="1" t="s">
        <v>8374</v>
      </c>
      <c r="D340" s="21">
        <v>18</v>
      </c>
      <c r="E340" s="1" t="s">
        <v>1408</v>
      </c>
      <c r="F340" s="21">
        <v>12</v>
      </c>
      <c r="G340" s="1" t="s">
        <v>1456</v>
      </c>
      <c r="H340" s="1" t="s">
        <v>1457</v>
      </c>
      <c r="I340" s="1" t="s">
        <v>1458</v>
      </c>
      <c r="J340" s="1" t="s">
        <v>1459</v>
      </c>
      <c r="K340" s="1" t="s">
        <v>1363</v>
      </c>
      <c r="L340" s="1" t="s">
        <v>10</v>
      </c>
    </row>
    <row r="341" spans="1:12" ht="15.75" customHeight="1" x14ac:dyDescent="0.25">
      <c r="A341" s="1" t="s">
        <v>12</v>
      </c>
      <c r="B341" s="21">
        <v>6</v>
      </c>
      <c r="C341" s="1" t="s">
        <v>8374</v>
      </c>
      <c r="D341" s="21">
        <v>18</v>
      </c>
      <c r="E341" s="1" t="s">
        <v>1408</v>
      </c>
      <c r="F341" s="21">
        <v>13</v>
      </c>
      <c r="G341" s="1" t="s">
        <v>1460</v>
      </c>
      <c r="H341" s="1" t="s">
        <v>1461</v>
      </c>
      <c r="I341" s="1" t="s">
        <v>1462</v>
      </c>
      <c r="J341" s="1" t="s">
        <v>1463</v>
      </c>
      <c r="K341" s="1" t="s">
        <v>1464</v>
      </c>
      <c r="L341" s="1" t="s">
        <v>9</v>
      </c>
    </row>
    <row r="342" spans="1:12" ht="15.75" customHeight="1" x14ac:dyDescent="0.25">
      <c r="A342" s="1" t="s">
        <v>12</v>
      </c>
      <c r="B342" s="21">
        <v>6</v>
      </c>
      <c r="C342" s="1" t="s">
        <v>8374</v>
      </c>
      <c r="D342" s="21">
        <v>18</v>
      </c>
      <c r="E342" s="1" t="s">
        <v>1408</v>
      </c>
      <c r="F342" s="21">
        <v>14</v>
      </c>
      <c r="G342" s="1" t="s">
        <v>1465</v>
      </c>
      <c r="H342" s="1" t="s">
        <v>1466</v>
      </c>
      <c r="I342" s="1" t="s">
        <v>1467</v>
      </c>
      <c r="J342" s="1" t="s">
        <v>1468</v>
      </c>
      <c r="K342" s="1" t="s">
        <v>1464</v>
      </c>
      <c r="L342" s="1" t="s">
        <v>8</v>
      </c>
    </row>
    <row r="343" spans="1:12" ht="15.75" customHeight="1" x14ac:dyDescent="0.25">
      <c r="A343" s="1" t="s">
        <v>12</v>
      </c>
      <c r="B343" s="21">
        <v>6</v>
      </c>
      <c r="C343" s="1" t="s">
        <v>8374</v>
      </c>
      <c r="D343" s="21">
        <v>18</v>
      </c>
      <c r="E343" s="1" t="s">
        <v>1408</v>
      </c>
      <c r="F343" s="21">
        <v>15</v>
      </c>
      <c r="G343" s="1" t="s">
        <v>1469</v>
      </c>
      <c r="H343" s="1" t="s">
        <v>1470</v>
      </c>
      <c r="I343" s="1" t="s">
        <v>1471</v>
      </c>
      <c r="J343" s="1" t="s">
        <v>1472</v>
      </c>
      <c r="K343" s="1" t="s">
        <v>1464</v>
      </c>
      <c r="L343" s="1" t="s">
        <v>9</v>
      </c>
    </row>
    <row r="344" spans="1:12" ht="15.75" customHeight="1" x14ac:dyDescent="0.25">
      <c r="A344" s="1" t="s">
        <v>12</v>
      </c>
      <c r="B344" s="21">
        <v>6</v>
      </c>
      <c r="C344" s="1" t="s">
        <v>8374</v>
      </c>
      <c r="D344" s="21">
        <v>18</v>
      </c>
      <c r="E344" s="1" t="s">
        <v>1408</v>
      </c>
      <c r="F344" s="21">
        <v>16</v>
      </c>
      <c r="G344" s="1" t="s">
        <v>1473</v>
      </c>
      <c r="H344" s="1" t="s">
        <v>1474</v>
      </c>
      <c r="I344" s="1" t="s">
        <v>1475</v>
      </c>
      <c r="J344" s="1" t="s">
        <v>1476</v>
      </c>
      <c r="K344" s="1" t="s">
        <v>1477</v>
      </c>
      <c r="L344" s="1" t="s">
        <v>9</v>
      </c>
    </row>
    <row r="345" spans="1:12" ht="15.75" customHeight="1" x14ac:dyDescent="0.25">
      <c r="A345" s="1" t="s">
        <v>12</v>
      </c>
      <c r="B345" s="21">
        <v>6</v>
      </c>
      <c r="C345" s="1" t="s">
        <v>8374</v>
      </c>
      <c r="D345" s="21">
        <v>18</v>
      </c>
      <c r="E345" s="1" t="s">
        <v>1408</v>
      </c>
      <c r="F345" s="21">
        <v>17</v>
      </c>
      <c r="G345" s="1" t="s">
        <v>1478</v>
      </c>
      <c r="H345" s="1" t="s">
        <v>1479</v>
      </c>
      <c r="I345" s="1" t="s">
        <v>1480</v>
      </c>
      <c r="J345" s="1" t="s">
        <v>1481</v>
      </c>
      <c r="K345" s="1" t="s">
        <v>1482</v>
      </c>
      <c r="L345" s="1" t="s">
        <v>9</v>
      </c>
    </row>
    <row r="346" spans="1:12" ht="15.75" customHeight="1" x14ac:dyDescent="0.25">
      <c r="A346" s="1" t="s">
        <v>12</v>
      </c>
      <c r="B346" s="21">
        <v>6</v>
      </c>
      <c r="C346" s="1" t="s">
        <v>8374</v>
      </c>
      <c r="D346" s="21">
        <v>18</v>
      </c>
      <c r="E346" s="1" t="s">
        <v>1408</v>
      </c>
      <c r="F346" s="21">
        <v>18</v>
      </c>
      <c r="G346" s="1" t="s">
        <v>1483</v>
      </c>
      <c r="H346" s="1" t="s">
        <v>1479</v>
      </c>
      <c r="I346" s="1" t="s">
        <v>1480</v>
      </c>
      <c r="J346" s="1" t="s">
        <v>1481</v>
      </c>
      <c r="K346" s="1" t="s">
        <v>1484</v>
      </c>
      <c r="L346" s="1" t="s">
        <v>10</v>
      </c>
    </row>
    <row r="347" spans="1:12" ht="15.75" customHeight="1" x14ac:dyDescent="0.25">
      <c r="A347" s="1" t="s">
        <v>12</v>
      </c>
      <c r="B347" s="21">
        <v>6</v>
      </c>
      <c r="C347" s="1" t="s">
        <v>8374</v>
      </c>
      <c r="D347" s="21">
        <v>18</v>
      </c>
      <c r="E347" s="1" t="s">
        <v>1408</v>
      </c>
      <c r="F347" s="21">
        <v>19</v>
      </c>
      <c r="G347" s="1" t="s">
        <v>1485</v>
      </c>
      <c r="H347" s="1" t="s">
        <v>1479</v>
      </c>
      <c r="I347" s="1" t="s">
        <v>1480</v>
      </c>
      <c r="J347" s="1" t="s">
        <v>1481</v>
      </c>
      <c r="K347" s="1" t="s">
        <v>1482</v>
      </c>
      <c r="L347" s="1" t="s">
        <v>7</v>
      </c>
    </row>
    <row r="348" spans="1:12" ht="15.75" customHeight="1" x14ac:dyDescent="0.25">
      <c r="A348" s="1" t="s">
        <v>12</v>
      </c>
      <c r="B348" s="21">
        <v>6</v>
      </c>
      <c r="C348" s="1" t="s">
        <v>8374</v>
      </c>
      <c r="D348" s="21">
        <v>18</v>
      </c>
      <c r="E348" s="1" t="s">
        <v>1408</v>
      </c>
      <c r="F348" s="21">
        <v>20</v>
      </c>
      <c r="G348" s="1" t="s">
        <v>1486</v>
      </c>
      <c r="H348" s="1" t="s">
        <v>1487</v>
      </c>
      <c r="I348" s="1" t="s">
        <v>1488</v>
      </c>
      <c r="J348" s="1" t="s">
        <v>1489</v>
      </c>
      <c r="K348" s="1" t="s">
        <v>1484</v>
      </c>
      <c r="L348" s="1" t="s">
        <v>8</v>
      </c>
    </row>
    <row r="349" spans="1:12" ht="15.75" customHeight="1" x14ac:dyDescent="0.25">
      <c r="A349" s="1" t="s">
        <v>12</v>
      </c>
      <c r="B349" s="21">
        <v>6</v>
      </c>
      <c r="C349" s="1" t="s">
        <v>8374</v>
      </c>
      <c r="D349" s="21">
        <v>18</v>
      </c>
      <c r="E349" s="1" t="s">
        <v>1408</v>
      </c>
      <c r="F349" s="21">
        <v>21</v>
      </c>
      <c r="G349" s="1" t="s">
        <v>1490</v>
      </c>
      <c r="H349" s="1" t="s">
        <v>1491</v>
      </c>
      <c r="I349" s="1" t="s">
        <v>1492</v>
      </c>
      <c r="J349" s="1" t="s">
        <v>1493</v>
      </c>
      <c r="K349" s="1" t="s">
        <v>1494</v>
      </c>
      <c r="L349" s="1" t="s">
        <v>7</v>
      </c>
    </row>
    <row r="350" spans="1:12" ht="15.75" customHeight="1" x14ac:dyDescent="0.25">
      <c r="A350" s="1" t="s">
        <v>12</v>
      </c>
      <c r="B350" s="21">
        <v>6</v>
      </c>
      <c r="C350" s="1" t="s">
        <v>8374</v>
      </c>
      <c r="D350" s="21">
        <v>18</v>
      </c>
      <c r="E350" s="1" t="s">
        <v>1408</v>
      </c>
      <c r="F350" s="21">
        <v>22</v>
      </c>
      <c r="G350" s="1" t="s">
        <v>1495</v>
      </c>
      <c r="H350" s="1" t="s">
        <v>1496</v>
      </c>
      <c r="I350" s="1" t="s">
        <v>1413</v>
      </c>
      <c r="J350" s="1" t="s">
        <v>1497</v>
      </c>
      <c r="K350" s="1" t="s">
        <v>1498</v>
      </c>
      <c r="L350" s="1" t="s">
        <v>8</v>
      </c>
    </row>
    <row r="351" spans="1:12" ht="15.75" customHeight="1" x14ac:dyDescent="0.25">
      <c r="A351" s="1" t="s">
        <v>12</v>
      </c>
      <c r="B351" s="21">
        <v>6</v>
      </c>
      <c r="C351" s="1" t="s">
        <v>8374</v>
      </c>
      <c r="D351" s="21">
        <v>18</v>
      </c>
      <c r="E351" s="1" t="s">
        <v>1408</v>
      </c>
      <c r="F351" s="21">
        <v>23</v>
      </c>
      <c r="G351" s="1" t="s">
        <v>1499</v>
      </c>
      <c r="H351" s="1" t="s">
        <v>1500</v>
      </c>
      <c r="I351" s="1" t="s">
        <v>1396</v>
      </c>
      <c r="J351" s="1" t="s">
        <v>1501</v>
      </c>
      <c r="K351" s="1" t="s">
        <v>1502</v>
      </c>
      <c r="L351" s="1" t="s">
        <v>7</v>
      </c>
    </row>
    <row r="352" spans="1:12" ht="15.75" customHeight="1" x14ac:dyDescent="0.25">
      <c r="A352" s="1" t="s">
        <v>12</v>
      </c>
      <c r="B352" s="21">
        <v>6</v>
      </c>
      <c r="C352" s="1" t="s">
        <v>8374</v>
      </c>
      <c r="D352" s="21">
        <v>19</v>
      </c>
      <c r="E352" s="1" t="s">
        <v>1503</v>
      </c>
      <c r="F352" s="21">
        <v>1</v>
      </c>
      <c r="G352" s="1" t="s">
        <v>1504</v>
      </c>
      <c r="H352" s="1" t="s">
        <v>1505</v>
      </c>
      <c r="I352" s="1" t="s">
        <v>1506</v>
      </c>
      <c r="J352" s="1" t="s">
        <v>1507</v>
      </c>
      <c r="K352" s="1" t="s">
        <v>1508</v>
      </c>
      <c r="L352" s="1" t="s">
        <v>7</v>
      </c>
    </row>
    <row r="353" spans="1:12" ht="15.75" customHeight="1" x14ac:dyDescent="0.25">
      <c r="A353" s="1" t="s">
        <v>12</v>
      </c>
      <c r="B353" s="21">
        <v>6</v>
      </c>
      <c r="C353" s="1" t="s">
        <v>8374</v>
      </c>
      <c r="D353" s="21">
        <v>19</v>
      </c>
      <c r="E353" s="1" t="s">
        <v>1503</v>
      </c>
      <c r="F353" s="21">
        <v>2</v>
      </c>
      <c r="G353" s="1" t="s">
        <v>1509</v>
      </c>
      <c r="H353" s="1" t="s">
        <v>1510</v>
      </c>
      <c r="I353" s="1" t="s">
        <v>1511</v>
      </c>
      <c r="J353" s="1" t="s">
        <v>1512</v>
      </c>
      <c r="K353" s="1" t="s">
        <v>1513</v>
      </c>
      <c r="L353" s="1" t="s">
        <v>8</v>
      </c>
    </row>
    <row r="354" spans="1:12" ht="15.75" customHeight="1" x14ac:dyDescent="0.25">
      <c r="A354" s="1" t="s">
        <v>12</v>
      </c>
      <c r="B354" s="21">
        <v>6</v>
      </c>
      <c r="C354" s="1" t="s">
        <v>8374</v>
      </c>
      <c r="D354" s="21">
        <v>19</v>
      </c>
      <c r="E354" s="1" t="s">
        <v>1503</v>
      </c>
      <c r="F354" s="21">
        <v>3</v>
      </c>
      <c r="G354" s="1" t="s">
        <v>1514</v>
      </c>
      <c r="H354" s="1" t="s">
        <v>1515</v>
      </c>
      <c r="I354" s="1" t="s">
        <v>1516</v>
      </c>
      <c r="J354" s="1" t="s">
        <v>1517</v>
      </c>
      <c r="K354" s="1" t="s">
        <v>1518</v>
      </c>
      <c r="L354" s="1" t="s">
        <v>8</v>
      </c>
    </row>
    <row r="355" spans="1:12" ht="15.75" customHeight="1" x14ac:dyDescent="0.25">
      <c r="A355" s="1" t="s">
        <v>12</v>
      </c>
      <c r="B355" s="21">
        <v>6</v>
      </c>
      <c r="C355" s="1" t="s">
        <v>8374</v>
      </c>
      <c r="D355" s="21">
        <v>19</v>
      </c>
      <c r="E355" s="1" t="s">
        <v>1503</v>
      </c>
      <c r="F355" s="21">
        <v>4</v>
      </c>
      <c r="G355" s="1" t="s">
        <v>1519</v>
      </c>
      <c r="H355" s="1" t="s">
        <v>1520</v>
      </c>
      <c r="I355" s="1" t="s">
        <v>1521</v>
      </c>
      <c r="J355" s="1" t="s">
        <v>1522</v>
      </c>
      <c r="K355" s="1" t="s">
        <v>1523</v>
      </c>
      <c r="L355" s="1" t="s">
        <v>9</v>
      </c>
    </row>
    <row r="356" spans="1:12" ht="15.75" customHeight="1" x14ac:dyDescent="0.25">
      <c r="A356" s="1" t="s">
        <v>12</v>
      </c>
      <c r="B356" s="21">
        <v>6</v>
      </c>
      <c r="C356" s="1" t="s">
        <v>8374</v>
      </c>
      <c r="D356" s="21">
        <v>19</v>
      </c>
      <c r="E356" s="1" t="s">
        <v>1503</v>
      </c>
      <c r="F356" s="21">
        <v>5</v>
      </c>
      <c r="G356" s="1" t="s">
        <v>1524</v>
      </c>
      <c r="H356" s="1" t="s">
        <v>1525</v>
      </c>
      <c r="I356" s="1" t="s">
        <v>1526</v>
      </c>
      <c r="J356" s="1" t="s">
        <v>1527</v>
      </c>
      <c r="K356" s="1" t="s">
        <v>1363</v>
      </c>
      <c r="L356" s="1" t="s">
        <v>10</v>
      </c>
    </row>
    <row r="357" spans="1:12" ht="15.75" customHeight="1" x14ac:dyDescent="0.25">
      <c r="A357" s="1" t="s">
        <v>12</v>
      </c>
      <c r="B357" s="21">
        <v>6</v>
      </c>
      <c r="C357" s="1" t="s">
        <v>8374</v>
      </c>
      <c r="D357" s="21">
        <v>19</v>
      </c>
      <c r="E357" s="1" t="s">
        <v>1503</v>
      </c>
      <c r="F357" s="21">
        <v>6</v>
      </c>
      <c r="G357" s="1" t="s">
        <v>1528</v>
      </c>
      <c r="H357" s="1" t="s">
        <v>1470</v>
      </c>
      <c r="I357" s="1" t="s">
        <v>1471</v>
      </c>
      <c r="J357" s="1" t="s">
        <v>1472</v>
      </c>
      <c r="K357" s="1" t="s">
        <v>1464</v>
      </c>
      <c r="L357" s="1" t="s">
        <v>8</v>
      </c>
    </row>
    <row r="358" spans="1:12" ht="15.75" customHeight="1" x14ac:dyDescent="0.25">
      <c r="A358" s="1" t="s">
        <v>12</v>
      </c>
      <c r="B358" s="21">
        <v>6</v>
      </c>
      <c r="C358" s="1" t="s">
        <v>8374</v>
      </c>
      <c r="D358" s="21">
        <v>19</v>
      </c>
      <c r="E358" s="1" t="s">
        <v>1503</v>
      </c>
      <c r="F358" s="21">
        <v>7</v>
      </c>
      <c r="G358" s="1" t="s">
        <v>1529</v>
      </c>
      <c r="H358" s="1" t="s">
        <v>1530</v>
      </c>
      <c r="I358" s="1" t="s">
        <v>1531</v>
      </c>
      <c r="J358" s="1" t="s">
        <v>1532</v>
      </c>
      <c r="K358" s="1" t="s">
        <v>1533</v>
      </c>
      <c r="L358" s="1" t="s">
        <v>10</v>
      </c>
    </row>
    <row r="359" spans="1:12" ht="15.75" customHeight="1" x14ac:dyDescent="0.25">
      <c r="A359" s="1" t="s">
        <v>12</v>
      </c>
      <c r="B359" s="21">
        <v>6</v>
      </c>
      <c r="C359" s="1" t="s">
        <v>8374</v>
      </c>
      <c r="D359" s="21">
        <v>19</v>
      </c>
      <c r="E359" s="1" t="s">
        <v>1503</v>
      </c>
      <c r="F359" s="21">
        <v>8</v>
      </c>
      <c r="G359" s="1" t="s">
        <v>1534</v>
      </c>
      <c r="H359" s="1" t="s">
        <v>1535</v>
      </c>
      <c r="I359" s="1" t="s">
        <v>1536</v>
      </c>
      <c r="J359" s="1" t="s">
        <v>1537</v>
      </c>
      <c r="K359" s="1" t="s">
        <v>1363</v>
      </c>
      <c r="L359" s="1" t="s">
        <v>10</v>
      </c>
    </row>
    <row r="360" spans="1:12" ht="15.75" customHeight="1" x14ac:dyDescent="0.25">
      <c r="A360" s="1" t="s">
        <v>12</v>
      </c>
      <c r="B360" s="21">
        <v>6</v>
      </c>
      <c r="C360" s="1" t="s">
        <v>8374</v>
      </c>
      <c r="D360" s="21">
        <v>19</v>
      </c>
      <c r="E360" s="1" t="s">
        <v>1503</v>
      </c>
      <c r="F360" s="21">
        <v>9</v>
      </c>
      <c r="G360" s="1" t="s">
        <v>1538</v>
      </c>
      <c r="H360" s="1" t="s">
        <v>1539</v>
      </c>
      <c r="I360" s="1" t="s">
        <v>1540</v>
      </c>
      <c r="J360" s="1" t="s">
        <v>1541</v>
      </c>
      <c r="K360" s="1" t="s">
        <v>1542</v>
      </c>
      <c r="L360" s="1" t="s">
        <v>10</v>
      </c>
    </row>
    <row r="361" spans="1:12" ht="15.75" customHeight="1" x14ac:dyDescent="0.25">
      <c r="A361" s="1" t="s">
        <v>12</v>
      </c>
      <c r="B361" s="21">
        <v>6</v>
      </c>
      <c r="C361" s="1" t="s">
        <v>8374</v>
      </c>
      <c r="D361" s="21">
        <v>19</v>
      </c>
      <c r="E361" s="1" t="s">
        <v>1503</v>
      </c>
      <c r="F361" s="21">
        <v>10</v>
      </c>
      <c r="G361" s="1" t="s">
        <v>1543</v>
      </c>
      <c r="H361" s="1" t="s">
        <v>1544</v>
      </c>
      <c r="I361" s="1" t="s">
        <v>1545</v>
      </c>
      <c r="J361" s="1" t="s">
        <v>1546</v>
      </c>
      <c r="K361" s="1" t="s">
        <v>1547</v>
      </c>
      <c r="L361" s="1" t="s">
        <v>7</v>
      </c>
    </row>
    <row r="362" spans="1:12" ht="15.75" customHeight="1" x14ac:dyDescent="0.25">
      <c r="A362" s="1" t="s">
        <v>12</v>
      </c>
      <c r="B362" s="21">
        <v>6</v>
      </c>
      <c r="C362" s="1" t="s">
        <v>8374</v>
      </c>
      <c r="D362" s="21">
        <v>19</v>
      </c>
      <c r="E362" s="1" t="s">
        <v>1503</v>
      </c>
      <c r="F362" s="21">
        <v>11</v>
      </c>
      <c r="G362" s="1" t="s">
        <v>1548</v>
      </c>
      <c r="H362" s="1" t="s">
        <v>1549</v>
      </c>
      <c r="I362" s="1" t="s">
        <v>1550</v>
      </c>
      <c r="J362" s="1" t="s">
        <v>1551</v>
      </c>
      <c r="K362" s="1" t="s">
        <v>1552</v>
      </c>
      <c r="L362" s="1" t="s">
        <v>8</v>
      </c>
    </row>
    <row r="363" spans="1:12" ht="15.75" customHeight="1" x14ac:dyDescent="0.25">
      <c r="A363" s="1" t="s">
        <v>12</v>
      </c>
      <c r="B363" s="21">
        <v>6</v>
      </c>
      <c r="C363" s="1" t="s">
        <v>8374</v>
      </c>
      <c r="D363" s="21">
        <v>19</v>
      </c>
      <c r="E363" s="1" t="s">
        <v>1503</v>
      </c>
      <c r="F363" s="21">
        <v>12</v>
      </c>
      <c r="G363" s="1" t="s">
        <v>1553</v>
      </c>
      <c r="H363" s="1" t="s">
        <v>1554</v>
      </c>
      <c r="I363" s="1" t="s">
        <v>1298</v>
      </c>
      <c r="J363" s="1" t="s">
        <v>1555</v>
      </c>
      <c r="K363" s="1" t="s">
        <v>1556</v>
      </c>
      <c r="L363" s="1" t="s">
        <v>7</v>
      </c>
    </row>
    <row r="364" spans="1:12" ht="15.75" customHeight="1" x14ac:dyDescent="0.25">
      <c r="A364" s="1" t="s">
        <v>12</v>
      </c>
      <c r="B364" s="21">
        <v>6</v>
      </c>
      <c r="C364" s="1" t="s">
        <v>8374</v>
      </c>
      <c r="D364" s="21">
        <v>19</v>
      </c>
      <c r="E364" s="1" t="s">
        <v>1503</v>
      </c>
      <c r="F364" s="21">
        <v>13</v>
      </c>
      <c r="G364" s="1" t="s">
        <v>1437</v>
      </c>
      <c r="H364" s="1" t="s">
        <v>1557</v>
      </c>
      <c r="I364" s="1" t="s">
        <v>1558</v>
      </c>
      <c r="J364" s="1" t="s">
        <v>1559</v>
      </c>
      <c r="K364" s="1" t="s">
        <v>1560</v>
      </c>
      <c r="L364" s="1" t="s">
        <v>10</v>
      </c>
    </row>
    <row r="365" spans="1:12" ht="15.75" customHeight="1" x14ac:dyDescent="0.25">
      <c r="A365" s="1" t="s">
        <v>12</v>
      </c>
      <c r="B365" s="21">
        <v>6</v>
      </c>
      <c r="C365" s="1" t="s">
        <v>8374</v>
      </c>
      <c r="D365" s="21">
        <v>19</v>
      </c>
      <c r="E365" s="1" t="s">
        <v>1503</v>
      </c>
      <c r="F365" s="21">
        <v>14</v>
      </c>
      <c r="G365" s="1" t="s">
        <v>1561</v>
      </c>
      <c r="H365" s="1" t="s">
        <v>1562</v>
      </c>
      <c r="I365" s="1" t="s">
        <v>1563</v>
      </c>
      <c r="J365" s="1" t="s">
        <v>1564</v>
      </c>
      <c r="K365" s="1" t="s">
        <v>1301</v>
      </c>
      <c r="L365" s="1" t="s">
        <v>10</v>
      </c>
    </row>
    <row r="366" spans="1:12" ht="15.75" customHeight="1" x14ac:dyDescent="0.25">
      <c r="A366" s="1" t="s">
        <v>12</v>
      </c>
      <c r="B366" s="21">
        <v>6</v>
      </c>
      <c r="C366" s="1" t="s">
        <v>8374</v>
      </c>
      <c r="D366" s="21">
        <v>19</v>
      </c>
      <c r="E366" s="1" t="s">
        <v>1503</v>
      </c>
      <c r="F366" s="21">
        <v>16</v>
      </c>
      <c r="G366" s="1" t="s">
        <v>1565</v>
      </c>
      <c r="H366" s="1" t="s">
        <v>1566</v>
      </c>
      <c r="I366" s="1" t="s">
        <v>1567</v>
      </c>
      <c r="J366" s="1" t="s">
        <v>1568</v>
      </c>
      <c r="K366" s="1" t="s">
        <v>1569</v>
      </c>
      <c r="L366" s="1" t="s">
        <v>10</v>
      </c>
    </row>
    <row r="367" spans="1:12" ht="15.75" customHeight="1" x14ac:dyDescent="0.25">
      <c r="A367" s="1" t="s">
        <v>12</v>
      </c>
      <c r="B367" s="21">
        <v>6</v>
      </c>
      <c r="C367" s="1" t="s">
        <v>8374</v>
      </c>
      <c r="D367" s="21">
        <v>19</v>
      </c>
      <c r="E367" s="1" t="s">
        <v>1503</v>
      </c>
      <c r="F367" s="21">
        <v>17</v>
      </c>
      <c r="G367" s="1" t="s">
        <v>1570</v>
      </c>
      <c r="H367" s="1" t="s">
        <v>1571</v>
      </c>
      <c r="I367" s="1" t="s">
        <v>1572</v>
      </c>
      <c r="J367" s="1" t="s">
        <v>1573</v>
      </c>
      <c r="K367" s="1" t="s">
        <v>1574</v>
      </c>
      <c r="L367" s="1" t="s">
        <v>9</v>
      </c>
    </row>
    <row r="368" spans="1:12" ht="15.75" customHeight="1" x14ac:dyDescent="0.25">
      <c r="A368" s="1" t="s">
        <v>12</v>
      </c>
      <c r="B368" s="21">
        <v>6</v>
      </c>
      <c r="C368" s="1" t="s">
        <v>8374</v>
      </c>
      <c r="D368" s="21">
        <v>19</v>
      </c>
      <c r="E368" s="1" t="s">
        <v>1503</v>
      </c>
      <c r="F368" s="21">
        <v>18</v>
      </c>
      <c r="G368" s="1" t="s">
        <v>1575</v>
      </c>
      <c r="H368" s="1" t="s">
        <v>1576</v>
      </c>
      <c r="I368" s="1" t="s">
        <v>1572</v>
      </c>
      <c r="J368" s="1" t="s">
        <v>1573</v>
      </c>
      <c r="K368" s="1" t="s">
        <v>1574</v>
      </c>
      <c r="L368" s="1" t="s">
        <v>10</v>
      </c>
    </row>
    <row r="369" spans="1:12" ht="15.75" customHeight="1" x14ac:dyDescent="0.25">
      <c r="A369" s="1" t="s">
        <v>12</v>
      </c>
      <c r="B369" s="21">
        <v>6</v>
      </c>
      <c r="C369" s="1" t="s">
        <v>8374</v>
      </c>
      <c r="D369" s="21">
        <v>19</v>
      </c>
      <c r="E369" s="1" t="s">
        <v>1503</v>
      </c>
      <c r="F369" s="21">
        <v>19</v>
      </c>
      <c r="G369" s="1" t="s">
        <v>1577</v>
      </c>
      <c r="H369" s="1" t="s">
        <v>1571</v>
      </c>
      <c r="I369" s="1" t="s">
        <v>1572</v>
      </c>
      <c r="J369" s="1" t="s">
        <v>1573</v>
      </c>
      <c r="K369" s="1" t="s">
        <v>1574</v>
      </c>
      <c r="L369" s="1" t="s">
        <v>8</v>
      </c>
    </row>
    <row r="370" spans="1:12" ht="15.75" customHeight="1" x14ac:dyDescent="0.25">
      <c r="A370" s="1" t="s">
        <v>12</v>
      </c>
      <c r="B370" s="21">
        <v>6</v>
      </c>
      <c r="C370" s="1" t="s">
        <v>8374</v>
      </c>
      <c r="D370" s="21">
        <v>19</v>
      </c>
      <c r="E370" s="1" t="s">
        <v>1503</v>
      </c>
      <c r="F370" s="21">
        <v>20</v>
      </c>
      <c r="G370" s="1" t="s">
        <v>1578</v>
      </c>
      <c r="H370" s="1" t="s">
        <v>1579</v>
      </c>
      <c r="I370" s="1" t="s">
        <v>1580</v>
      </c>
      <c r="J370" s="1" t="s">
        <v>1581</v>
      </c>
      <c r="K370" s="1" t="s">
        <v>1582</v>
      </c>
      <c r="L370" s="1" t="s">
        <v>9</v>
      </c>
    </row>
    <row r="371" spans="1:12" ht="15.75" customHeight="1" x14ac:dyDescent="0.25">
      <c r="A371" s="1" t="s">
        <v>12</v>
      </c>
      <c r="B371" s="21">
        <v>6</v>
      </c>
      <c r="C371" s="1" t="s">
        <v>8374</v>
      </c>
      <c r="D371" s="21">
        <v>20</v>
      </c>
      <c r="E371" s="1" t="s">
        <v>1583</v>
      </c>
      <c r="F371" s="21">
        <v>1</v>
      </c>
      <c r="G371" s="1" t="s">
        <v>1584</v>
      </c>
      <c r="H371" s="1" t="s">
        <v>1585</v>
      </c>
      <c r="I371" s="1" t="s">
        <v>1586</v>
      </c>
      <c r="J371" s="1" t="s">
        <v>1587</v>
      </c>
      <c r="K371" s="1" t="s">
        <v>1363</v>
      </c>
      <c r="L371" s="1" t="s">
        <v>10</v>
      </c>
    </row>
    <row r="372" spans="1:12" ht="15.75" customHeight="1" x14ac:dyDescent="0.25">
      <c r="A372" s="1" t="s">
        <v>12</v>
      </c>
      <c r="B372" s="21">
        <v>6</v>
      </c>
      <c r="C372" s="1" t="s">
        <v>8374</v>
      </c>
      <c r="D372" s="21">
        <v>20</v>
      </c>
      <c r="E372" s="1" t="s">
        <v>1583</v>
      </c>
      <c r="F372" s="21">
        <v>2</v>
      </c>
      <c r="G372" s="1" t="s">
        <v>1588</v>
      </c>
      <c r="H372" s="1" t="s">
        <v>1589</v>
      </c>
      <c r="I372" s="1" t="s">
        <v>1590</v>
      </c>
      <c r="J372" s="1" t="s">
        <v>1591</v>
      </c>
      <c r="K372" s="1" t="s">
        <v>1592</v>
      </c>
      <c r="L372" s="1" t="s">
        <v>8</v>
      </c>
    </row>
    <row r="373" spans="1:12" ht="15.75" customHeight="1" x14ac:dyDescent="0.25">
      <c r="A373" s="1" t="s">
        <v>12</v>
      </c>
      <c r="B373" s="21">
        <v>6</v>
      </c>
      <c r="C373" s="1" t="s">
        <v>8374</v>
      </c>
      <c r="D373" s="21">
        <v>20</v>
      </c>
      <c r="E373" s="1" t="s">
        <v>1583</v>
      </c>
      <c r="F373" s="21">
        <v>3</v>
      </c>
      <c r="G373" s="1" t="s">
        <v>1593</v>
      </c>
      <c r="H373" s="1" t="s">
        <v>1594</v>
      </c>
      <c r="I373" s="1" t="s">
        <v>1595</v>
      </c>
      <c r="J373" s="1" t="s">
        <v>780</v>
      </c>
      <c r="K373" s="1" t="s">
        <v>1596</v>
      </c>
      <c r="L373" s="1" t="s">
        <v>9</v>
      </c>
    </row>
    <row r="374" spans="1:12" ht="15.75" customHeight="1" x14ac:dyDescent="0.25">
      <c r="A374" s="1" t="s">
        <v>12</v>
      </c>
      <c r="B374" s="21">
        <v>6</v>
      </c>
      <c r="C374" s="1" t="s">
        <v>8374</v>
      </c>
      <c r="D374" s="21">
        <v>20</v>
      </c>
      <c r="E374" s="1" t="s">
        <v>1583</v>
      </c>
      <c r="F374" s="21">
        <v>4</v>
      </c>
      <c r="G374" s="1" t="s">
        <v>1597</v>
      </c>
      <c r="H374" s="1" t="s">
        <v>1598</v>
      </c>
      <c r="I374" s="1" t="s">
        <v>1599</v>
      </c>
      <c r="J374" s="1" t="s">
        <v>1600</v>
      </c>
      <c r="K374" s="1" t="s">
        <v>1601</v>
      </c>
      <c r="L374" s="1" t="s">
        <v>9</v>
      </c>
    </row>
    <row r="375" spans="1:12" ht="15.75" customHeight="1" x14ac:dyDescent="0.25">
      <c r="A375" s="1" t="s">
        <v>12</v>
      </c>
      <c r="B375" s="21">
        <v>6</v>
      </c>
      <c r="C375" s="1" t="s">
        <v>8374</v>
      </c>
      <c r="D375" s="21">
        <v>20</v>
      </c>
      <c r="E375" s="1" t="s">
        <v>1583</v>
      </c>
      <c r="F375" s="21">
        <v>5</v>
      </c>
      <c r="G375" s="1" t="s">
        <v>1602</v>
      </c>
      <c r="H375" s="1" t="s">
        <v>1603</v>
      </c>
      <c r="I375" s="1" t="s">
        <v>1604</v>
      </c>
      <c r="J375" s="1" t="s">
        <v>1605</v>
      </c>
      <c r="K375" s="1" t="s">
        <v>1606</v>
      </c>
      <c r="L375" s="1" t="s">
        <v>10</v>
      </c>
    </row>
    <row r="376" spans="1:12" ht="15.75" customHeight="1" x14ac:dyDescent="0.25">
      <c r="A376" s="1" t="s">
        <v>12</v>
      </c>
      <c r="B376" s="21">
        <v>6</v>
      </c>
      <c r="C376" s="1" t="s">
        <v>8374</v>
      </c>
      <c r="D376" s="21">
        <v>20</v>
      </c>
      <c r="E376" s="1" t="s">
        <v>1583</v>
      </c>
      <c r="F376" s="21">
        <v>6</v>
      </c>
      <c r="G376" s="1" t="s">
        <v>1607</v>
      </c>
      <c r="H376" s="1" t="s">
        <v>1608</v>
      </c>
      <c r="I376" s="1" t="s">
        <v>1609</v>
      </c>
      <c r="J376" s="1" t="s">
        <v>1610</v>
      </c>
      <c r="K376" s="1" t="s">
        <v>1611</v>
      </c>
      <c r="L376" s="1" t="s">
        <v>8</v>
      </c>
    </row>
    <row r="377" spans="1:12" ht="15.75" customHeight="1" x14ac:dyDescent="0.25">
      <c r="A377" s="1" t="s">
        <v>12</v>
      </c>
      <c r="B377" s="21">
        <v>6</v>
      </c>
      <c r="C377" s="1" t="s">
        <v>8374</v>
      </c>
      <c r="D377" s="21">
        <v>20</v>
      </c>
      <c r="E377" s="1" t="s">
        <v>1583</v>
      </c>
      <c r="F377" s="21">
        <v>7</v>
      </c>
      <c r="G377" s="1" t="s">
        <v>1612</v>
      </c>
      <c r="H377" s="1" t="s">
        <v>1613</v>
      </c>
      <c r="I377" s="1" t="s">
        <v>1614</v>
      </c>
      <c r="J377" s="1" t="s">
        <v>1615</v>
      </c>
      <c r="K377" s="1" t="s">
        <v>1616</v>
      </c>
      <c r="L377" s="1" t="s">
        <v>10</v>
      </c>
    </row>
    <row r="378" spans="1:12" ht="15.75" customHeight="1" x14ac:dyDescent="0.25">
      <c r="A378" s="1" t="s">
        <v>12</v>
      </c>
      <c r="B378" s="21">
        <v>6</v>
      </c>
      <c r="C378" s="1" t="s">
        <v>8374</v>
      </c>
      <c r="D378" s="21">
        <v>20</v>
      </c>
      <c r="E378" s="1" t="s">
        <v>1583</v>
      </c>
      <c r="F378" s="21">
        <v>8</v>
      </c>
      <c r="G378" s="1" t="s">
        <v>1617</v>
      </c>
      <c r="H378" s="1" t="s">
        <v>1618</v>
      </c>
      <c r="I378" s="1" t="s">
        <v>1619</v>
      </c>
      <c r="J378" s="1" t="s">
        <v>1620</v>
      </c>
      <c r="K378" s="1" t="s">
        <v>1621</v>
      </c>
      <c r="L378" s="1" t="s">
        <v>8</v>
      </c>
    </row>
    <row r="379" spans="1:12" ht="15.75" customHeight="1" x14ac:dyDescent="0.25">
      <c r="A379" s="1" t="s">
        <v>12</v>
      </c>
      <c r="B379" s="21">
        <v>6</v>
      </c>
      <c r="C379" s="1" t="s">
        <v>8374</v>
      </c>
      <c r="D379" s="21">
        <v>20</v>
      </c>
      <c r="E379" s="1" t="s">
        <v>1583</v>
      </c>
      <c r="F379" s="21">
        <v>9</v>
      </c>
      <c r="G379" s="1" t="s">
        <v>1622</v>
      </c>
      <c r="H379" s="1" t="s">
        <v>1623</v>
      </c>
      <c r="I379" s="1" t="s">
        <v>1624</v>
      </c>
      <c r="J379" s="1" t="s">
        <v>1625</v>
      </c>
      <c r="K379" s="1" t="s">
        <v>1626</v>
      </c>
      <c r="L379" s="1" t="s">
        <v>9</v>
      </c>
    </row>
    <row r="380" spans="1:12" ht="15.75" customHeight="1" x14ac:dyDescent="0.25">
      <c r="A380" s="1" t="s">
        <v>12</v>
      </c>
      <c r="B380" s="21">
        <v>6</v>
      </c>
      <c r="C380" s="1" t="s">
        <v>8374</v>
      </c>
      <c r="D380" s="21">
        <v>20</v>
      </c>
      <c r="E380" s="1" t="s">
        <v>1583</v>
      </c>
      <c r="F380" s="21">
        <v>10</v>
      </c>
      <c r="G380" s="1" t="s">
        <v>1627</v>
      </c>
      <c r="H380" s="1" t="s">
        <v>1628</v>
      </c>
      <c r="I380" s="1" t="s">
        <v>1629</v>
      </c>
      <c r="J380" s="1" t="s">
        <v>1630</v>
      </c>
      <c r="K380" s="1" t="s">
        <v>1631</v>
      </c>
      <c r="L380" s="1" t="s">
        <v>8</v>
      </c>
    </row>
    <row r="381" spans="1:12" ht="15.75" customHeight="1" x14ac:dyDescent="0.25">
      <c r="A381" s="1" t="s">
        <v>12</v>
      </c>
      <c r="B381" s="21">
        <v>6</v>
      </c>
      <c r="C381" s="1" t="s">
        <v>8374</v>
      </c>
      <c r="D381" s="21">
        <v>20</v>
      </c>
      <c r="E381" s="1" t="s">
        <v>1583</v>
      </c>
      <c r="F381" s="21">
        <v>11</v>
      </c>
      <c r="G381" s="1" t="s">
        <v>1632</v>
      </c>
      <c r="H381" s="1" t="s">
        <v>1633</v>
      </c>
      <c r="I381" s="1" t="s">
        <v>1634</v>
      </c>
      <c r="J381" s="1" t="s">
        <v>1635</v>
      </c>
      <c r="K381" s="1" t="s">
        <v>1636</v>
      </c>
      <c r="L381" s="1" t="s">
        <v>9</v>
      </c>
    </row>
    <row r="382" spans="1:12" ht="15.75" customHeight="1" x14ac:dyDescent="0.25">
      <c r="A382" s="1" t="s">
        <v>12</v>
      </c>
      <c r="B382" s="21">
        <v>6</v>
      </c>
      <c r="C382" s="1" t="s">
        <v>8374</v>
      </c>
      <c r="D382" s="21">
        <v>20</v>
      </c>
      <c r="E382" s="1" t="s">
        <v>1583</v>
      </c>
      <c r="F382" s="21">
        <v>12</v>
      </c>
      <c r="G382" s="1" t="s">
        <v>1637</v>
      </c>
      <c r="H382" s="1" t="s">
        <v>1638</v>
      </c>
      <c r="I382" s="1" t="s">
        <v>1639</v>
      </c>
      <c r="J382" s="1" t="s">
        <v>1640</v>
      </c>
      <c r="K382" s="1" t="s">
        <v>1641</v>
      </c>
      <c r="L382" s="1" t="s">
        <v>8</v>
      </c>
    </row>
    <row r="383" spans="1:12" ht="15.75" customHeight="1" x14ac:dyDescent="0.25">
      <c r="A383" s="1" t="s">
        <v>12</v>
      </c>
      <c r="B383" s="21">
        <v>6</v>
      </c>
      <c r="C383" s="1" t="s">
        <v>8374</v>
      </c>
      <c r="D383" s="21">
        <v>20</v>
      </c>
      <c r="E383" s="1" t="s">
        <v>1583</v>
      </c>
      <c r="F383" s="21">
        <v>13</v>
      </c>
      <c r="G383" s="1" t="s">
        <v>1642</v>
      </c>
      <c r="H383" s="1" t="s">
        <v>1643</v>
      </c>
      <c r="I383" s="1" t="s">
        <v>1644</v>
      </c>
      <c r="J383" s="1" t="s">
        <v>1645</v>
      </c>
      <c r="K383" s="1" t="s">
        <v>1646</v>
      </c>
      <c r="L383" s="1" t="s">
        <v>10</v>
      </c>
    </row>
    <row r="384" spans="1:12" ht="15.75" customHeight="1" x14ac:dyDescent="0.25">
      <c r="A384" s="1" t="s">
        <v>12</v>
      </c>
      <c r="B384" s="21">
        <v>6</v>
      </c>
      <c r="C384" s="1" t="s">
        <v>8374</v>
      </c>
      <c r="D384" s="21">
        <v>20</v>
      </c>
      <c r="E384" s="1" t="s">
        <v>1583</v>
      </c>
      <c r="F384" s="21">
        <v>14</v>
      </c>
      <c r="G384" s="1" t="s">
        <v>1647</v>
      </c>
      <c r="H384" s="1" t="s">
        <v>1648</v>
      </c>
      <c r="I384" s="1" t="s">
        <v>1649</v>
      </c>
      <c r="J384" s="1" t="s">
        <v>1650</v>
      </c>
      <c r="K384" s="1" t="s">
        <v>1651</v>
      </c>
      <c r="L384" s="1" t="s">
        <v>8</v>
      </c>
    </row>
    <row r="385" spans="1:12" ht="15.75" customHeight="1" x14ac:dyDescent="0.25">
      <c r="A385" s="1" t="s">
        <v>12</v>
      </c>
      <c r="B385" s="21">
        <v>6</v>
      </c>
      <c r="C385" s="1" t="s">
        <v>8374</v>
      </c>
      <c r="D385" s="21">
        <v>20</v>
      </c>
      <c r="E385" s="1" t="s">
        <v>1583</v>
      </c>
      <c r="F385" s="21">
        <v>15</v>
      </c>
      <c r="G385" s="1" t="s">
        <v>1652</v>
      </c>
      <c r="H385" s="1" t="s">
        <v>1653</v>
      </c>
      <c r="I385" s="1" t="s">
        <v>1654</v>
      </c>
      <c r="J385" s="1" t="s">
        <v>1655</v>
      </c>
      <c r="K385" s="1" t="s">
        <v>1656</v>
      </c>
      <c r="L385" s="1" t="s">
        <v>10</v>
      </c>
    </row>
    <row r="386" spans="1:12" ht="15.75" customHeight="1" x14ac:dyDescent="0.25">
      <c r="A386" s="1" t="s">
        <v>12</v>
      </c>
      <c r="B386" s="21">
        <v>6</v>
      </c>
      <c r="C386" s="1" t="s">
        <v>8374</v>
      </c>
      <c r="D386" s="21">
        <v>20</v>
      </c>
      <c r="E386" s="1" t="s">
        <v>1583</v>
      </c>
      <c r="F386" s="21">
        <v>16</v>
      </c>
      <c r="G386" s="1" t="s">
        <v>1657</v>
      </c>
      <c r="H386" s="1" t="s">
        <v>1658</v>
      </c>
      <c r="I386" s="1" t="s">
        <v>1659</v>
      </c>
      <c r="J386" s="1" t="s">
        <v>1660</v>
      </c>
      <c r="K386" s="1" t="s">
        <v>1661</v>
      </c>
      <c r="L386" s="1" t="s">
        <v>10</v>
      </c>
    </row>
    <row r="387" spans="1:12" ht="15.75" customHeight="1" x14ac:dyDescent="0.25">
      <c r="A387" s="1" t="s">
        <v>12</v>
      </c>
      <c r="B387" s="21">
        <v>6</v>
      </c>
      <c r="C387" s="1" t="s">
        <v>8374</v>
      </c>
      <c r="D387" s="21">
        <v>20</v>
      </c>
      <c r="E387" s="1" t="s">
        <v>1583</v>
      </c>
      <c r="F387" s="21">
        <v>17</v>
      </c>
      <c r="G387" s="1" t="s">
        <v>1662</v>
      </c>
      <c r="H387" s="1" t="s">
        <v>1663</v>
      </c>
      <c r="I387" s="1" t="s">
        <v>1664</v>
      </c>
      <c r="J387" s="1" t="s">
        <v>1665</v>
      </c>
      <c r="K387" s="1" t="s">
        <v>1666</v>
      </c>
      <c r="L387" s="1" t="s">
        <v>10</v>
      </c>
    </row>
    <row r="388" spans="1:12" ht="15.75" customHeight="1" x14ac:dyDescent="0.25">
      <c r="A388" s="1" t="s">
        <v>12</v>
      </c>
      <c r="B388" s="21">
        <v>6</v>
      </c>
      <c r="C388" s="1" t="s">
        <v>8374</v>
      </c>
      <c r="D388" s="21">
        <v>20</v>
      </c>
      <c r="E388" s="1" t="s">
        <v>1583</v>
      </c>
      <c r="F388" s="21">
        <v>18</v>
      </c>
      <c r="G388" s="1" t="s">
        <v>1667</v>
      </c>
      <c r="H388" s="1" t="s">
        <v>1668</v>
      </c>
      <c r="I388" s="1" t="s">
        <v>1669</v>
      </c>
      <c r="J388" s="1" t="s">
        <v>1670</v>
      </c>
      <c r="K388" s="1" t="s">
        <v>1363</v>
      </c>
      <c r="L388" s="1" t="s">
        <v>8</v>
      </c>
    </row>
    <row r="389" spans="1:12" ht="15.75" customHeight="1" x14ac:dyDescent="0.25">
      <c r="A389" s="1" t="s">
        <v>12</v>
      </c>
      <c r="B389" s="21">
        <v>6</v>
      </c>
      <c r="C389" s="1" t="s">
        <v>8374</v>
      </c>
      <c r="D389" s="21">
        <v>20</v>
      </c>
      <c r="E389" s="1" t="s">
        <v>1583</v>
      </c>
      <c r="F389" s="21">
        <v>19</v>
      </c>
      <c r="G389" s="1" t="s">
        <v>1671</v>
      </c>
      <c r="H389" s="1" t="s">
        <v>1672</v>
      </c>
      <c r="I389" s="1" t="s">
        <v>1673</v>
      </c>
      <c r="J389" s="1" t="s">
        <v>1674</v>
      </c>
      <c r="K389" s="1" t="s">
        <v>1296</v>
      </c>
      <c r="L389" s="1" t="s">
        <v>8</v>
      </c>
    </row>
    <row r="390" spans="1:12" ht="15.75" customHeight="1" x14ac:dyDescent="0.25">
      <c r="A390" s="1" t="s">
        <v>12</v>
      </c>
      <c r="B390" s="21">
        <v>6</v>
      </c>
      <c r="C390" s="1" t="s">
        <v>8374</v>
      </c>
      <c r="D390" s="21">
        <v>20</v>
      </c>
      <c r="E390" s="1" t="s">
        <v>1583</v>
      </c>
      <c r="F390" s="21">
        <v>20</v>
      </c>
      <c r="G390" s="1" t="s">
        <v>1675</v>
      </c>
      <c r="H390" s="1" t="s">
        <v>1676</v>
      </c>
      <c r="I390" s="1" t="s">
        <v>1677</v>
      </c>
      <c r="J390" s="1" t="s">
        <v>1678</v>
      </c>
      <c r="K390" s="1" t="s">
        <v>1363</v>
      </c>
      <c r="L390" s="1" t="s">
        <v>10</v>
      </c>
    </row>
    <row r="391" spans="1:12" ht="15.75" customHeight="1" x14ac:dyDescent="0.25">
      <c r="A391" s="1" t="s">
        <v>12</v>
      </c>
      <c r="B391" s="21">
        <v>6</v>
      </c>
      <c r="C391" s="1" t="s">
        <v>8374</v>
      </c>
      <c r="D391" s="21">
        <v>21</v>
      </c>
      <c r="E391" s="1" t="s">
        <v>1679</v>
      </c>
      <c r="F391" s="21">
        <v>1</v>
      </c>
      <c r="G391" s="1" t="s">
        <v>1680</v>
      </c>
      <c r="H391" s="1" t="s">
        <v>1681</v>
      </c>
      <c r="I391" s="1" t="s">
        <v>1682</v>
      </c>
      <c r="J391" s="1" t="s">
        <v>1683</v>
      </c>
      <c r="K391" s="1" t="s">
        <v>1684</v>
      </c>
      <c r="L391" s="1" t="s">
        <v>9</v>
      </c>
    </row>
    <row r="392" spans="1:12" ht="15.75" customHeight="1" x14ac:dyDescent="0.25">
      <c r="A392" s="1" t="s">
        <v>12</v>
      </c>
      <c r="B392" s="21">
        <v>6</v>
      </c>
      <c r="C392" s="1" t="s">
        <v>8374</v>
      </c>
      <c r="D392" s="21">
        <v>21</v>
      </c>
      <c r="E392" s="1" t="s">
        <v>1679</v>
      </c>
      <c r="F392" s="21">
        <v>2</v>
      </c>
      <c r="G392" s="1" t="s">
        <v>1685</v>
      </c>
      <c r="H392" s="1" t="s">
        <v>1686</v>
      </c>
      <c r="I392" s="1" t="s">
        <v>1687</v>
      </c>
      <c r="J392" s="1" t="s">
        <v>1688</v>
      </c>
      <c r="K392" s="1" t="s">
        <v>1689</v>
      </c>
      <c r="L392" s="1" t="s">
        <v>8</v>
      </c>
    </row>
    <row r="393" spans="1:12" ht="15.75" customHeight="1" x14ac:dyDescent="0.25">
      <c r="A393" s="1" t="s">
        <v>12</v>
      </c>
      <c r="B393" s="21">
        <v>6</v>
      </c>
      <c r="C393" s="1" t="s">
        <v>8374</v>
      </c>
      <c r="D393" s="21">
        <v>21</v>
      </c>
      <c r="E393" s="1" t="s">
        <v>1679</v>
      </c>
      <c r="F393" s="21">
        <v>3</v>
      </c>
      <c r="G393" s="1" t="s">
        <v>1690</v>
      </c>
      <c r="H393" s="1" t="s">
        <v>1691</v>
      </c>
      <c r="I393" s="1" t="s">
        <v>1692</v>
      </c>
      <c r="J393" s="1" t="s">
        <v>1693</v>
      </c>
      <c r="K393" s="1" t="s">
        <v>1694</v>
      </c>
      <c r="L393" s="1" t="s">
        <v>7</v>
      </c>
    </row>
    <row r="394" spans="1:12" ht="15.75" customHeight="1" x14ac:dyDescent="0.25">
      <c r="A394" s="1" t="s">
        <v>12</v>
      </c>
      <c r="B394" s="21">
        <v>6</v>
      </c>
      <c r="C394" s="1" t="s">
        <v>8374</v>
      </c>
      <c r="D394" s="21">
        <v>21</v>
      </c>
      <c r="E394" s="1" t="s">
        <v>1679</v>
      </c>
      <c r="F394" s="21">
        <v>4</v>
      </c>
      <c r="G394" s="1" t="s">
        <v>1695</v>
      </c>
      <c r="H394" s="1" t="s">
        <v>1696</v>
      </c>
      <c r="I394" s="1" t="s">
        <v>1697</v>
      </c>
      <c r="J394" s="1" t="s">
        <v>1698</v>
      </c>
      <c r="K394" s="1" t="s">
        <v>1699</v>
      </c>
      <c r="L394" s="1" t="s">
        <v>9</v>
      </c>
    </row>
    <row r="395" spans="1:12" ht="15.75" customHeight="1" x14ac:dyDescent="0.25">
      <c r="A395" s="1" t="s">
        <v>12</v>
      </c>
      <c r="B395" s="21">
        <v>6</v>
      </c>
      <c r="C395" s="1" t="s">
        <v>8374</v>
      </c>
      <c r="D395" s="21">
        <v>21</v>
      </c>
      <c r="E395" s="1" t="s">
        <v>1679</v>
      </c>
      <c r="F395" s="21">
        <v>5</v>
      </c>
      <c r="G395" s="1" t="s">
        <v>1700</v>
      </c>
      <c r="H395" s="1" t="s">
        <v>1701</v>
      </c>
      <c r="I395" s="1" t="s">
        <v>1702</v>
      </c>
      <c r="J395" s="1" t="s">
        <v>1703</v>
      </c>
      <c r="K395" s="1" t="s">
        <v>1704</v>
      </c>
      <c r="L395" s="1" t="s">
        <v>10</v>
      </c>
    </row>
    <row r="396" spans="1:12" ht="15.75" customHeight="1" x14ac:dyDescent="0.25">
      <c r="A396" s="1" t="s">
        <v>12</v>
      </c>
      <c r="B396" s="21">
        <v>6</v>
      </c>
      <c r="C396" s="1" t="s">
        <v>8374</v>
      </c>
      <c r="D396" s="21">
        <v>21</v>
      </c>
      <c r="E396" s="1" t="s">
        <v>1679</v>
      </c>
      <c r="F396" s="21">
        <v>6</v>
      </c>
      <c r="G396" s="1" t="s">
        <v>1705</v>
      </c>
      <c r="H396" s="1" t="s">
        <v>1706</v>
      </c>
      <c r="I396" s="1" t="s">
        <v>1707</v>
      </c>
      <c r="J396" s="1" t="s">
        <v>1708</v>
      </c>
      <c r="K396" s="1" t="s">
        <v>1709</v>
      </c>
      <c r="L396" s="1" t="s">
        <v>10</v>
      </c>
    </row>
    <row r="397" spans="1:12" ht="15.75" customHeight="1" x14ac:dyDescent="0.25">
      <c r="A397" s="1" t="s">
        <v>12</v>
      </c>
      <c r="B397" s="21">
        <v>6</v>
      </c>
      <c r="C397" s="1" t="s">
        <v>8374</v>
      </c>
      <c r="D397" s="21">
        <v>21</v>
      </c>
      <c r="E397" s="1" t="s">
        <v>1679</v>
      </c>
      <c r="F397" s="21">
        <v>7</v>
      </c>
      <c r="G397" s="1" t="s">
        <v>1710</v>
      </c>
      <c r="H397" s="1" t="s">
        <v>1711</v>
      </c>
      <c r="I397" s="1" t="s">
        <v>1712</v>
      </c>
      <c r="J397" s="1" t="s">
        <v>1713</v>
      </c>
      <c r="K397" s="1" t="s">
        <v>1714</v>
      </c>
      <c r="L397" s="1" t="s">
        <v>10</v>
      </c>
    </row>
    <row r="398" spans="1:12" ht="15.75" customHeight="1" x14ac:dyDescent="0.25">
      <c r="A398" s="1" t="s">
        <v>12</v>
      </c>
      <c r="B398" s="21">
        <v>6</v>
      </c>
      <c r="C398" s="1" t="s">
        <v>8374</v>
      </c>
      <c r="D398" s="21">
        <v>21</v>
      </c>
      <c r="E398" s="1" t="s">
        <v>1679</v>
      </c>
      <c r="F398" s="21">
        <v>8</v>
      </c>
      <c r="G398" s="1" t="s">
        <v>1715</v>
      </c>
      <c r="H398" s="1" t="s">
        <v>1716</v>
      </c>
      <c r="I398" s="1" t="s">
        <v>1717</v>
      </c>
      <c r="J398" s="1" t="s">
        <v>1718</v>
      </c>
      <c r="K398" s="1" t="s">
        <v>1719</v>
      </c>
      <c r="L398" s="1" t="s">
        <v>9</v>
      </c>
    </row>
    <row r="399" spans="1:12" ht="15.75" customHeight="1" x14ac:dyDescent="0.25">
      <c r="A399" s="1" t="s">
        <v>12</v>
      </c>
      <c r="B399" s="21">
        <v>6</v>
      </c>
      <c r="C399" s="1" t="s">
        <v>8374</v>
      </c>
      <c r="D399" s="21">
        <v>21</v>
      </c>
      <c r="E399" s="1" t="s">
        <v>1679</v>
      </c>
      <c r="F399" s="21">
        <v>9</v>
      </c>
      <c r="G399" s="1" t="s">
        <v>1720</v>
      </c>
      <c r="H399" s="1" t="s">
        <v>1329</v>
      </c>
      <c r="I399" s="1" t="s">
        <v>1721</v>
      </c>
      <c r="J399" s="1" t="s">
        <v>1722</v>
      </c>
      <c r="K399" s="1" t="s">
        <v>1723</v>
      </c>
      <c r="L399" s="1" t="s">
        <v>10</v>
      </c>
    </row>
    <row r="400" spans="1:12" ht="15.75" customHeight="1" x14ac:dyDescent="0.25">
      <c r="A400" s="1" t="s">
        <v>12</v>
      </c>
      <c r="B400" s="21">
        <v>6</v>
      </c>
      <c r="C400" s="1" t="s">
        <v>8374</v>
      </c>
      <c r="D400" s="21">
        <v>21</v>
      </c>
      <c r="E400" s="1" t="s">
        <v>1679</v>
      </c>
      <c r="F400" s="21">
        <v>10</v>
      </c>
      <c r="G400" s="1" t="s">
        <v>1724</v>
      </c>
      <c r="H400" s="1" t="s">
        <v>1725</v>
      </c>
      <c r="I400" s="1" t="s">
        <v>1726</v>
      </c>
      <c r="J400" s="1" t="s">
        <v>1727</v>
      </c>
      <c r="K400" s="1" t="s">
        <v>1464</v>
      </c>
      <c r="L400" s="1" t="s">
        <v>9</v>
      </c>
    </row>
    <row r="401" spans="1:12" ht="15.75" customHeight="1" x14ac:dyDescent="0.25">
      <c r="A401" s="1" t="s">
        <v>12</v>
      </c>
      <c r="B401" s="21">
        <v>6</v>
      </c>
      <c r="C401" s="1" t="s">
        <v>8374</v>
      </c>
      <c r="D401" s="21">
        <v>21</v>
      </c>
      <c r="E401" s="1" t="s">
        <v>1679</v>
      </c>
      <c r="F401" s="21">
        <v>11</v>
      </c>
      <c r="G401" s="1" t="s">
        <v>1728</v>
      </c>
      <c r="H401" s="1" t="s">
        <v>1729</v>
      </c>
      <c r="I401" s="1" t="s">
        <v>1730</v>
      </c>
      <c r="J401" s="1" t="s">
        <v>1731</v>
      </c>
      <c r="K401" s="1" t="s">
        <v>1732</v>
      </c>
      <c r="L401" s="1" t="s">
        <v>9</v>
      </c>
    </row>
    <row r="402" spans="1:12" ht="15.75" customHeight="1" x14ac:dyDescent="0.25">
      <c r="A402" s="1" t="s">
        <v>12</v>
      </c>
      <c r="B402" s="21">
        <v>6</v>
      </c>
      <c r="C402" s="1" t="s">
        <v>8374</v>
      </c>
      <c r="D402" s="21">
        <v>21</v>
      </c>
      <c r="E402" s="1" t="s">
        <v>1679</v>
      </c>
      <c r="F402" s="21">
        <v>12</v>
      </c>
      <c r="G402" s="1" t="s">
        <v>1733</v>
      </c>
      <c r="H402" s="1" t="s">
        <v>1734</v>
      </c>
      <c r="I402" s="1" t="s">
        <v>1735</v>
      </c>
      <c r="J402" s="1" t="s">
        <v>1736</v>
      </c>
      <c r="K402" s="1" t="s">
        <v>1737</v>
      </c>
      <c r="L402" s="1" t="s">
        <v>10</v>
      </c>
    </row>
    <row r="403" spans="1:12" ht="15.75" customHeight="1" x14ac:dyDescent="0.25">
      <c r="A403" s="1" t="s">
        <v>12</v>
      </c>
      <c r="B403" s="21">
        <v>6</v>
      </c>
      <c r="C403" s="1" t="s">
        <v>8374</v>
      </c>
      <c r="D403" s="21">
        <v>21</v>
      </c>
      <c r="E403" s="1" t="s">
        <v>1679</v>
      </c>
      <c r="F403" s="21">
        <v>13</v>
      </c>
      <c r="G403" s="1" t="s">
        <v>1738</v>
      </c>
      <c r="H403" s="1" t="s">
        <v>1739</v>
      </c>
      <c r="I403" s="1" t="s">
        <v>1740</v>
      </c>
      <c r="J403" s="1" t="s">
        <v>1741</v>
      </c>
      <c r="K403" s="1" t="s">
        <v>1742</v>
      </c>
      <c r="L403" s="1" t="s">
        <v>9</v>
      </c>
    </row>
    <row r="404" spans="1:12" ht="15.75" customHeight="1" x14ac:dyDescent="0.25">
      <c r="A404" s="1" t="s">
        <v>12</v>
      </c>
      <c r="B404" s="21">
        <v>6</v>
      </c>
      <c r="C404" s="1" t="s">
        <v>8374</v>
      </c>
      <c r="D404" s="21">
        <v>21</v>
      </c>
      <c r="E404" s="1" t="s">
        <v>1679</v>
      </c>
      <c r="F404" s="21">
        <v>14</v>
      </c>
      <c r="G404" s="1" t="s">
        <v>1743</v>
      </c>
      <c r="H404" s="1" t="s">
        <v>1744</v>
      </c>
      <c r="I404" s="1" t="s">
        <v>1745</v>
      </c>
      <c r="J404" s="1" t="s">
        <v>1746</v>
      </c>
      <c r="K404" s="1" t="s">
        <v>1747</v>
      </c>
      <c r="L404" s="1" t="s">
        <v>7</v>
      </c>
    </row>
    <row r="405" spans="1:12" ht="15.75" customHeight="1" x14ac:dyDescent="0.25">
      <c r="A405" s="1" t="s">
        <v>12</v>
      </c>
      <c r="B405" s="21">
        <v>6</v>
      </c>
      <c r="C405" s="1" t="s">
        <v>8374</v>
      </c>
      <c r="D405" s="21">
        <v>21</v>
      </c>
      <c r="E405" s="1" t="s">
        <v>1679</v>
      </c>
      <c r="F405" s="21">
        <v>15</v>
      </c>
      <c r="G405" s="1" t="s">
        <v>1748</v>
      </c>
      <c r="H405" s="1" t="s">
        <v>1749</v>
      </c>
      <c r="I405" s="1" t="s">
        <v>1750</v>
      </c>
      <c r="J405" s="1" t="s">
        <v>1751</v>
      </c>
      <c r="K405" s="1" t="s">
        <v>1752</v>
      </c>
      <c r="L405" s="1" t="s">
        <v>9</v>
      </c>
    </row>
    <row r="406" spans="1:12" ht="15.75" customHeight="1" x14ac:dyDescent="0.25">
      <c r="A406" s="1" t="s">
        <v>12</v>
      </c>
      <c r="B406" s="21">
        <v>6</v>
      </c>
      <c r="C406" s="1" t="s">
        <v>8374</v>
      </c>
      <c r="D406" s="21">
        <v>21</v>
      </c>
      <c r="E406" s="1" t="s">
        <v>1679</v>
      </c>
      <c r="F406" s="21">
        <v>16</v>
      </c>
      <c r="G406" s="1" t="s">
        <v>1753</v>
      </c>
      <c r="H406" s="1" t="s">
        <v>1754</v>
      </c>
      <c r="I406" s="1" t="s">
        <v>1755</v>
      </c>
      <c r="J406" s="1" t="s">
        <v>1756</v>
      </c>
      <c r="K406" s="1" t="s">
        <v>1296</v>
      </c>
      <c r="L406" s="1" t="s">
        <v>7</v>
      </c>
    </row>
    <row r="407" spans="1:12" ht="15.75" customHeight="1" x14ac:dyDescent="0.25">
      <c r="A407" s="1" t="s">
        <v>12</v>
      </c>
      <c r="B407" s="21">
        <v>6</v>
      </c>
      <c r="C407" s="1" t="s">
        <v>8374</v>
      </c>
      <c r="D407" s="21">
        <v>21</v>
      </c>
      <c r="E407" s="1" t="s">
        <v>1679</v>
      </c>
      <c r="F407" s="21">
        <v>17</v>
      </c>
      <c r="G407" s="1" t="s">
        <v>1757</v>
      </c>
      <c r="H407" s="1" t="s">
        <v>1758</v>
      </c>
      <c r="I407" s="1" t="s">
        <v>1759</v>
      </c>
      <c r="J407" s="1" t="s">
        <v>1760</v>
      </c>
      <c r="K407" s="1" t="s">
        <v>1295</v>
      </c>
      <c r="L407" s="1" t="s">
        <v>10</v>
      </c>
    </row>
    <row r="408" spans="1:12" ht="15.75" customHeight="1" x14ac:dyDescent="0.25">
      <c r="A408" s="1" t="s">
        <v>12</v>
      </c>
      <c r="B408" s="21">
        <v>6</v>
      </c>
      <c r="C408" s="1" t="s">
        <v>8374</v>
      </c>
      <c r="D408" s="21">
        <v>21</v>
      </c>
      <c r="E408" s="1" t="s">
        <v>1679</v>
      </c>
      <c r="F408" s="21">
        <v>18</v>
      </c>
      <c r="G408" s="1" t="s">
        <v>1761</v>
      </c>
      <c r="H408" s="1" t="s">
        <v>1762</v>
      </c>
      <c r="I408" s="1" t="s">
        <v>1763</v>
      </c>
      <c r="J408" s="1" t="s">
        <v>1764</v>
      </c>
      <c r="K408" s="1" t="s">
        <v>1765</v>
      </c>
      <c r="L408" s="1" t="s">
        <v>7</v>
      </c>
    </row>
    <row r="409" spans="1:12" ht="15.75" customHeight="1" x14ac:dyDescent="0.25">
      <c r="A409" s="1" t="s">
        <v>12</v>
      </c>
      <c r="B409" s="21">
        <v>6</v>
      </c>
      <c r="C409" s="1" t="s">
        <v>8374</v>
      </c>
      <c r="D409" s="21">
        <v>21</v>
      </c>
      <c r="E409" s="1" t="s">
        <v>1679</v>
      </c>
      <c r="F409" s="21">
        <v>19</v>
      </c>
      <c r="G409" s="1" t="s">
        <v>1766</v>
      </c>
      <c r="H409" s="1" t="s">
        <v>1767</v>
      </c>
      <c r="I409" s="1" t="s">
        <v>1768</v>
      </c>
      <c r="J409" s="1" t="s">
        <v>1769</v>
      </c>
      <c r="K409" s="1" t="s">
        <v>1770</v>
      </c>
      <c r="L409" s="1" t="s">
        <v>7</v>
      </c>
    </row>
    <row r="410" spans="1:12" ht="15.75" customHeight="1" x14ac:dyDescent="0.25">
      <c r="A410" s="1" t="s">
        <v>12</v>
      </c>
      <c r="B410" s="21">
        <v>6</v>
      </c>
      <c r="C410" s="1" t="s">
        <v>8374</v>
      </c>
      <c r="D410" s="21">
        <v>21</v>
      </c>
      <c r="E410" s="1" t="s">
        <v>1679</v>
      </c>
      <c r="F410" s="21">
        <v>20</v>
      </c>
      <c r="G410" s="1" t="s">
        <v>1771</v>
      </c>
      <c r="H410" s="1" t="s">
        <v>1772</v>
      </c>
      <c r="I410" s="1" t="s">
        <v>1773</v>
      </c>
      <c r="J410" s="1" t="s">
        <v>1774</v>
      </c>
      <c r="K410" s="1" t="s">
        <v>1775</v>
      </c>
      <c r="L410" s="1" t="s">
        <v>9</v>
      </c>
    </row>
    <row r="411" spans="1:12" ht="15.75" customHeight="1" x14ac:dyDescent="0.25">
      <c r="A411" s="1" t="s">
        <v>12</v>
      </c>
      <c r="B411" s="21">
        <v>6</v>
      </c>
      <c r="C411" s="1" t="s">
        <v>8374</v>
      </c>
      <c r="D411" s="21">
        <v>21</v>
      </c>
      <c r="E411" s="1" t="s">
        <v>1679</v>
      </c>
      <c r="F411" s="21">
        <v>21</v>
      </c>
      <c r="G411" s="1" t="s">
        <v>1409</v>
      </c>
      <c r="H411" s="1" t="s">
        <v>1776</v>
      </c>
      <c r="I411" s="1" t="s">
        <v>1777</v>
      </c>
      <c r="J411" s="1" t="s">
        <v>1778</v>
      </c>
      <c r="K411" s="1" t="s">
        <v>1779</v>
      </c>
      <c r="L411" s="1" t="s">
        <v>8</v>
      </c>
    </row>
    <row r="412" spans="1:12" ht="15.75" customHeight="1" x14ac:dyDescent="0.25">
      <c r="A412" s="1" t="s">
        <v>12</v>
      </c>
      <c r="B412" s="21">
        <v>6</v>
      </c>
      <c r="C412" s="1" t="s">
        <v>8374</v>
      </c>
      <c r="D412" s="21">
        <v>22</v>
      </c>
      <c r="E412" s="1" t="s">
        <v>1780</v>
      </c>
      <c r="F412" s="21">
        <v>1</v>
      </c>
      <c r="G412" s="1" t="s">
        <v>1781</v>
      </c>
      <c r="H412" s="1" t="s">
        <v>1782</v>
      </c>
      <c r="I412" s="1" t="s">
        <v>1783</v>
      </c>
      <c r="J412" s="1" t="s">
        <v>1784</v>
      </c>
      <c r="K412" s="1" t="s">
        <v>1785</v>
      </c>
      <c r="L412" s="1" t="s">
        <v>7</v>
      </c>
    </row>
    <row r="413" spans="1:12" ht="15.75" customHeight="1" x14ac:dyDescent="0.25">
      <c r="A413" s="1" t="s">
        <v>12</v>
      </c>
      <c r="B413" s="21">
        <v>6</v>
      </c>
      <c r="C413" s="1" t="s">
        <v>8374</v>
      </c>
      <c r="D413" s="21">
        <v>22</v>
      </c>
      <c r="E413" s="1" t="s">
        <v>1780</v>
      </c>
      <c r="F413" s="21">
        <v>2</v>
      </c>
      <c r="G413" s="1" t="s">
        <v>1786</v>
      </c>
      <c r="H413" s="1" t="s">
        <v>1787</v>
      </c>
      <c r="I413" s="1" t="s">
        <v>1788</v>
      </c>
      <c r="J413" s="1" t="s">
        <v>1789</v>
      </c>
      <c r="K413" s="1" t="s">
        <v>1790</v>
      </c>
      <c r="L413" s="1" t="s">
        <v>9</v>
      </c>
    </row>
    <row r="414" spans="1:12" ht="15.75" customHeight="1" x14ac:dyDescent="0.25">
      <c r="A414" s="1" t="s">
        <v>12</v>
      </c>
      <c r="B414" s="21">
        <v>6</v>
      </c>
      <c r="C414" s="1" t="s">
        <v>8374</v>
      </c>
      <c r="D414" s="21">
        <v>22</v>
      </c>
      <c r="E414" s="1" t="s">
        <v>1780</v>
      </c>
      <c r="F414" s="21">
        <v>3</v>
      </c>
      <c r="G414" s="1" t="s">
        <v>1791</v>
      </c>
      <c r="H414" s="1" t="s">
        <v>1792</v>
      </c>
      <c r="I414" s="1" t="s">
        <v>1793</v>
      </c>
      <c r="J414" s="1" t="s">
        <v>1794</v>
      </c>
      <c r="K414" s="1" t="s">
        <v>1795</v>
      </c>
      <c r="L414" s="1" t="s">
        <v>9</v>
      </c>
    </row>
    <row r="415" spans="1:12" ht="15.75" customHeight="1" x14ac:dyDescent="0.25">
      <c r="A415" s="1" t="s">
        <v>12</v>
      </c>
      <c r="B415" s="21">
        <v>6</v>
      </c>
      <c r="C415" s="1" t="s">
        <v>8374</v>
      </c>
      <c r="D415" s="21">
        <v>22</v>
      </c>
      <c r="E415" s="1" t="s">
        <v>1780</v>
      </c>
      <c r="F415" s="21">
        <v>4</v>
      </c>
      <c r="G415" s="1" t="s">
        <v>1796</v>
      </c>
      <c r="H415" s="1" t="s">
        <v>1797</v>
      </c>
      <c r="I415" s="1" t="s">
        <v>1798</v>
      </c>
      <c r="J415" s="1" t="s">
        <v>1799</v>
      </c>
      <c r="K415" s="1" t="s">
        <v>1800</v>
      </c>
      <c r="L415" s="1" t="s">
        <v>9</v>
      </c>
    </row>
    <row r="416" spans="1:12" ht="15.75" customHeight="1" x14ac:dyDescent="0.25">
      <c r="A416" s="1" t="s">
        <v>12</v>
      </c>
      <c r="B416" s="21">
        <v>6</v>
      </c>
      <c r="C416" s="1" t="s">
        <v>8374</v>
      </c>
      <c r="D416" s="21">
        <v>22</v>
      </c>
      <c r="E416" s="1" t="s">
        <v>1780</v>
      </c>
      <c r="F416" s="21">
        <v>5</v>
      </c>
      <c r="G416" s="1" t="s">
        <v>1801</v>
      </c>
      <c r="H416" s="1" t="s">
        <v>1802</v>
      </c>
      <c r="I416" s="1" t="s">
        <v>1803</v>
      </c>
      <c r="J416" s="1" t="s">
        <v>1804</v>
      </c>
      <c r="K416" s="1" t="s">
        <v>1805</v>
      </c>
      <c r="L416" s="1" t="s">
        <v>9</v>
      </c>
    </row>
    <row r="417" spans="1:12" ht="15.75" customHeight="1" x14ac:dyDescent="0.25">
      <c r="A417" s="1" t="s">
        <v>12</v>
      </c>
      <c r="B417" s="21">
        <v>6</v>
      </c>
      <c r="C417" s="1" t="s">
        <v>8374</v>
      </c>
      <c r="D417" s="21">
        <v>22</v>
      </c>
      <c r="E417" s="1" t="s">
        <v>1780</v>
      </c>
      <c r="F417" s="21">
        <v>6</v>
      </c>
      <c r="G417" s="1" t="s">
        <v>1806</v>
      </c>
      <c r="H417" s="1" t="s">
        <v>1807</v>
      </c>
      <c r="I417" s="1" t="s">
        <v>1808</v>
      </c>
      <c r="J417" s="1" t="s">
        <v>1809</v>
      </c>
      <c r="K417" s="1" t="s">
        <v>1810</v>
      </c>
      <c r="L417" s="1" t="s">
        <v>8</v>
      </c>
    </row>
    <row r="418" spans="1:12" ht="15.75" customHeight="1" x14ac:dyDescent="0.25">
      <c r="A418" s="1" t="s">
        <v>12</v>
      </c>
      <c r="B418" s="21">
        <v>6</v>
      </c>
      <c r="C418" s="1" t="s">
        <v>8374</v>
      </c>
      <c r="D418" s="21">
        <v>22</v>
      </c>
      <c r="E418" s="1" t="s">
        <v>1780</v>
      </c>
      <c r="F418" s="21">
        <v>7</v>
      </c>
      <c r="G418" s="1" t="s">
        <v>1811</v>
      </c>
      <c r="H418" s="1" t="s">
        <v>1812</v>
      </c>
      <c r="I418" s="1" t="s">
        <v>1813</v>
      </c>
      <c r="J418" s="1" t="s">
        <v>1814</v>
      </c>
      <c r="K418" s="1" t="s">
        <v>1815</v>
      </c>
      <c r="L418" s="1" t="s">
        <v>8</v>
      </c>
    </row>
    <row r="419" spans="1:12" ht="15.75" customHeight="1" x14ac:dyDescent="0.25">
      <c r="A419" s="1" t="s">
        <v>12</v>
      </c>
      <c r="B419" s="21">
        <v>6</v>
      </c>
      <c r="C419" s="1" t="s">
        <v>8374</v>
      </c>
      <c r="D419" s="21">
        <v>22</v>
      </c>
      <c r="E419" s="1" t="s">
        <v>1780</v>
      </c>
      <c r="F419" s="21">
        <v>8</v>
      </c>
      <c r="G419" s="1" t="s">
        <v>1816</v>
      </c>
      <c r="H419" s="1" t="s">
        <v>1817</v>
      </c>
      <c r="I419" s="1" t="s">
        <v>1818</v>
      </c>
      <c r="J419" s="1" t="s">
        <v>1819</v>
      </c>
      <c r="K419" s="1" t="s">
        <v>1820</v>
      </c>
      <c r="L419" s="1" t="s">
        <v>10</v>
      </c>
    </row>
    <row r="420" spans="1:12" ht="15.75" customHeight="1" x14ac:dyDescent="0.25">
      <c r="A420" s="1" t="s">
        <v>12</v>
      </c>
      <c r="B420" s="21">
        <v>6</v>
      </c>
      <c r="C420" s="1" t="s">
        <v>8374</v>
      </c>
      <c r="D420" s="21">
        <v>22</v>
      </c>
      <c r="E420" s="1" t="s">
        <v>1780</v>
      </c>
      <c r="F420" s="21">
        <v>9</v>
      </c>
      <c r="G420" s="1" t="s">
        <v>1821</v>
      </c>
      <c r="H420" s="1" t="s">
        <v>1822</v>
      </c>
      <c r="I420" s="1" t="s">
        <v>1823</v>
      </c>
      <c r="J420" s="1" t="s">
        <v>1824</v>
      </c>
      <c r="K420" s="1" t="s">
        <v>1825</v>
      </c>
      <c r="L420" s="1" t="s">
        <v>7</v>
      </c>
    </row>
    <row r="421" spans="1:12" ht="15.75" customHeight="1" x14ac:dyDescent="0.25">
      <c r="A421" s="1" t="s">
        <v>12</v>
      </c>
      <c r="B421" s="21">
        <v>6</v>
      </c>
      <c r="C421" s="1" t="s">
        <v>8374</v>
      </c>
      <c r="D421" s="21">
        <v>22</v>
      </c>
      <c r="E421" s="1" t="s">
        <v>1780</v>
      </c>
      <c r="F421" s="21">
        <v>10</v>
      </c>
      <c r="G421" s="1" t="s">
        <v>1826</v>
      </c>
      <c r="H421" s="1" t="s">
        <v>1827</v>
      </c>
      <c r="I421" s="1" t="s">
        <v>1828</v>
      </c>
      <c r="J421" s="1" t="s">
        <v>1829</v>
      </c>
      <c r="K421" s="1" t="s">
        <v>990</v>
      </c>
      <c r="L421" s="1" t="s">
        <v>10</v>
      </c>
    </row>
    <row r="422" spans="1:12" ht="15.75" customHeight="1" x14ac:dyDescent="0.25">
      <c r="A422" s="1" t="s">
        <v>12</v>
      </c>
      <c r="B422" s="21">
        <v>6</v>
      </c>
      <c r="C422" s="1" t="s">
        <v>8374</v>
      </c>
      <c r="D422" s="21">
        <v>22</v>
      </c>
      <c r="E422" s="1" t="s">
        <v>1780</v>
      </c>
      <c r="F422" s="21">
        <v>11</v>
      </c>
      <c r="G422" s="1" t="s">
        <v>1830</v>
      </c>
      <c r="H422" s="1" t="s">
        <v>1831</v>
      </c>
      <c r="I422" s="1" t="s">
        <v>1832</v>
      </c>
      <c r="J422" s="1" t="s">
        <v>1833</v>
      </c>
      <c r="K422" s="1" t="s">
        <v>1834</v>
      </c>
      <c r="L422" s="1" t="s">
        <v>9</v>
      </c>
    </row>
    <row r="423" spans="1:12" ht="15.75" customHeight="1" x14ac:dyDescent="0.25">
      <c r="A423" s="1" t="s">
        <v>12</v>
      </c>
      <c r="B423" s="21">
        <v>6</v>
      </c>
      <c r="C423" s="1" t="s">
        <v>8374</v>
      </c>
      <c r="D423" s="21">
        <v>22</v>
      </c>
      <c r="E423" s="1" t="s">
        <v>1780</v>
      </c>
      <c r="F423" s="21">
        <v>12</v>
      </c>
      <c r="G423" s="1" t="s">
        <v>1835</v>
      </c>
      <c r="H423" s="1" t="s">
        <v>1836</v>
      </c>
      <c r="I423" s="1" t="s">
        <v>1837</v>
      </c>
      <c r="J423" s="1" t="s">
        <v>1838</v>
      </c>
      <c r="K423" s="1" t="s">
        <v>1839</v>
      </c>
      <c r="L423" s="1" t="s">
        <v>8</v>
      </c>
    </row>
    <row r="424" spans="1:12" ht="15.75" customHeight="1" x14ac:dyDescent="0.25">
      <c r="A424" s="1" t="s">
        <v>12</v>
      </c>
      <c r="B424" s="21">
        <v>6</v>
      </c>
      <c r="C424" s="1" t="s">
        <v>8374</v>
      </c>
      <c r="D424" s="21">
        <v>22</v>
      </c>
      <c r="E424" s="1" t="s">
        <v>1780</v>
      </c>
      <c r="F424" s="21">
        <v>13</v>
      </c>
      <c r="G424" s="1" t="s">
        <v>1840</v>
      </c>
      <c r="H424" s="1" t="s">
        <v>1841</v>
      </c>
      <c r="I424" s="1" t="s">
        <v>1842</v>
      </c>
      <c r="J424" s="1" t="s">
        <v>1843</v>
      </c>
      <c r="K424" s="1" t="s">
        <v>1844</v>
      </c>
      <c r="L424" s="1" t="s">
        <v>9</v>
      </c>
    </row>
    <row r="425" spans="1:12" ht="15.75" customHeight="1" x14ac:dyDescent="0.25">
      <c r="A425" s="1" t="s">
        <v>12</v>
      </c>
      <c r="B425" s="21">
        <v>6</v>
      </c>
      <c r="C425" s="1" t="s">
        <v>8374</v>
      </c>
      <c r="D425" s="21">
        <v>22</v>
      </c>
      <c r="E425" s="1" t="s">
        <v>1780</v>
      </c>
      <c r="F425" s="21">
        <v>14</v>
      </c>
      <c r="G425" s="1" t="s">
        <v>1845</v>
      </c>
      <c r="H425" s="1" t="s">
        <v>1846</v>
      </c>
      <c r="I425" s="1" t="s">
        <v>1847</v>
      </c>
      <c r="J425" s="1" t="s">
        <v>1848</v>
      </c>
      <c r="K425" s="1" t="s">
        <v>1849</v>
      </c>
      <c r="L425" s="1" t="s">
        <v>9</v>
      </c>
    </row>
    <row r="426" spans="1:12" ht="15.75" customHeight="1" x14ac:dyDescent="0.25">
      <c r="A426" s="1" t="s">
        <v>12</v>
      </c>
      <c r="B426" s="21">
        <v>6</v>
      </c>
      <c r="C426" s="1" t="s">
        <v>8374</v>
      </c>
      <c r="D426" s="21">
        <v>22</v>
      </c>
      <c r="E426" s="1" t="s">
        <v>1780</v>
      </c>
      <c r="F426" s="21">
        <v>15</v>
      </c>
      <c r="G426" s="1" t="s">
        <v>1850</v>
      </c>
      <c r="H426" s="1" t="s">
        <v>1851</v>
      </c>
      <c r="I426" s="1" t="s">
        <v>1852</v>
      </c>
      <c r="J426" s="1" t="s">
        <v>1853</v>
      </c>
      <c r="K426" s="1" t="s">
        <v>1854</v>
      </c>
      <c r="L426" s="1" t="s">
        <v>10</v>
      </c>
    </row>
    <row r="427" spans="1:12" ht="15.75" customHeight="1" x14ac:dyDescent="0.25">
      <c r="A427" s="1" t="s">
        <v>12</v>
      </c>
      <c r="B427" s="21">
        <v>6</v>
      </c>
      <c r="C427" s="1" t="s">
        <v>8374</v>
      </c>
      <c r="D427" s="21">
        <v>22</v>
      </c>
      <c r="E427" s="1" t="s">
        <v>1780</v>
      </c>
      <c r="F427" s="21">
        <v>16</v>
      </c>
      <c r="G427" s="1" t="s">
        <v>1855</v>
      </c>
      <c r="H427" s="1" t="s">
        <v>1856</v>
      </c>
      <c r="I427" s="1" t="s">
        <v>1857</v>
      </c>
      <c r="J427" s="1" t="s">
        <v>1858</v>
      </c>
      <c r="K427" s="1" t="s">
        <v>1859</v>
      </c>
      <c r="L427" s="1" t="s">
        <v>7</v>
      </c>
    </row>
    <row r="428" spans="1:12" ht="15.75" customHeight="1" x14ac:dyDescent="0.25">
      <c r="A428" s="1" t="s">
        <v>12</v>
      </c>
      <c r="B428" s="21">
        <v>6</v>
      </c>
      <c r="C428" s="1" t="s">
        <v>8374</v>
      </c>
      <c r="D428" s="21">
        <v>22</v>
      </c>
      <c r="E428" s="1" t="s">
        <v>1780</v>
      </c>
      <c r="F428" s="21">
        <v>17</v>
      </c>
      <c r="G428" s="1" t="s">
        <v>1860</v>
      </c>
      <c r="H428" s="1" t="s">
        <v>1861</v>
      </c>
      <c r="I428" s="1" t="s">
        <v>1862</v>
      </c>
      <c r="J428" s="1" t="s">
        <v>1863</v>
      </c>
      <c r="K428" s="1" t="s">
        <v>1864</v>
      </c>
      <c r="L428" s="1" t="s">
        <v>10</v>
      </c>
    </row>
    <row r="429" spans="1:12" ht="15.75" customHeight="1" x14ac:dyDescent="0.25">
      <c r="A429" s="1" t="s">
        <v>12</v>
      </c>
      <c r="B429" s="21">
        <v>6</v>
      </c>
      <c r="C429" s="1" t="s">
        <v>8374</v>
      </c>
      <c r="D429" s="21">
        <v>22</v>
      </c>
      <c r="E429" s="1" t="s">
        <v>1780</v>
      </c>
      <c r="F429" s="21">
        <v>18</v>
      </c>
      <c r="G429" s="1" t="s">
        <v>1865</v>
      </c>
      <c r="H429" s="1" t="s">
        <v>1866</v>
      </c>
      <c r="I429" s="1" t="s">
        <v>1867</v>
      </c>
      <c r="J429" s="1" t="s">
        <v>1868</v>
      </c>
      <c r="K429" s="1" t="s">
        <v>1869</v>
      </c>
      <c r="L429" s="1" t="s">
        <v>8</v>
      </c>
    </row>
    <row r="430" spans="1:12" ht="15.75" customHeight="1" x14ac:dyDescent="0.25">
      <c r="A430" s="1" t="s">
        <v>12</v>
      </c>
      <c r="B430" s="21">
        <v>6</v>
      </c>
      <c r="C430" s="1" t="s">
        <v>8374</v>
      </c>
      <c r="D430" s="21">
        <v>22</v>
      </c>
      <c r="E430" s="1" t="s">
        <v>1780</v>
      </c>
      <c r="F430" s="21">
        <v>19</v>
      </c>
      <c r="G430" s="1" t="s">
        <v>1870</v>
      </c>
      <c r="H430" s="1" t="s">
        <v>1871</v>
      </c>
      <c r="I430" s="1" t="s">
        <v>1872</v>
      </c>
      <c r="J430" s="1" t="s">
        <v>1873</v>
      </c>
      <c r="K430" s="1" t="s">
        <v>990</v>
      </c>
      <c r="L430" s="1" t="s">
        <v>10</v>
      </c>
    </row>
    <row r="431" spans="1:12" ht="15.75" customHeight="1" x14ac:dyDescent="0.25">
      <c r="A431" s="1" t="s">
        <v>12</v>
      </c>
      <c r="B431" s="21">
        <v>6</v>
      </c>
      <c r="C431" s="1" t="s">
        <v>8374</v>
      </c>
      <c r="D431" s="21">
        <v>22</v>
      </c>
      <c r="E431" s="1" t="s">
        <v>1780</v>
      </c>
      <c r="F431" s="21">
        <v>20</v>
      </c>
      <c r="G431" s="1" t="s">
        <v>1314</v>
      </c>
      <c r="H431" s="1" t="s">
        <v>1874</v>
      </c>
      <c r="I431" s="1" t="s">
        <v>1875</v>
      </c>
      <c r="J431" s="1" t="s">
        <v>1876</v>
      </c>
      <c r="K431" s="1" t="s">
        <v>990</v>
      </c>
      <c r="L431" s="1" t="s">
        <v>9</v>
      </c>
    </row>
    <row r="432" spans="1:12" ht="15.75" customHeight="1" x14ac:dyDescent="0.25">
      <c r="A432" s="1" t="s">
        <v>12</v>
      </c>
      <c r="B432" s="21">
        <v>6</v>
      </c>
      <c r="C432" s="1" t="s">
        <v>8374</v>
      </c>
      <c r="D432" s="21">
        <v>22</v>
      </c>
      <c r="E432" s="1" t="s">
        <v>1877</v>
      </c>
      <c r="F432" s="21">
        <v>1</v>
      </c>
      <c r="G432" s="1" t="s">
        <v>1878</v>
      </c>
      <c r="H432" s="1" t="s">
        <v>1879</v>
      </c>
      <c r="I432" s="1" t="s">
        <v>1880</v>
      </c>
      <c r="J432" s="1" t="s">
        <v>1881</v>
      </c>
      <c r="K432" s="1" t="s">
        <v>1363</v>
      </c>
      <c r="L432" s="1" t="s">
        <v>10</v>
      </c>
    </row>
    <row r="433" spans="1:12" ht="15.75" customHeight="1" x14ac:dyDescent="0.25">
      <c r="A433" s="1" t="s">
        <v>12</v>
      </c>
      <c r="B433" s="21">
        <v>6</v>
      </c>
      <c r="C433" s="1" t="s">
        <v>8374</v>
      </c>
      <c r="D433" s="21">
        <v>23</v>
      </c>
      <c r="E433" s="1" t="s">
        <v>1877</v>
      </c>
      <c r="F433" s="21">
        <v>2</v>
      </c>
      <c r="G433" s="1" t="s">
        <v>1882</v>
      </c>
      <c r="H433" s="1" t="s">
        <v>1883</v>
      </c>
      <c r="I433" s="1" t="s">
        <v>1884</v>
      </c>
      <c r="J433" s="1" t="s">
        <v>1885</v>
      </c>
      <c r="K433" s="1" t="s">
        <v>1886</v>
      </c>
      <c r="L433" s="1" t="s">
        <v>9</v>
      </c>
    </row>
    <row r="434" spans="1:12" ht="15.75" customHeight="1" x14ac:dyDescent="0.25">
      <c r="A434" s="1" t="s">
        <v>12</v>
      </c>
      <c r="B434" s="21">
        <v>6</v>
      </c>
      <c r="C434" s="1" t="s">
        <v>8374</v>
      </c>
      <c r="D434" s="21">
        <v>23</v>
      </c>
      <c r="E434" s="1" t="s">
        <v>1877</v>
      </c>
      <c r="F434" s="21">
        <v>3</v>
      </c>
      <c r="G434" s="1" t="s">
        <v>1887</v>
      </c>
      <c r="H434" s="1" t="s">
        <v>1888</v>
      </c>
      <c r="I434" s="1" t="s">
        <v>1879</v>
      </c>
      <c r="J434" s="1" t="s">
        <v>1880</v>
      </c>
      <c r="K434" s="1" t="s">
        <v>1889</v>
      </c>
      <c r="L434" s="1" t="s">
        <v>8</v>
      </c>
    </row>
    <row r="435" spans="1:12" ht="15.75" customHeight="1" x14ac:dyDescent="0.25">
      <c r="A435" s="1" t="s">
        <v>12</v>
      </c>
      <c r="B435" s="21">
        <v>6</v>
      </c>
      <c r="C435" s="1" t="s">
        <v>8374</v>
      </c>
      <c r="D435" s="21">
        <v>23</v>
      </c>
      <c r="E435" s="1" t="s">
        <v>1877</v>
      </c>
      <c r="F435" s="21">
        <v>4</v>
      </c>
      <c r="G435" s="1" t="s">
        <v>1890</v>
      </c>
      <c r="H435" s="1" t="s">
        <v>1891</v>
      </c>
      <c r="I435" s="1" t="s">
        <v>1892</v>
      </c>
      <c r="J435" s="1" t="s">
        <v>1893</v>
      </c>
      <c r="K435" s="1" t="s">
        <v>1894</v>
      </c>
      <c r="L435" s="1" t="s">
        <v>8</v>
      </c>
    </row>
    <row r="436" spans="1:12" ht="15.75" customHeight="1" x14ac:dyDescent="0.25">
      <c r="A436" s="1" t="s">
        <v>12</v>
      </c>
      <c r="B436" s="21">
        <v>6</v>
      </c>
      <c r="C436" s="1" t="s">
        <v>8374</v>
      </c>
      <c r="D436" s="21">
        <v>23</v>
      </c>
      <c r="E436" s="1" t="s">
        <v>1877</v>
      </c>
      <c r="F436" s="21">
        <v>9</v>
      </c>
      <c r="G436" s="1" t="s">
        <v>1895</v>
      </c>
      <c r="H436" s="1" t="s">
        <v>1802</v>
      </c>
      <c r="I436" s="1" t="s">
        <v>1803</v>
      </c>
      <c r="J436" s="1" t="s">
        <v>1804</v>
      </c>
      <c r="K436" s="1" t="s">
        <v>1805</v>
      </c>
      <c r="L436" s="1" t="s">
        <v>9</v>
      </c>
    </row>
    <row r="437" spans="1:12" ht="15.75" customHeight="1" x14ac:dyDescent="0.25">
      <c r="A437" s="1" t="s">
        <v>12</v>
      </c>
      <c r="B437" s="21">
        <v>6</v>
      </c>
      <c r="C437" s="1" t="s">
        <v>8374</v>
      </c>
      <c r="D437" s="21">
        <v>23</v>
      </c>
      <c r="E437" s="1" t="s">
        <v>1877</v>
      </c>
      <c r="F437" s="21">
        <v>10</v>
      </c>
      <c r="G437" s="1" t="s">
        <v>1890</v>
      </c>
      <c r="H437" s="1" t="s">
        <v>1896</v>
      </c>
      <c r="I437" s="1" t="s">
        <v>1897</v>
      </c>
      <c r="J437" s="1" t="s">
        <v>1898</v>
      </c>
      <c r="K437" s="1" t="s">
        <v>1899</v>
      </c>
      <c r="L437" s="1" t="s">
        <v>10</v>
      </c>
    </row>
    <row r="438" spans="1:12" ht="15.75" customHeight="1" x14ac:dyDescent="0.25">
      <c r="A438" s="1" t="s">
        <v>12</v>
      </c>
      <c r="B438" s="21">
        <v>6</v>
      </c>
      <c r="C438" s="1" t="s">
        <v>8374</v>
      </c>
      <c r="D438" s="21">
        <v>23</v>
      </c>
      <c r="E438" s="1" t="s">
        <v>1877</v>
      </c>
      <c r="F438" s="21">
        <v>11</v>
      </c>
      <c r="G438" s="1" t="s">
        <v>1900</v>
      </c>
      <c r="H438" s="1" t="s">
        <v>1901</v>
      </c>
      <c r="I438" s="1" t="s">
        <v>1902</v>
      </c>
      <c r="J438" s="1" t="s">
        <v>1903</v>
      </c>
      <c r="K438" s="1" t="s">
        <v>1904</v>
      </c>
      <c r="L438" s="1" t="s">
        <v>8</v>
      </c>
    </row>
    <row r="439" spans="1:12" ht="15.75" customHeight="1" x14ac:dyDescent="0.25">
      <c r="A439" s="1" t="s">
        <v>12</v>
      </c>
      <c r="B439" s="21">
        <v>6</v>
      </c>
      <c r="C439" s="1" t="s">
        <v>8374</v>
      </c>
      <c r="D439" s="21">
        <v>23</v>
      </c>
      <c r="E439" s="1" t="s">
        <v>1877</v>
      </c>
      <c r="F439" s="21">
        <v>12</v>
      </c>
      <c r="G439" s="1" t="s">
        <v>1905</v>
      </c>
      <c r="H439" s="1" t="s">
        <v>1906</v>
      </c>
      <c r="I439" s="1" t="s">
        <v>1907</v>
      </c>
      <c r="J439" s="1" t="s">
        <v>1908</v>
      </c>
      <c r="K439" s="1" t="s">
        <v>1909</v>
      </c>
      <c r="L439" s="1" t="s">
        <v>10</v>
      </c>
    </row>
    <row r="440" spans="1:12" ht="15.75" customHeight="1" x14ac:dyDescent="0.25">
      <c r="A440" s="1" t="s">
        <v>12</v>
      </c>
      <c r="B440" s="21">
        <v>6</v>
      </c>
      <c r="C440" s="1" t="s">
        <v>8374</v>
      </c>
      <c r="D440" s="21">
        <v>23</v>
      </c>
      <c r="E440" s="1" t="s">
        <v>1877</v>
      </c>
      <c r="F440" s="21">
        <v>13</v>
      </c>
      <c r="G440" s="1" t="s">
        <v>1910</v>
      </c>
      <c r="H440" s="1" t="s">
        <v>1911</v>
      </c>
      <c r="I440" s="1" t="s">
        <v>1912</v>
      </c>
      <c r="J440" s="1" t="s">
        <v>1913</v>
      </c>
      <c r="K440" s="1" t="s">
        <v>1914</v>
      </c>
      <c r="L440" s="1" t="s">
        <v>8</v>
      </c>
    </row>
    <row r="441" spans="1:12" ht="15.75" customHeight="1" x14ac:dyDescent="0.25">
      <c r="A441" s="1" t="s">
        <v>12</v>
      </c>
      <c r="B441" s="21">
        <v>6</v>
      </c>
      <c r="C441" s="1" t="s">
        <v>8374</v>
      </c>
      <c r="D441" s="21">
        <v>23</v>
      </c>
      <c r="E441" s="1" t="s">
        <v>1877</v>
      </c>
      <c r="F441" s="21">
        <v>14</v>
      </c>
      <c r="G441" s="1" t="s">
        <v>1915</v>
      </c>
      <c r="H441" s="1" t="s">
        <v>1916</v>
      </c>
      <c r="I441" s="1" t="s">
        <v>1917</v>
      </c>
      <c r="J441" s="1" t="s">
        <v>1918</v>
      </c>
      <c r="K441" s="1" t="s">
        <v>1919</v>
      </c>
      <c r="L441" s="1" t="s">
        <v>10</v>
      </c>
    </row>
    <row r="442" spans="1:12" ht="15.75" customHeight="1" x14ac:dyDescent="0.25">
      <c r="A442" s="1" t="s">
        <v>12</v>
      </c>
      <c r="B442" s="21">
        <v>6</v>
      </c>
      <c r="C442" s="1" t="s">
        <v>8374</v>
      </c>
      <c r="D442" s="21">
        <v>23</v>
      </c>
      <c r="E442" s="1" t="s">
        <v>1877</v>
      </c>
      <c r="F442" s="21">
        <v>15</v>
      </c>
      <c r="G442" s="1" t="s">
        <v>1920</v>
      </c>
      <c r="H442" s="1" t="s">
        <v>1921</v>
      </c>
      <c r="I442" s="1" t="s">
        <v>1922</v>
      </c>
      <c r="J442" s="1" t="s">
        <v>1923</v>
      </c>
      <c r="K442" s="1" t="s">
        <v>1924</v>
      </c>
      <c r="L442" s="1" t="s">
        <v>9</v>
      </c>
    </row>
    <row r="443" spans="1:12" ht="15.75" customHeight="1" x14ac:dyDescent="0.25">
      <c r="A443" s="1" t="s">
        <v>12</v>
      </c>
      <c r="B443" s="21">
        <v>6</v>
      </c>
      <c r="C443" s="1" t="s">
        <v>8374</v>
      </c>
      <c r="D443" s="21">
        <v>23</v>
      </c>
      <c r="E443" s="1" t="s">
        <v>1877</v>
      </c>
      <c r="F443" s="21">
        <v>16</v>
      </c>
      <c r="G443" s="1" t="s">
        <v>1925</v>
      </c>
      <c r="H443" s="1" t="s">
        <v>1926</v>
      </c>
      <c r="I443" s="1" t="s">
        <v>1927</v>
      </c>
      <c r="J443" s="1" t="s">
        <v>1928</v>
      </c>
      <c r="K443" s="1" t="s">
        <v>1929</v>
      </c>
      <c r="L443" s="1" t="s">
        <v>8</v>
      </c>
    </row>
    <row r="444" spans="1:12" ht="15.75" customHeight="1" x14ac:dyDescent="0.25">
      <c r="A444" s="1" t="s">
        <v>12</v>
      </c>
      <c r="B444" s="21">
        <v>6</v>
      </c>
      <c r="C444" s="1" t="s">
        <v>8374</v>
      </c>
      <c r="D444" s="21">
        <v>23</v>
      </c>
      <c r="E444" s="1" t="s">
        <v>1877</v>
      </c>
      <c r="F444" s="21">
        <v>17</v>
      </c>
      <c r="G444" s="1" t="s">
        <v>1930</v>
      </c>
      <c r="H444" s="1" t="s">
        <v>1931</v>
      </c>
      <c r="I444" s="1" t="s">
        <v>1932</v>
      </c>
      <c r="J444" s="1" t="s">
        <v>1933</v>
      </c>
      <c r="K444" s="1" t="s">
        <v>1934</v>
      </c>
      <c r="L444" s="1" t="s">
        <v>10</v>
      </c>
    </row>
    <row r="445" spans="1:12" ht="15.75" customHeight="1" x14ac:dyDescent="0.25">
      <c r="A445" s="1" t="s">
        <v>12</v>
      </c>
      <c r="B445" s="21">
        <v>6</v>
      </c>
      <c r="C445" s="1" t="s">
        <v>8374</v>
      </c>
      <c r="D445" s="21">
        <v>23</v>
      </c>
      <c r="E445" s="1" t="s">
        <v>1877</v>
      </c>
      <c r="F445" s="21">
        <v>18</v>
      </c>
      <c r="G445" s="1" t="s">
        <v>1935</v>
      </c>
      <c r="H445" s="1" t="s">
        <v>1936</v>
      </c>
      <c r="I445" s="1" t="s">
        <v>1937</v>
      </c>
      <c r="J445" s="1" t="s">
        <v>1938</v>
      </c>
      <c r="K445" s="1" t="s">
        <v>1939</v>
      </c>
      <c r="L445" s="1" t="s">
        <v>10</v>
      </c>
    </row>
    <row r="446" spans="1:12" ht="15.75" customHeight="1" x14ac:dyDescent="0.25">
      <c r="A446" s="1" t="s">
        <v>12</v>
      </c>
      <c r="B446" s="21">
        <v>6</v>
      </c>
      <c r="C446" s="1" t="s">
        <v>8374</v>
      </c>
      <c r="D446" s="21">
        <v>23</v>
      </c>
      <c r="E446" s="1" t="s">
        <v>1877</v>
      </c>
      <c r="F446" s="21">
        <v>19</v>
      </c>
      <c r="G446" s="1" t="s">
        <v>1940</v>
      </c>
      <c r="H446" s="1" t="s">
        <v>1941</v>
      </c>
      <c r="I446" s="1" t="s">
        <v>1942</v>
      </c>
      <c r="J446" s="1" t="s">
        <v>1943</v>
      </c>
      <c r="K446" s="1" t="s">
        <v>414</v>
      </c>
      <c r="L446" s="1" t="s">
        <v>7</v>
      </c>
    </row>
    <row r="447" spans="1:12" ht="15.75" customHeight="1" x14ac:dyDescent="0.25">
      <c r="A447" s="1" t="s">
        <v>12</v>
      </c>
      <c r="B447" s="21">
        <v>6</v>
      </c>
      <c r="C447" s="1" t="s">
        <v>8374</v>
      </c>
      <c r="D447" s="21">
        <v>23</v>
      </c>
      <c r="E447" s="1" t="s">
        <v>1877</v>
      </c>
      <c r="F447" s="21">
        <v>20</v>
      </c>
      <c r="G447" s="1" t="s">
        <v>1944</v>
      </c>
      <c r="H447" s="1" t="s">
        <v>1945</v>
      </c>
      <c r="I447" s="1" t="s">
        <v>1946</v>
      </c>
      <c r="J447" s="1" t="s">
        <v>1947</v>
      </c>
      <c r="K447" s="1" t="s">
        <v>1948</v>
      </c>
      <c r="L447" s="1" t="s">
        <v>7</v>
      </c>
    </row>
    <row r="448" spans="1:12" ht="15.75" customHeight="1" x14ac:dyDescent="0.25">
      <c r="A448" s="1" t="s">
        <v>12</v>
      </c>
      <c r="B448" s="21">
        <v>6</v>
      </c>
      <c r="C448" s="1" t="s">
        <v>8374</v>
      </c>
      <c r="D448" s="21">
        <v>24</v>
      </c>
      <c r="E448" s="1" t="s">
        <v>1949</v>
      </c>
      <c r="F448" s="21">
        <v>1</v>
      </c>
      <c r="G448" s="1" t="s">
        <v>1950</v>
      </c>
      <c r="H448" s="1" t="s">
        <v>1951</v>
      </c>
      <c r="I448" s="1" t="s">
        <v>1952</v>
      </c>
      <c r="J448" s="1" t="s">
        <v>1953</v>
      </c>
      <c r="L448" s="1" t="s">
        <v>8</v>
      </c>
    </row>
    <row r="449" spans="1:12" ht="15.75" customHeight="1" x14ac:dyDescent="0.25">
      <c r="A449" s="1" t="s">
        <v>12</v>
      </c>
      <c r="B449" s="21">
        <v>6</v>
      </c>
      <c r="C449" s="1" t="s">
        <v>8374</v>
      </c>
      <c r="D449" s="21">
        <v>24</v>
      </c>
      <c r="E449" s="1" t="s">
        <v>1949</v>
      </c>
      <c r="F449" s="21">
        <v>2</v>
      </c>
      <c r="G449" s="1" t="s">
        <v>1954</v>
      </c>
      <c r="H449" s="1" t="s">
        <v>1955</v>
      </c>
      <c r="I449" s="1" t="s">
        <v>1956</v>
      </c>
      <c r="J449" s="1" t="s">
        <v>1957</v>
      </c>
      <c r="L449" s="1" t="s">
        <v>8</v>
      </c>
    </row>
    <row r="450" spans="1:12" ht="15.75" customHeight="1" x14ac:dyDescent="0.25">
      <c r="A450" s="1" t="s">
        <v>12</v>
      </c>
      <c r="B450" s="21">
        <v>6</v>
      </c>
      <c r="C450" s="1" t="s">
        <v>8374</v>
      </c>
      <c r="D450" s="21">
        <v>24</v>
      </c>
      <c r="E450" s="1" t="s">
        <v>1949</v>
      </c>
      <c r="F450" s="21">
        <v>3</v>
      </c>
      <c r="G450" s="1" t="s">
        <v>1958</v>
      </c>
      <c r="H450" s="1" t="s">
        <v>1959</v>
      </c>
      <c r="I450" s="1" t="s">
        <v>1960</v>
      </c>
      <c r="J450" s="1" t="s">
        <v>1961</v>
      </c>
      <c r="L450" s="1" t="s">
        <v>9</v>
      </c>
    </row>
    <row r="451" spans="1:12" ht="15.75" customHeight="1" x14ac:dyDescent="0.25">
      <c r="A451" s="1" t="s">
        <v>12</v>
      </c>
      <c r="B451" s="21">
        <v>6</v>
      </c>
      <c r="C451" s="1" t="s">
        <v>8374</v>
      </c>
      <c r="D451" s="21">
        <v>24</v>
      </c>
      <c r="E451" s="1" t="s">
        <v>1949</v>
      </c>
      <c r="F451" s="21">
        <v>4</v>
      </c>
      <c r="G451" s="1" t="s">
        <v>1962</v>
      </c>
      <c r="H451" s="1" t="s">
        <v>1963</v>
      </c>
      <c r="I451" s="1" t="s">
        <v>1964</v>
      </c>
      <c r="J451" s="1" t="s">
        <v>1965</v>
      </c>
      <c r="L451" s="1" t="s">
        <v>8</v>
      </c>
    </row>
    <row r="452" spans="1:12" ht="15.75" customHeight="1" x14ac:dyDescent="0.25">
      <c r="A452" s="1" t="s">
        <v>12</v>
      </c>
      <c r="B452" s="21">
        <v>6</v>
      </c>
      <c r="C452" s="1" t="s">
        <v>8374</v>
      </c>
      <c r="D452" s="21">
        <v>24</v>
      </c>
      <c r="E452" s="1" t="s">
        <v>1949</v>
      </c>
      <c r="F452" s="21">
        <v>5</v>
      </c>
      <c r="G452" s="1" t="s">
        <v>1966</v>
      </c>
      <c r="H452" s="1" t="s">
        <v>1967</v>
      </c>
      <c r="I452" s="1" t="s">
        <v>1968</v>
      </c>
      <c r="J452" s="1" t="s">
        <v>1969</v>
      </c>
      <c r="L452" s="1" t="s">
        <v>9</v>
      </c>
    </row>
    <row r="453" spans="1:12" ht="15.75" customHeight="1" x14ac:dyDescent="0.25">
      <c r="A453" s="1" t="s">
        <v>12</v>
      </c>
      <c r="B453" s="21">
        <v>6</v>
      </c>
      <c r="C453" s="1" t="s">
        <v>8374</v>
      </c>
      <c r="D453" s="21">
        <v>24</v>
      </c>
      <c r="E453" s="1" t="s">
        <v>1949</v>
      </c>
      <c r="F453" s="21">
        <v>6</v>
      </c>
      <c r="G453" s="1" t="s">
        <v>1970</v>
      </c>
      <c r="H453" s="1" t="s">
        <v>1971</v>
      </c>
      <c r="I453" s="1" t="s">
        <v>1972</v>
      </c>
      <c r="J453" s="1" t="s">
        <v>1973</v>
      </c>
      <c r="L453" s="1" t="s">
        <v>9</v>
      </c>
    </row>
    <row r="454" spans="1:12" ht="15.75" customHeight="1" x14ac:dyDescent="0.25">
      <c r="A454" s="1" t="s">
        <v>12</v>
      </c>
      <c r="B454" s="21">
        <v>7</v>
      </c>
      <c r="C454" s="9" t="s">
        <v>7377</v>
      </c>
      <c r="D454" s="21">
        <v>24</v>
      </c>
      <c r="E454" s="1" t="s">
        <v>1949</v>
      </c>
      <c r="F454" s="21">
        <v>7</v>
      </c>
      <c r="G454" s="1" t="s">
        <v>1974</v>
      </c>
      <c r="H454" s="1" t="s">
        <v>1975</v>
      </c>
      <c r="I454" s="1" t="s">
        <v>1976</v>
      </c>
      <c r="J454" s="1" t="s">
        <v>1977</v>
      </c>
      <c r="L454" s="1" t="s">
        <v>8</v>
      </c>
    </row>
    <row r="455" spans="1:12" ht="15.75" customHeight="1" x14ac:dyDescent="0.25">
      <c r="A455" s="1" t="s">
        <v>12</v>
      </c>
      <c r="B455" s="21">
        <v>7</v>
      </c>
      <c r="C455" s="9" t="s">
        <v>7377</v>
      </c>
      <c r="D455" s="21">
        <v>24</v>
      </c>
      <c r="E455" s="1" t="s">
        <v>1949</v>
      </c>
      <c r="F455" s="21">
        <v>8</v>
      </c>
      <c r="G455" s="1" t="s">
        <v>1978</v>
      </c>
      <c r="H455" s="1" t="s">
        <v>1979</v>
      </c>
      <c r="I455" s="1" t="s">
        <v>1980</v>
      </c>
      <c r="J455" s="1" t="s">
        <v>1981</v>
      </c>
      <c r="L455" s="1" t="s">
        <v>9</v>
      </c>
    </row>
    <row r="456" spans="1:12" ht="15.75" customHeight="1" x14ac:dyDescent="0.25">
      <c r="A456" s="1" t="s">
        <v>12</v>
      </c>
      <c r="B456" s="21">
        <v>7</v>
      </c>
      <c r="C456" s="9" t="s">
        <v>7377</v>
      </c>
      <c r="D456" s="21">
        <v>24</v>
      </c>
      <c r="E456" s="1" t="s">
        <v>1949</v>
      </c>
      <c r="F456" s="21">
        <v>9</v>
      </c>
      <c r="G456" s="1" t="s">
        <v>1982</v>
      </c>
      <c r="H456" s="1" t="s">
        <v>1983</v>
      </c>
      <c r="I456" s="1" t="s">
        <v>1984</v>
      </c>
      <c r="J456" s="1" t="s">
        <v>990</v>
      </c>
      <c r="L456" s="1" t="s">
        <v>9</v>
      </c>
    </row>
    <row r="457" spans="1:12" ht="15.75" customHeight="1" x14ac:dyDescent="0.25">
      <c r="A457" s="1" t="s">
        <v>12</v>
      </c>
      <c r="B457" s="21">
        <v>6</v>
      </c>
      <c r="C457" s="1" t="s">
        <v>8374</v>
      </c>
      <c r="D457" s="21">
        <v>24</v>
      </c>
      <c r="E457" s="1" t="s">
        <v>1949</v>
      </c>
      <c r="F457" s="21">
        <v>10</v>
      </c>
      <c r="G457" s="1" t="s">
        <v>1985</v>
      </c>
      <c r="H457" s="1" t="s">
        <v>1986</v>
      </c>
      <c r="I457" s="1" t="s">
        <v>1987</v>
      </c>
      <c r="J457" s="1" t="s">
        <v>1988</v>
      </c>
      <c r="L457" s="1" t="s">
        <v>9</v>
      </c>
    </row>
    <row r="458" spans="1:12" ht="15.75" customHeight="1" x14ac:dyDescent="0.25">
      <c r="A458" s="1" t="s">
        <v>12</v>
      </c>
      <c r="B458" s="21">
        <v>6</v>
      </c>
      <c r="C458" s="1" t="s">
        <v>8374</v>
      </c>
      <c r="D458" s="21">
        <v>24</v>
      </c>
      <c r="E458" s="1" t="s">
        <v>1949</v>
      </c>
      <c r="F458" s="21">
        <v>11</v>
      </c>
      <c r="G458" s="1" t="s">
        <v>1989</v>
      </c>
      <c r="H458" s="1" t="s">
        <v>385</v>
      </c>
      <c r="I458" s="1" t="s">
        <v>1990</v>
      </c>
      <c r="J458" s="1" t="s">
        <v>1991</v>
      </c>
      <c r="L458" s="1" t="s">
        <v>9</v>
      </c>
    </row>
    <row r="459" spans="1:12" ht="15.75" customHeight="1" x14ac:dyDescent="0.25">
      <c r="A459" s="1" t="s">
        <v>12</v>
      </c>
      <c r="B459" s="21">
        <v>6</v>
      </c>
      <c r="C459" s="1" t="s">
        <v>8374</v>
      </c>
      <c r="D459" s="21">
        <v>24</v>
      </c>
      <c r="E459" s="1" t="s">
        <v>1949</v>
      </c>
      <c r="F459" s="21">
        <v>12</v>
      </c>
      <c r="G459" s="1" t="s">
        <v>1992</v>
      </c>
      <c r="H459" s="1" t="s">
        <v>1993</v>
      </c>
      <c r="I459" s="1" t="s">
        <v>1994</v>
      </c>
      <c r="J459" s="1" t="s">
        <v>1995</v>
      </c>
      <c r="L459" s="1" t="s">
        <v>8</v>
      </c>
    </row>
    <row r="460" spans="1:12" ht="15.75" customHeight="1" x14ac:dyDescent="0.25">
      <c r="A460" s="1" t="s">
        <v>12</v>
      </c>
      <c r="B460" s="21">
        <v>6</v>
      </c>
      <c r="C460" s="1" t="s">
        <v>8374</v>
      </c>
      <c r="D460" s="21">
        <v>24</v>
      </c>
      <c r="E460" s="1" t="s">
        <v>1949</v>
      </c>
      <c r="F460" s="21">
        <v>13</v>
      </c>
      <c r="G460" s="1" t="s">
        <v>1996</v>
      </c>
      <c r="H460" s="1" t="s">
        <v>1997</v>
      </c>
      <c r="I460" s="1" t="s">
        <v>1998</v>
      </c>
      <c r="J460" s="1" t="s">
        <v>1999</v>
      </c>
      <c r="L460" s="1" t="s">
        <v>8</v>
      </c>
    </row>
    <row r="461" spans="1:12" ht="15.75" customHeight="1" x14ac:dyDescent="0.25">
      <c r="A461" s="1" t="s">
        <v>12</v>
      </c>
      <c r="B461" s="21">
        <v>4</v>
      </c>
      <c r="C461" s="1" t="s">
        <v>833</v>
      </c>
      <c r="D461" s="21">
        <v>24</v>
      </c>
      <c r="E461" s="1" t="s">
        <v>1949</v>
      </c>
      <c r="F461" s="21">
        <v>14</v>
      </c>
      <c r="G461" s="1" t="s">
        <v>2000</v>
      </c>
      <c r="H461" s="1" t="s">
        <v>2001</v>
      </c>
      <c r="I461" s="1" t="s">
        <v>2002</v>
      </c>
      <c r="J461" s="1" t="s">
        <v>2003</v>
      </c>
      <c r="L461" s="1" t="s">
        <v>9</v>
      </c>
    </row>
    <row r="462" spans="1:12" ht="15.75" customHeight="1" x14ac:dyDescent="0.25">
      <c r="A462" s="1" t="s">
        <v>12</v>
      </c>
      <c r="B462" s="21">
        <v>7</v>
      </c>
      <c r="C462" s="9" t="s">
        <v>7377</v>
      </c>
      <c r="D462" s="21">
        <v>24</v>
      </c>
      <c r="E462" s="1" t="s">
        <v>1949</v>
      </c>
      <c r="F462" s="21">
        <v>15</v>
      </c>
      <c r="G462" s="1" t="s">
        <v>2004</v>
      </c>
      <c r="H462" s="1" t="s">
        <v>2005</v>
      </c>
      <c r="I462" s="1" t="s">
        <v>2006</v>
      </c>
      <c r="J462" s="1" t="s">
        <v>2007</v>
      </c>
      <c r="L462" s="1" t="s">
        <v>7</v>
      </c>
    </row>
    <row r="463" spans="1:12" ht="15.75" customHeight="1" x14ac:dyDescent="0.25">
      <c r="A463" s="1" t="s">
        <v>12</v>
      </c>
      <c r="B463" s="21">
        <v>7</v>
      </c>
      <c r="C463" s="9" t="s">
        <v>7377</v>
      </c>
      <c r="D463" s="21">
        <v>24</v>
      </c>
      <c r="E463" s="1" t="s">
        <v>1949</v>
      </c>
      <c r="F463" s="21">
        <v>16</v>
      </c>
      <c r="G463" s="1" t="s">
        <v>2008</v>
      </c>
      <c r="H463" s="1" t="s">
        <v>2009</v>
      </c>
      <c r="I463" s="1" t="s">
        <v>2010</v>
      </c>
      <c r="J463" s="1" t="s">
        <v>2011</v>
      </c>
      <c r="L463" s="1" t="s">
        <v>7</v>
      </c>
    </row>
    <row r="464" spans="1:12" ht="15.75" customHeight="1" x14ac:dyDescent="0.25">
      <c r="A464" s="1" t="s">
        <v>12</v>
      </c>
      <c r="B464" s="21">
        <v>6</v>
      </c>
      <c r="C464" s="1" t="s">
        <v>8374</v>
      </c>
      <c r="D464" s="21">
        <v>24</v>
      </c>
      <c r="E464" s="1" t="s">
        <v>1949</v>
      </c>
      <c r="F464" s="21">
        <v>17</v>
      </c>
      <c r="G464" s="1" t="s">
        <v>2012</v>
      </c>
      <c r="H464" s="1" t="s">
        <v>2013</v>
      </c>
      <c r="I464" s="1" t="s">
        <v>2014</v>
      </c>
      <c r="J464" s="1" t="s">
        <v>2015</v>
      </c>
      <c r="L464" s="1" t="s">
        <v>9</v>
      </c>
    </row>
    <row r="465" spans="1:12" ht="15.75" customHeight="1" x14ac:dyDescent="0.25">
      <c r="A465" s="1" t="s">
        <v>12</v>
      </c>
      <c r="B465" s="21">
        <v>6</v>
      </c>
      <c r="C465" s="1" t="s">
        <v>8374</v>
      </c>
      <c r="D465" s="21">
        <v>24</v>
      </c>
      <c r="E465" s="1" t="s">
        <v>1949</v>
      </c>
      <c r="F465" s="21">
        <v>18</v>
      </c>
      <c r="G465" s="1" t="s">
        <v>2016</v>
      </c>
      <c r="H465" s="1" t="s">
        <v>2017</v>
      </c>
      <c r="I465" s="1" t="s">
        <v>2018</v>
      </c>
      <c r="J465" s="1" t="s">
        <v>2019</v>
      </c>
      <c r="L465" s="1" t="s">
        <v>7</v>
      </c>
    </row>
    <row r="466" spans="1:12" ht="15.75" customHeight="1" x14ac:dyDescent="0.25">
      <c r="A466" s="1" t="s">
        <v>12</v>
      </c>
      <c r="B466" s="21">
        <v>3</v>
      </c>
      <c r="C466" s="1" t="s">
        <v>495</v>
      </c>
      <c r="D466" s="21">
        <v>24</v>
      </c>
      <c r="E466" s="1" t="s">
        <v>1949</v>
      </c>
      <c r="F466" s="21">
        <v>19</v>
      </c>
      <c r="G466" s="1" t="s">
        <v>2020</v>
      </c>
      <c r="H466" s="1" t="s">
        <v>2021</v>
      </c>
      <c r="I466" s="1" t="s">
        <v>2022</v>
      </c>
      <c r="J466" s="1" t="s">
        <v>2023</v>
      </c>
      <c r="L466" s="1" t="s">
        <v>8</v>
      </c>
    </row>
    <row r="467" spans="1:12" ht="15.75" customHeight="1" x14ac:dyDescent="0.25">
      <c r="A467" s="1" t="s">
        <v>12</v>
      </c>
      <c r="B467" s="21">
        <v>5</v>
      </c>
      <c r="C467" s="1" t="s">
        <v>1111</v>
      </c>
      <c r="D467" s="21">
        <v>24</v>
      </c>
      <c r="E467" s="1" t="s">
        <v>1949</v>
      </c>
      <c r="F467" s="21">
        <v>20</v>
      </c>
      <c r="G467" s="1" t="s">
        <v>2024</v>
      </c>
      <c r="H467" s="1" t="s">
        <v>2025</v>
      </c>
      <c r="I467" s="1" t="s">
        <v>2026</v>
      </c>
      <c r="J467" s="1" t="s">
        <v>2027</v>
      </c>
      <c r="L467" s="1" t="s">
        <v>9</v>
      </c>
    </row>
    <row r="468" spans="1:12" ht="15.75" customHeight="1" x14ac:dyDescent="0.25">
      <c r="A468" s="1" t="s">
        <v>12</v>
      </c>
      <c r="B468" s="21">
        <v>7</v>
      </c>
      <c r="C468" s="9" t="s">
        <v>7377</v>
      </c>
      <c r="D468" s="21">
        <v>25</v>
      </c>
      <c r="E468" s="1" t="s">
        <v>2028</v>
      </c>
      <c r="F468" s="21">
        <v>1</v>
      </c>
      <c r="G468" s="1" t="s">
        <v>2029</v>
      </c>
      <c r="H468" s="1" t="s">
        <v>2009</v>
      </c>
      <c r="I468" s="1" t="s">
        <v>2010</v>
      </c>
      <c r="J468" s="1" t="s">
        <v>2011</v>
      </c>
      <c r="K468" s="1" t="s">
        <v>2030</v>
      </c>
      <c r="L468" s="1" t="s">
        <v>7</v>
      </c>
    </row>
    <row r="469" spans="1:12" ht="15.75" customHeight="1" x14ac:dyDescent="0.25">
      <c r="A469" s="1" t="s">
        <v>12</v>
      </c>
      <c r="B469" s="21">
        <v>5</v>
      </c>
      <c r="C469" s="1" t="s">
        <v>1111</v>
      </c>
      <c r="D469" s="21">
        <v>25</v>
      </c>
      <c r="E469" s="1" t="s">
        <v>2028</v>
      </c>
      <c r="F469" s="21">
        <v>2</v>
      </c>
      <c r="G469" s="1" t="s">
        <v>2031</v>
      </c>
      <c r="H469" s="1" t="s">
        <v>2032</v>
      </c>
      <c r="I469" s="1" t="s">
        <v>2033</v>
      </c>
      <c r="J469" s="1" t="s">
        <v>2034</v>
      </c>
      <c r="K469" s="1" t="s">
        <v>2035</v>
      </c>
      <c r="L469" s="1" t="s">
        <v>9</v>
      </c>
    </row>
    <row r="470" spans="1:12" ht="15.75" customHeight="1" x14ac:dyDescent="0.25">
      <c r="A470" s="1" t="s">
        <v>12</v>
      </c>
      <c r="B470" s="21">
        <v>6</v>
      </c>
      <c r="C470" s="1" t="s">
        <v>8374</v>
      </c>
      <c r="D470" s="21">
        <v>25</v>
      </c>
      <c r="E470" s="1" t="s">
        <v>2028</v>
      </c>
      <c r="F470" s="21">
        <v>3</v>
      </c>
      <c r="G470" s="1" t="s">
        <v>2036</v>
      </c>
      <c r="H470" s="1" t="s">
        <v>2037</v>
      </c>
      <c r="I470" s="1" t="s">
        <v>2038</v>
      </c>
      <c r="J470" s="1" t="s">
        <v>2039</v>
      </c>
      <c r="K470" s="1" t="s">
        <v>2040</v>
      </c>
      <c r="L470" s="1" t="s">
        <v>10</v>
      </c>
    </row>
    <row r="471" spans="1:12" ht="15.75" customHeight="1" x14ac:dyDescent="0.25">
      <c r="A471" s="1" t="s">
        <v>12</v>
      </c>
      <c r="B471" s="21">
        <v>6</v>
      </c>
      <c r="C471" s="1" t="s">
        <v>8374</v>
      </c>
      <c r="D471" s="21">
        <v>25</v>
      </c>
      <c r="E471" s="1" t="s">
        <v>2028</v>
      </c>
      <c r="F471" s="21">
        <v>4</v>
      </c>
      <c r="G471" s="1" t="s">
        <v>2041</v>
      </c>
      <c r="H471" s="1" t="s">
        <v>2042</v>
      </c>
      <c r="I471" s="1" t="s">
        <v>2043</v>
      </c>
      <c r="J471" s="1" t="s">
        <v>2044</v>
      </c>
      <c r="K471" s="1" t="s">
        <v>2045</v>
      </c>
      <c r="L471" s="1" t="s">
        <v>7</v>
      </c>
    </row>
    <row r="472" spans="1:12" ht="15.75" customHeight="1" x14ac:dyDescent="0.25">
      <c r="A472" s="1" t="s">
        <v>2590</v>
      </c>
      <c r="B472" s="21">
        <v>19</v>
      </c>
      <c r="C472" s="9" t="s">
        <v>4686</v>
      </c>
      <c r="D472" s="21">
        <v>25</v>
      </c>
      <c r="E472" s="1" t="s">
        <v>2028</v>
      </c>
      <c r="F472" s="21">
        <v>6</v>
      </c>
      <c r="G472" s="1" t="s">
        <v>2046</v>
      </c>
      <c r="H472" s="1" t="s">
        <v>2047</v>
      </c>
      <c r="I472" s="1" t="s">
        <v>2048</v>
      </c>
      <c r="J472" s="1" t="s">
        <v>2049</v>
      </c>
      <c r="K472" s="1" t="s">
        <v>2050</v>
      </c>
      <c r="L472" s="1" t="s">
        <v>10</v>
      </c>
    </row>
    <row r="473" spans="1:12" ht="15.75" customHeight="1" x14ac:dyDescent="0.25">
      <c r="A473" s="1" t="s">
        <v>12</v>
      </c>
      <c r="B473" s="21">
        <v>4</v>
      </c>
      <c r="C473" s="1" t="s">
        <v>833</v>
      </c>
      <c r="D473" s="21">
        <v>25</v>
      </c>
      <c r="E473" s="1" t="s">
        <v>2028</v>
      </c>
      <c r="F473" s="21">
        <v>7</v>
      </c>
      <c r="G473" s="1" t="s">
        <v>2051</v>
      </c>
      <c r="H473" s="1" t="s">
        <v>2052</v>
      </c>
      <c r="I473" s="1" t="s">
        <v>2053</v>
      </c>
      <c r="J473" s="1" t="s">
        <v>2054</v>
      </c>
      <c r="K473" s="1" t="s">
        <v>2055</v>
      </c>
      <c r="L473" s="1" t="s">
        <v>9</v>
      </c>
    </row>
    <row r="474" spans="1:12" ht="15.75" customHeight="1" x14ac:dyDescent="0.25">
      <c r="A474" s="1" t="s">
        <v>12</v>
      </c>
      <c r="B474" s="21">
        <v>1</v>
      </c>
      <c r="C474" s="1" t="s">
        <v>13</v>
      </c>
      <c r="D474" s="21">
        <v>25</v>
      </c>
      <c r="E474" s="1" t="s">
        <v>2028</v>
      </c>
      <c r="F474" s="21">
        <v>8</v>
      </c>
      <c r="G474" s="1" t="s">
        <v>2056</v>
      </c>
      <c r="H474" s="1" t="s">
        <v>928</v>
      </c>
      <c r="I474" s="1" t="s">
        <v>2057</v>
      </c>
      <c r="J474" s="1" t="s">
        <v>2058</v>
      </c>
      <c r="K474" s="1" t="s">
        <v>2059</v>
      </c>
      <c r="L474" s="1" t="s">
        <v>7</v>
      </c>
    </row>
    <row r="475" spans="1:12" ht="15.75" customHeight="1" x14ac:dyDescent="0.25">
      <c r="A475" s="1" t="s">
        <v>12</v>
      </c>
      <c r="B475" s="21">
        <v>1</v>
      </c>
      <c r="C475" s="1" t="s">
        <v>13</v>
      </c>
      <c r="D475" s="21">
        <v>25</v>
      </c>
      <c r="E475" s="1" t="s">
        <v>2028</v>
      </c>
      <c r="F475" s="21">
        <v>9</v>
      </c>
      <c r="G475" s="1" t="s">
        <v>2060</v>
      </c>
      <c r="H475" s="1" t="s">
        <v>2061</v>
      </c>
      <c r="I475" s="1" t="s">
        <v>2062</v>
      </c>
      <c r="J475" s="1" t="s">
        <v>185</v>
      </c>
      <c r="K475" s="1" t="s">
        <v>2063</v>
      </c>
      <c r="L475" s="1" t="s">
        <v>9</v>
      </c>
    </row>
    <row r="476" spans="1:12" ht="15.75" customHeight="1" x14ac:dyDescent="0.25">
      <c r="A476" s="1" t="s">
        <v>12</v>
      </c>
      <c r="B476" s="21">
        <v>1</v>
      </c>
      <c r="C476" s="1" t="s">
        <v>13</v>
      </c>
      <c r="D476" s="21">
        <v>25</v>
      </c>
      <c r="E476" s="1" t="s">
        <v>2028</v>
      </c>
      <c r="F476" s="21">
        <v>10</v>
      </c>
      <c r="G476" s="1" t="s">
        <v>2064</v>
      </c>
      <c r="H476" s="1" t="s">
        <v>2065</v>
      </c>
      <c r="I476" s="1" t="s">
        <v>2066</v>
      </c>
      <c r="J476" s="1" t="s">
        <v>2067</v>
      </c>
      <c r="K476" s="1" t="s">
        <v>2068</v>
      </c>
      <c r="L476" s="1" t="s">
        <v>7</v>
      </c>
    </row>
    <row r="477" spans="1:12" ht="15.75" customHeight="1" x14ac:dyDescent="0.25">
      <c r="A477" s="1" t="s">
        <v>12</v>
      </c>
      <c r="B477" s="21">
        <v>1</v>
      </c>
      <c r="C477" s="1" t="s">
        <v>13</v>
      </c>
      <c r="D477" s="21">
        <v>25</v>
      </c>
      <c r="E477" s="1" t="s">
        <v>2028</v>
      </c>
      <c r="F477" s="21">
        <v>11</v>
      </c>
      <c r="G477" s="1" t="s">
        <v>2069</v>
      </c>
      <c r="H477" s="1" t="s">
        <v>2070</v>
      </c>
      <c r="I477" s="1" t="s">
        <v>2071</v>
      </c>
      <c r="J477" s="1" t="s">
        <v>2072</v>
      </c>
      <c r="K477" s="1" t="s">
        <v>2073</v>
      </c>
      <c r="L477" s="1" t="s">
        <v>9</v>
      </c>
    </row>
    <row r="478" spans="1:12" ht="15.75" customHeight="1" x14ac:dyDescent="0.25">
      <c r="A478" s="1" t="s">
        <v>12</v>
      </c>
      <c r="B478" s="21">
        <v>1</v>
      </c>
      <c r="C478" s="9" t="s">
        <v>13</v>
      </c>
      <c r="D478" s="21">
        <v>25</v>
      </c>
      <c r="E478" s="1" t="s">
        <v>2028</v>
      </c>
      <c r="F478" s="21">
        <v>12</v>
      </c>
      <c r="G478" s="1" t="s">
        <v>2074</v>
      </c>
      <c r="H478" s="1" t="s">
        <v>867</v>
      </c>
      <c r="I478" s="1" t="s">
        <v>2075</v>
      </c>
      <c r="J478" s="1" t="s">
        <v>2076</v>
      </c>
      <c r="K478" s="1" t="s">
        <v>2077</v>
      </c>
      <c r="L478" s="1" t="s">
        <v>7</v>
      </c>
    </row>
    <row r="479" spans="1:12" ht="15.75" customHeight="1" x14ac:dyDescent="0.25">
      <c r="A479" s="1" t="s">
        <v>12</v>
      </c>
      <c r="B479" s="21">
        <v>1</v>
      </c>
      <c r="C479" s="1" t="s">
        <v>13</v>
      </c>
      <c r="D479" s="21">
        <v>25</v>
      </c>
      <c r="E479" s="1" t="s">
        <v>2028</v>
      </c>
      <c r="F479" s="21">
        <v>13</v>
      </c>
      <c r="G479" s="1" t="s">
        <v>2078</v>
      </c>
      <c r="H479" s="1" t="s">
        <v>2079</v>
      </c>
      <c r="I479" s="1" t="s">
        <v>2080</v>
      </c>
      <c r="J479" s="1" t="s">
        <v>2081</v>
      </c>
      <c r="K479" s="1" t="s">
        <v>2082</v>
      </c>
      <c r="L479" s="1" t="s">
        <v>8</v>
      </c>
    </row>
    <row r="480" spans="1:12" ht="15.75" customHeight="1" x14ac:dyDescent="0.25">
      <c r="A480" s="1" t="s">
        <v>12</v>
      </c>
      <c r="B480" s="21">
        <v>3</v>
      </c>
      <c r="C480" s="1" t="s">
        <v>495</v>
      </c>
      <c r="D480" s="21">
        <v>25</v>
      </c>
      <c r="E480" s="1" t="s">
        <v>2028</v>
      </c>
      <c r="F480" s="21">
        <v>14</v>
      </c>
      <c r="G480" s="1" t="s">
        <v>2083</v>
      </c>
      <c r="H480" s="1" t="s">
        <v>2084</v>
      </c>
      <c r="I480" s="1" t="s">
        <v>2085</v>
      </c>
      <c r="J480" s="1" t="s">
        <v>684</v>
      </c>
      <c r="K480" s="1" t="s">
        <v>2086</v>
      </c>
      <c r="L480" s="1" t="s">
        <v>7</v>
      </c>
    </row>
    <row r="481" spans="1:12" ht="15.75" customHeight="1" x14ac:dyDescent="0.25">
      <c r="A481" s="1" t="s">
        <v>12</v>
      </c>
      <c r="B481" s="21">
        <v>3</v>
      </c>
      <c r="C481" s="1" t="s">
        <v>495</v>
      </c>
      <c r="D481" s="21">
        <v>25</v>
      </c>
      <c r="E481" s="1" t="s">
        <v>2028</v>
      </c>
      <c r="F481" s="21">
        <v>15</v>
      </c>
      <c r="G481" s="1" t="s">
        <v>2087</v>
      </c>
      <c r="H481" s="1" t="s">
        <v>2088</v>
      </c>
      <c r="I481" s="1" t="s">
        <v>2089</v>
      </c>
      <c r="J481" s="1" t="s">
        <v>2090</v>
      </c>
      <c r="K481" s="1" t="s">
        <v>2091</v>
      </c>
      <c r="L481" s="1" t="s">
        <v>8</v>
      </c>
    </row>
    <row r="482" spans="1:12" ht="15.75" customHeight="1" x14ac:dyDescent="0.25">
      <c r="A482" s="1" t="s">
        <v>12</v>
      </c>
      <c r="B482" s="21">
        <v>3</v>
      </c>
      <c r="C482" s="1" t="s">
        <v>495</v>
      </c>
      <c r="D482" s="21">
        <v>25</v>
      </c>
      <c r="E482" s="1" t="s">
        <v>2028</v>
      </c>
      <c r="F482" s="21">
        <v>16</v>
      </c>
      <c r="G482" s="1" t="s">
        <v>2092</v>
      </c>
      <c r="H482" s="1" t="s">
        <v>2093</v>
      </c>
      <c r="I482" s="1" t="s">
        <v>2094</v>
      </c>
      <c r="J482" s="1" t="s">
        <v>2095</v>
      </c>
      <c r="K482" s="1" t="s">
        <v>990</v>
      </c>
      <c r="L482" s="1" t="s">
        <v>10</v>
      </c>
    </row>
    <row r="483" spans="1:12" ht="15.75" customHeight="1" x14ac:dyDescent="0.25">
      <c r="A483" s="1" t="s">
        <v>12</v>
      </c>
      <c r="B483" s="21">
        <v>3</v>
      </c>
      <c r="C483" s="1" t="s">
        <v>495</v>
      </c>
      <c r="D483" s="21">
        <v>25</v>
      </c>
      <c r="E483" s="1" t="s">
        <v>2028</v>
      </c>
      <c r="F483" s="21">
        <v>17</v>
      </c>
      <c r="G483" s="1" t="s">
        <v>2096</v>
      </c>
      <c r="H483" s="1" t="s">
        <v>2097</v>
      </c>
      <c r="I483" s="1" t="s">
        <v>2098</v>
      </c>
      <c r="J483" s="1" t="s">
        <v>2099</v>
      </c>
      <c r="K483" s="1" t="s">
        <v>2100</v>
      </c>
      <c r="L483" s="1" t="s">
        <v>9</v>
      </c>
    </row>
    <row r="484" spans="1:12" ht="15.75" customHeight="1" x14ac:dyDescent="0.25">
      <c r="A484" s="1" t="s">
        <v>12</v>
      </c>
      <c r="B484" s="21">
        <v>3</v>
      </c>
      <c r="C484" s="1" t="s">
        <v>495</v>
      </c>
      <c r="D484" s="21">
        <v>25</v>
      </c>
      <c r="E484" s="1" t="s">
        <v>2028</v>
      </c>
      <c r="F484" s="21">
        <v>18</v>
      </c>
      <c r="G484" s="1" t="s">
        <v>2101</v>
      </c>
      <c r="H484" s="1" t="s">
        <v>2102</v>
      </c>
      <c r="I484" s="1" t="s">
        <v>2103</v>
      </c>
      <c r="J484" s="1" t="s">
        <v>2104</v>
      </c>
      <c r="K484" s="1" t="s">
        <v>2105</v>
      </c>
      <c r="L484" s="1" t="s">
        <v>8</v>
      </c>
    </row>
    <row r="485" spans="1:12" ht="15.75" customHeight="1" x14ac:dyDescent="0.25">
      <c r="A485" s="1" t="s">
        <v>12</v>
      </c>
      <c r="B485" s="21">
        <v>3</v>
      </c>
      <c r="C485" s="1" t="s">
        <v>495</v>
      </c>
      <c r="D485" s="21">
        <v>25</v>
      </c>
      <c r="E485" s="1" t="s">
        <v>2028</v>
      </c>
      <c r="F485" s="21">
        <v>19</v>
      </c>
      <c r="G485" s="1" t="s">
        <v>2106</v>
      </c>
      <c r="H485" s="1" t="s">
        <v>2107</v>
      </c>
      <c r="I485" s="1" t="s">
        <v>2108</v>
      </c>
      <c r="J485" s="1" t="s">
        <v>2109</v>
      </c>
      <c r="K485" s="1" t="s">
        <v>2110</v>
      </c>
      <c r="L485" s="1" t="s">
        <v>8</v>
      </c>
    </row>
    <row r="486" spans="1:12" ht="15.75" customHeight="1" x14ac:dyDescent="0.25">
      <c r="A486" s="1" t="s">
        <v>12</v>
      </c>
      <c r="B486" s="21">
        <v>3</v>
      </c>
      <c r="C486" s="1" t="s">
        <v>495</v>
      </c>
      <c r="D486" s="21">
        <v>25</v>
      </c>
      <c r="E486" s="1" t="s">
        <v>2028</v>
      </c>
      <c r="F486" s="21">
        <v>20</v>
      </c>
      <c r="G486" s="1" t="s">
        <v>2111</v>
      </c>
      <c r="H486" s="1" t="s">
        <v>2112</v>
      </c>
      <c r="I486" s="1" t="s">
        <v>2113</v>
      </c>
      <c r="J486" s="1" t="s">
        <v>2114</v>
      </c>
      <c r="K486" s="1" t="s">
        <v>2115</v>
      </c>
      <c r="L486" s="1" t="s">
        <v>10</v>
      </c>
    </row>
    <row r="487" spans="1:12" ht="15.75" customHeight="1" x14ac:dyDescent="0.25">
      <c r="A487" s="1" t="s">
        <v>12</v>
      </c>
      <c r="B487" s="21">
        <v>6</v>
      </c>
      <c r="C487" s="1" t="s">
        <v>8374</v>
      </c>
      <c r="D487" s="21">
        <v>26</v>
      </c>
      <c r="E487" s="1" t="s">
        <v>2116</v>
      </c>
      <c r="F487" s="21">
        <v>1</v>
      </c>
      <c r="G487" s="1" t="s">
        <v>2117</v>
      </c>
      <c r="H487" s="1" t="s">
        <v>2118</v>
      </c>
      <c r="I487" s="1" t="s">
        <v>2119</v>
      </c>
      <c r="J487" s="1" t="s">
        <v>2120</v>
      </c>
      <c r="L487" s="1" t="s">
        <v>8</v>
      </c>
    </row>
    <row r="488" spans="1:12" ht="15.75" customHeight="1" x14ac:dyDescent="0.25">
      <c r="A488" s="1" t="s">
        <v>12</v>
      </c>
      <c r="B488" s="21">
        <v>2</v>
      </c>
      <c r="C488" s="1" t="s">
        <v>398</v>
      </c>
      <c r="D488" s="21">
        <v>26</v>
      </c>
      <c r="E488" s="1" t="s">
        <v>2116</v>
      </c>
      <c r="F488" s="21">
        <v>2</v>
      </c>
      <c r="G488" s="1" t="s">
        <v>2121</v>
      </c>
      <c r="H488" s="1" t="s">
        <v>2122</v>
      </c>
      <c r="I488" s="1" t="s">
        <v>2123</v>
      </c>
      <c r="J488" s="1" t="s">
        <v>2124</v>
      </c>
      <c r="L488" s="1" t="s">
        <v>7</v>
      </c>
    </row>
    <row r="489" spans="1:12" ht="15.75" customHeight="1" x14ac:dyDescent="0.25">
      <c r="A489" s="1" t="s">
        <v>12</v>
      </c>
      <c r="B489" s="21">
        <v>1</v>
      </c>
      <c r="C489" s="1" t="s">
        <v>13</v>
      </c>
      <c r="D489" s="21">
        <v>26</v>
      </c>
      <c r="E489" s="1" t="s">
        <v>2116</v>
      </c>
      <c r="F489" s="21">
        <v>3</v>
      </c>
      <c r="G489" s="1" t="s">
        <v>2125</v>
      </c>
      <c r="H489" s="1" t="s">
        <v>2126</v>
      </c>
      <c r="I489" s="1" t="s">
        <v>2127</v>
      </c>
      <c r="J489" s="1" t="s">
        <v>2128</v>
      </c>
      <c r="L489" s="1" t="s">
        <v>7</v>
      </c>
    </row>
    <row r="490" spans="1:12" ht="15.75" customHeight="1" x14ac:dyDescent="0.25">
      <c r="A490" s="1" t="s">
        <v>12</v>
      </c>
      <c r="B490" s="21">
        <v>6</v>
      </c>
      <c r="C490" s="1" t="s">
        <v>8374</v>
      </c>
      <c r="D490" s="21">
        <v>26</v>
      </c>
      <c r="E490" s="1" t="s">
        <v>2116</v>
      </c>
      <c r="F490" s="21">
        <v>4</v>
      </c>
      <c r="G490" s="1" t="s">
        <v>2129</v>
      </c>
      <c r="H490" s="1" t="s">
        <v>2130</v>
      </c>
      <c r="I490" s="1" t="s">
        <v>2131</v>
      </c>
      <c r="J490" s="1" t="s">
        <v>2132</v>
      </c>
      <c r="L490" s="1" t="s">
        <v>9</v>
      </c>
    </row>
    <row r="491" spans="1:12" ht="15.75" customHeight="1" x14ac:dyDescent="0.25">
      <c r="A491" s="1" t="s">
        <v>12</v>
      </c>
      <c r="B491" s="21">
        <v>4</v>
      </c>
      <c r="C491" s="1" t="s">
        <v>833</v>
      </c>
      <c r="D491" s="21">
        <v>26</v>
      </c>
      <c r="E491" s="1" t="s">
        <v>2116</v>
      </c>
      <c r="F491" s="21">
        <v>5</v>
      </c>
      <c r="G491" s="1" t="s">
        <v>2133</v>
      </c>
      <c r="H491" s="1" t="s">
        <v>2134</v>
      </c>
      <c r="I491" s="1" t="s">
        <v>2135</v>
      </c>
      <c r="J491" s="1" t="s">
        <v>2132</v>
      </c>
      <c r="L491" s="1" t="s">
        <v>7</v>
      </c>
    </row>
    <row r="492" spans="1:12" ht="15.75" customHeight="1" x14ac:dyDescent="0.25">
      <c r="A492" s="1" t="s">
        <v>12</v>
      </c>
      <c r="B492" s="21">
        <v>3</v>
      </c>
      <c r="C492" s="1" t="s">
        <v>495</v>
      </c>
      <c r="D492" s="21">
        <v>26</v>
      </c>
      <c r="E492" s="1" t="s">
        <v>2116</v>
      </c>
      <c r="F492" s="21">
        <v>6</v>
      </c>
      <c r="G492" s="1" t="s">
        <v>2136</v>
      </c>
      <c r="H492" s="1" t="s">
        <v>2137</v>
      </c>
      <c r="I492" s="1" t="s">
        <v>2138</v>
      </c>
      <c r="J492" s="1" t="s">
        <v>2139</v>
      </c>
      <c r="L492" s="1" t="s">
        <v>8</v>
      </c>
    </row>
    <row r="493" spans="1:12" ht="15.75" customHeight="1" x14ac:dyDescent="0.25">
      <c r="A493" s="1" t="s">
        <v>12</v>
      </c>
      <c r="B493" s="21">
        <v>1</v>
      </c>
      <c r="C493" s="1" t="s">
        <v>13</v>
      </c>
      <c r="D493" s="21">
        <v>26</v>
      </c>
      <c r="E493" s="1" t="s">
        <v>2116</v>
      </c>
      <c r="F493" s="21">
        <v>7</v>
      </c>
      <c r="G493" s="1" t="s">
        <v>2140</v>
      </c>
      <c r="H493" s="1" t="s">
        <v>2141</v>
      </c>
      <c r="I493" s="1" t="s">
        <v>2142</v>
      </c>
      <c r="J493" s="1" t="s">
        <v>2143</v>
      </c>
      <c r="L493" s="1" t="s">
        <v>8</v>
      </c>
    </row>
    <row r="494" spans="1:12" ht="15.75" customHeight="1" x14ac:dyDescent="0.25">
      <c r="A494" s="1" t="s">
        <v>12</v>
      </c>
      <c r="B494" s="21">
        <v>5</v>
      </c>
      <c r="C494" s="1" t="s">
        <v>1111</v>
      </c>
      <c r="D494" s="21">
        <v>26</v>
      </c>
      <c r="E494" s="1" t="s">
        <v>2116</v>
      </c>
      <c r="F494" s="21">
        <v>8</v>
      </c>
      <c r="G494" s="1" t="s">
        <v>2144</v>
      </c>
      <c r="H494" s="1" t="s">
        <v>2145</v>
      </c>
      <c r="I494" s="1" t="s">
        <v>2146</v>
      </c>
      <c r="J494" s="1" t="s">
        <v>2147</v>
      </c>
      <c r="L494" s="1" t="s">
        <v>8</v>
      </c>
    </row>
    <row r="495" spans="1:12" ht="15.75" customHeight="1" x14ac:dyDescent="0.25">
      <c r="A495" s="1" t="s">
        <v>12</v>
      </c>
      <c r="B495" s="21">
        <v>6</v>
      </c>
      <c r="C495" s="1" t="s">
        <v>8374</v>
      </c>
      <c r="D495" s="21">
        <v>26</v>
      </c>
      <c r="E495" s="1" t="s">
        <v>2116</v>
      </c>
      <c r="F495" s="21">
        <v>9</v>
      </c>
      <c r="G495" s="1" t="s">
        <v>2148</v>
      </c>
      <c r="H495" s="1" t="s">
        <v>2149</v>
      </c>
      <c r="I495" s="1" t="s">
        <v>2150</v>
      </c>
      <c r="J495" s="1" t="s">
        <v>2151</v>
      </c>
      <c r="L495" s="1" t="s">
        <v>8</v>
      </c>
    </row>
    <row r="496" spans="1:12" ht="15.75" customHeight="1" x14ac:dyDescent="0.25">
      <c r="A496" s="1" t="s">
        <v>12</v>
      </c>
      <c r="B496" s="21">
        <v>3</v>
      </c>
      <c r="C496" s="1" t="s">
        <v>495</v>
      </c>
      <c r="D496" s="21">
        <v>26</v>
      </c>
      <c r="E496" s="1" t="s">
        <v>2116</v>
      </c>
      <c r="F496" s="21">
        <v>10</v>
      </c>
      <c r="G496" s="1" t="s">
        <v>2152</v>
      </c>
      <c r="H496" s="1" t="s">
        <v>2153</v>
      </c>
      <c r="I496" s="1" t="s">
        <v>2154</v>
      </c>
      <c r="J496" s="1" t="s">
        <v>2155</v>
      </c>
      <c r="L496" s="1" t="s">
        <v>8</v>
      </c>
    </row>
    <row r="497" spans="1:12" ht="15.75" customHeight="1" x14ac:dyDescent="0.25">
      <c r="A497" s="1" t="s">
        <v>12</v>
      </c>
      <c r="B497" s="21">
        <v>8</v>
      </c>
      <c r="C497" s="9" t="s">
        <v>8066</v>
      </c>
      <c r="D497" s="21">
        <v>26</v>
      </c>
      <c r="E497" s="1" t="s">
        <v>2116</v>
      </c>
      <c r="F497" s="21">
        <v>11</v>
      </c>
      <c r="G497" s="1" t="s">
        <v>2156</v>
      </c>
      <c r="H497" s="1" t="s">
        <v>2157</v>
      </c>
      <c r="I497" s="1" t="s">
        <v>2158</v>
      </c>
      <c r="J497" s="1" t="s">
        <v>2159</v>
      </c>
      <c r="L497" s="1" t="s">
        <v>7</v>
      </c>
    </row>
    <row r="498" spans="1:12" ht="15.75" customHeight="1" x14ac:dyDescent="0.25">
      <c r="A498" s="1" t="s">
        <v>12</v>
      </c>
      <c r="B498" s="21">
        <v>1</v>
      </c>
      <c r="C498" s="1" t="s">
        <v>13</v>
      </c>
      <c r="D498" s="21">
        <v>26</v>
      </c>
      <c r="E498" s="1" t="s">
        <v>2116</v>
      </c>
      <c r="F498" s="21">
        <v>12</v>
      </c>
      <c r="G498" s="1" t="s">
        <v>2160</v>
      </c>
      <c r="H498" s="1" t="s">
        <v>2161</v>
      </c>
      <c r="I498" s="1" t="s">
        <v>2162</v>
      </c>
      <c r="J498" s="1" t="s">
        <v>2163</v>
      </c>
      <c r="L498" s="1" t="s">
        <v>9</v>
      </c>
    </row>
    <row r="499" spans="1:12" ht="15.75" customHeight="1" x14ac:dyDescent="0.25">
      <c r="A499" s="1" t="s">
        <v>12</v>
      </c>
      <c r="B499" s="21">
        <v>8</v>
      </c>
      <c r="C499" s="9" t="s">
        <v>8066</v>
      </c>
      <c r="D499" s="21">
        <v>26</v>
      </c>
      <c r="E499" s="1" t="s">
        <v>2116</v>
      </c>
      <c r="F499" s="21">
        <v>13</v>
      </c>
      <c r="G499" s="1" t="s">
        <v>2164</v>
      </c>
      <c r="H499" s="1" t="s">
        <v>2165</v>
      </c>
      <c r="I499" s="1" t="s">
        <v>2166</v>
      </c>
      <c r="J499" s="1" t="s">
        <v>2167</v>
      </c>
      <c r="L499" s="1" t="s">
        <v>9</v>
      </c>
    </row>
    <row r="500" spans="1:12" ht="15.75" customHeight="1" x14ac:dyDescent="0.25">
      <c r="A500" s="1" t="s">
        <v>12</v>
      </c>
      <c r="B500" s="21">
        <v>1</v>
      </c>
      <c r="C500" s="1" t="s">
        <v>13</v>
      </c>
      <c r="D500" s="21">
        <v>26</v>
      </c>
      <c r="E500" s="1" t="s">
        <v>2116</v>
      </c>
      <c r="F500" s="21">
        <v>14</v>
      </c>
      <c r="G500" s="1" t="s">
        <v>2168</v>
      </c>
      <c r="H500" s="1" t="s">
        <v>406</v>
      </c>
      <c r="I500" s="1" t="s">
        <v>2169</v>
      </c>
      <c r="J500" s="1" t="s">
        <v>407</v>
      </c>
      <c r="L500" s="1" t="s">
        <v>9</v>
      </c>
    </row>
    <row r="501" spans="1:12" ht="15.75" customHeight="1" x14ac:dyDescent="0.25">
      <c r="A501" s="1" t="s">
        <v>12</v>
      </c>
      <c r="B501" s="21">
        <v>4</v>
      </c>
      <c r="C501" s="1" t="s">
        <v>833</v>
      </c>
      <c r="D501" s="21">
        <v>26</v>
      </c>
      <c r="E501" s="1" t="s">
        <v>2116</v>
      </c>
      <c r="F501" s="21">
        <v>15</v>
      </c>
      <c r="G501" s="1" t="s">
        <v>2170</v>
      </c>
      <c r="H501" s="1" t="s">
        <v>2171</v>
      </c>
      <c r="I501" s="1" t="s">
        <v>2172</v>
      </c>
      <c r="J501" s="1" t="s">
        <v>2173</v>
      </c>
      <c r="L501" s="1" t="s">
        <v>8</v>
      </c>
    </row>
    <row r="502" spans="1:12" ht="15.75" customHeight="1" x14ac:dyDescent="0.25">
      <c r="A502" s="1" t="s">
        <v>12</v>
      </c>
      <c r="B502" s="21">
        <v>5</v>
      </c>
      <c r="C502" s="1" t="s">
        <v>1111</v>
      </c>
      <c r="D502" s="21">
        <v>26</v>
      </c>
      <c r="E502" s="1" t="s">
        <v>2116</v>
      </c>
      <c r="F502" s="21">
        <v>16</v>
      </c>
      <c r="G502" s="1" t="s">
        <v>2174</v>
      </c>
      <c r="H502" s="1" t="s">
        <v>2175</v>
      </c>
      <c r="I502" s="1" t="s">
        <v>2176</v>
      </c>
      <c r="J502" s="1" t="s">
        <v>2177</v>
      </c>
      <c r="L502" s="1" t="s">
        <v>7</v>
      </c>
    </row>
    <row r="503" spans="1:12" ht="15.75" customHeight="1" x14ac:dyDescent="0.25">
      <c r="A503" s="1" t="s">
        <v>12</v>
      </c>
      <c r="B503" s="21">
        <v>1</v>
      </c>
      <c r="C503" s="1" t="s">
        <v>13</v>
      </c>
      <c r="D503" s="21">
        <v>26</v>
      </c>
      <c r="E503" s="1" t="s">
        <v>2116</v>
      </c>
      <c r="F503" s="21">
        <v>17</v>
      </c>
      <c r="G503" s="1" t="s">
        <v>2178</v>
      </c>
      <c r="H503" s="1" t="s">
        <v>2179</v>
      </c>
      <c r="I503" s="1" t="s">
        <v>2180</v>
      </c>
      <c r="J503" s="1" t="s">
        <v>2181</v>
      </c>
      <c r="L503" s="1" t="s">
        <v>8</v>
      </c>
    </row>
    <row r="504" spans="1:12" ht="15.75" customHeight="1" x14ac:dyDescent="0.25">
      <c r="A504" s="1" t="s">
        <v>12</v>
      </c>
      <c r="B504" s="21">
        <v>6</v>
      </c>
      <c r="C504" s="1" t="s">
        <v>8374</v>
      </c>
      <c r="D504" s="21">
        <v>26</v>
      </c>
      <c r="E504" s="1" t="s">
        <v>2116</v>
      </c>
      <c r="F504" s="21">
        <v>18</v>
      </c>
      <c r="G504" s="1" t="s">
        <v>2182</v>
      </c>
      <c r="H504" s="1" t="s">
        <v>2183</v>
      </c>
      <c r="I504" s="1" t="s">
        <v>2184</v>
      </c>
      <c r="J504" s="1" t="s">
        <v>2185</v>
      </c>
      <c r="L504" s="1" t="s">
        <v>8</v>
      </c>
    </row>
    <row r="505" spans="1:12" ht="15.75" customHeight="1" x14ac:dyDescent="0.25">
      <c r="A505" s="1" t="s">
        <v>12</v>
      </c>
      <c r="B505" s="21">
        <v>2</v>
      </c>
      <c r="C505" s="1" t="s">
        <v>398</v>
      </c>
      <c r="D505" s="21">
        <v>26</v>
      </c>
      <c r="E505" s="1" t="s">
        <v>2116</v>
      </c>
      <c r="F505" s="21">
        <v>19</v>
      </c>
      <c r="G505" s="1" t="s">
        <v>2186</v>
      </c>
      <c r="H505" s="1" t="s">
        <v>2187</v>
      </c>
      <c r="I505" s="1" t="s">
        <v>2188</v>
      </c>
      <c r="J505" s="1" t="s">
        <v>2189</v>
      </c>
      <c r="L505" s="1" t="s">
        <v>9</v>
      </c>
    </row>
    <row r="506" spans="1:12" ht="15.75" customHeight="1" x14ac:dyDescent="0.25">
      <c r="A506" s="1" t="s">
        <v>12</v>
      </c>
      <c r="B506" s="21">
        <v>5</v>
      </c>
      <c r="C506" s="1" t="s">
        <v>1111</v>
      </c>
      <c r="D506" s="21">
        <v>26</v>
      </c>
      <c r="E506" s="1" t="s">
        <v>2116</v>
      </c>
      <c r="F506" s="21">
        <v>20</v>
      </c>
      <c r="G506" s="1" t="s">
        <v>2190</v>
      </c>
      <c r="H506" s="1" t="s">
        <v>2191</v>
      </c>
      <c r="I506" s="1" t="s">
        <v>2192</v>
      </c>
      <c r="J506" s="1" t="s">
        <v>763</v>
      </c>
      <c r="L506" s="1" t="s">
        <v>9</v>
      </c>
    </row>
    <row r="507" spans="1:12" ht="15.75" customHeight="1" x14ac:dyDescent="0.25">
      <c r="A507" s="1" t="s">
        <v>12</v>
      </c>
      <c r="B507" s="21">
        <v>6</v>
      </c>
      <c r="C507" s="1" t="s">
        <v>8374</v>
      </c>
      <c r="D507" s="21">
        <v>26</v>
      </c>
      <c r="E507" s="1" t="s">
        <v>2116</v>
      </c>
      <c r="F507" s="21">
        <v>21</v>
      </c>
      <c r="G507" s="1" t="s">
        <v>2193</v>
      </c>
      <c r="H507" s="1" t="s">
        <v>2194</v>
      </c>
      <c r="I507" s="1" t="s">
        <v>2195</v>
      </c>
      <c r="J507" s="1" t="s">
        <v>2196</v>
      </c>
      <c r="L507" s="1" t="s">
        <v>8</v>
      </c>
    </row>
    <row r="508" spans="1:12" ht="15.75" customHeight="1" x14ac:dyDescent="0.25">
      <c r="A508" s="1" t="s">
        <v>12</v>
      </c>
      <c r="B508" s="21">
        <v>2</v>
      </c>
      <c r="C508" s="1" t="s">
        <v>398</v>
      </c>
      <c r="D508" s="21">
        <v>26</v>
      </c>
      <c r="E508" s="1" t="s">
        <v>2116</v>
      </c>
      <c r="F508" s="21">
        <v>22</v>
      </c>
      <c r="G508" s="1" t="s">
        <v>2197</v>
      </c>
      <c r="H508" s="1" t="s">
        <v>407</v>
      </c>
      <c r="I508" s="1" t="s">
        <v>405</v>
      </c>
      <c r="J508" s="1" t="s">
        <v>406</v>
      </c>
      <c r="L508" s="1" t="s">
        <v>9</v>
      </c>
    </row>
    <row r="509" spans="1:12" ht="15.75" customHeight="1" x14ac:dyDescent="0.25">
      <c r="A509" s="1" t="s">
        <v>12</v>
      </c>
      <c r="B509" s="21">
        <v>1</v>
      </c>
      <c r="C509" s="1" t="s">
        <v>13</v>
      </c>
      <c r="D509" s="21">
        <v>26</v>
      </c>
      <c r="E509" s="1" t="s">
        <v>2116</v>
      </c>
      <c r="F509" s="21">
        <v>23</v>
      </c>
      <c r="G509" s="1" t="s">
        <v>2198</v>
      </c>
      <c r="H509" s="1" t="s">
        <v>2199</v>
      </c>
      <c r="I509" s="1" t="s">
        <v>2200</v>
      </c>
      <c r="J509" s="1" t="s">
        <v>2201</v>
      </c>
      <c r="L509" s="1" t="s">
        <v>7</v>
      </c>
    </row>
    <row r="510" spans="1:12" ht="15.75" customHeight="1" x14ac:dyDescent="0.25">
      <c r="A510" s="1" t="s">
        <v>12</v>
      </c>
      <c r="B510" s="21">
        <v>3</v>
      </c>
      <c r="C510" s="1" t="s">
        <v>495</v>
      </c>
      <c r="D510" s="21">
        <v>26</v>
      </c>
      <c r="E510" s="1" t="s">
        <v>2116</v>
      </c>
      <c r="F510" s="21">
        <v>24</v>
      </c>
      <c r="G510" s="1" t="s">
        <v>2202</v>
      </c>
      <c r="H510" s="1" t="s">
        <v>2203</v>
      </c>
      <c r="I510" s="1" t="s">
        <v>2204</v>
      </c>
      <c r="J510" s="1" t="s">
        <v>2205</v>
      </c>
      <c r="L510" s="1" t="s">
        <v>8</v>
      </c>
    </row>
    <row r="511" spans="1:12" ht="15.75" customHeight="1" x14ac:dyDescent="0.25">
      <c r="A511" s="1" t="s">
        <v>12</v>
      </c>
      <c r="B511" s="21">
        <v>6</v>
      </c>
      <c r="C511" s="1" t="s">
        <v>8374</v>
      </c>
      <c r="D511" s="21">
        <v>26</v>
      </c>
      <c r="E511" s="1" t="s">
        <v>2116</v>
      </c>
      <c r="F511" s="21">
        <v>25</v>
      </c>
      <c r="G511" s="1" t="s">
        <v>2206</v>
      </c>
      <c r="H511" s="1" t="s">
        <v>2207</v>
      </c>
      <c r="I511" s="1" t="s">
        <v>2208</v>
      </c>
      <c r="J511" s="1" t="s">
        <v>2209</v>
      </c>
      <c r="L511" s="1" t="s">
        <v>9</v>
      </c>
    </row>
    <row r="512" spans="1:12" ht="15.75" customHeight="1" x14ac:dyDescent="0.25">
      <c r="A512" s="1" t="s">
        <v>12</v>
      </c>
      <c r="B512" s="21">
        <v>4</v>
      </c>
      <c r="C512" s="1" t="s">
        <v>833</v>
      </c>
      <c r="D512" s="21">
        <v>26</v>
      </c>
      <c r="E512" s="1" t="s">
        <v>2116</v>
      </c>
      <c r="F512" s="21">
        <v>26</v>
      </c>
      <c r="G512" s="1" t="s">
        <v>2210</v>
      </c>
      <c r="H512" s="1" t="s">
        <v>2211</v>
      </c>
      <c r="I512" s="1" t="s">
        <v>2212</v>
      </c>
      <c r="J512" s="1" t="s">
        <v>2213</v>
      </c>
      <c r="L512" s="1" t="s">
        <v>8</v>
      </c>
    </row>
    <row r="513" spans="1:12" ht="15.75" customHeight="1" x14ac:dyDescent="0.25">
      <c r="A513" s="1" t="s">
        <v>12</v>
      </c>
      <c r="B513" s="21">
        <v>5</v>
      </c>
      <c r="C513" s="1" t="s">
        <v>1111</v>
      </c>
      <c r="D513" s="21">
        <v>26</v>
      </c>
      <c r="E513" s="1" t="s">
        <v>2116</v>
      </c>
      <c r="F513" s="21">
        <v>27</v>
      </c>
      <c r="G513" s="1" t="s">
        <v>2214</v>
      </c>
      <c r="H513" s="1" t="s">
        <v>2215</v>
      </c>
      <c r="I513" s="1" t="s">
        <v>2216</v>
      </c>
      <c r="J513" s="1" t="s">
        <v>2217</v>
      </c>
      <c r="L513" s="1" t="s">
        <v>8</v>
      </c>
    </row>
    <row r="514" spans="1:12" ht="15.75" customHeight="1" x14ac:dyDescent="0.25">
      <c r="A514" s="1" t="s">
        <v>12</v>
      </c>
      <c r="B514" s="21">
        <v>5</v>
      </c>
      <c r="C514" s="1" t="s">
        <v>1111</v>
      </c>
      <c r="D514" s="21">
        <v>26</v>
      </c>
      <c r="E514" s="1" t="s">
        <v>2116</v>
      </c>
      <c r="F514" s="21">
        <v>28</v>
      </c>
      <c r="G514" s="1" t="s">
        <v>2218</v>
      </c>
      <c r="H514" s="1" t="s">
        <v>2219</v>
      </c>
      <c r="I514" s="1" t="s">
        <v>2220</v>
      </c>
      <c r="J514" s="1" t="s">
        <v>2221</v>
      </c>
      <c r="L514" s="1" t="s">
        <v>9</v>
      </c>
    </row>
    <row r="515" spans="1:12" ht="15.75" customHeight="1" x14ac:dyDescent="0.25">
      <c r="A515" s="1" t="s">
        <v>12</v>
      </c>
      <c r="B515" s="21">
        <v>3</v>
      </c>
      <c r="C515" s="1" t="s">
        <v>495</v>
      </c>
      <c r="D515" s="21">
        <v>26</v>
      </c>
      <c r="E515" s="1" t="s">
        <v>2116</v>
      </c>
      <c r="F515" s="21">
        <v>29</v>
      </c>
      <c r="G515" s="1" t="s">
        <v>2222</v>
      </c>
      <c r="H515" s="1" t="s">
        <v>299</v>
      </c>
      <c r="I515" s="1" t="s">
        <v>2223</v>
      </c>
      <c r="J515" s="1" t="s">
        <v>2224</v>
      </c>
      <c r="L515" s="1" t="s">
        <v>9</v>
      </c>
    </row>
    <row r="516" spans="1:12" ht="15.75" customHeight="1" x14ac:dyDescent="0.25">
      <c r="A516" s="1" t="s">
        <v>12</v>
      </c>
      <c r="B516" s="21">
        <v>2</v>
      </c>
      <c r="C516" s="1" t="s">
        <v>398</v>
      </c>
      <c r="D516" s="21">
        <v>26</v>
      </c>
      <c r="E516" s="1" t="s">
        <v>2116</v>
      </c>
      <c r="F516" s="21">
        <v>30</v>
      </c>
      <c r="G516" s="1" t="s">
        <v>2225</v>
      </c>
      <c r="H516" s="1" t="s">
        <v>2226</v>
      </c>
      <c r="I516" s="1" t="s">
        <v>2227</v>
      </c>
      <c r="J516" s="1" t="s">
        <v>2228</v>
      </c>
      <c r="L516" s="1" t="s">
        <v>9</v>
      </c>
    </row>
    <row r="517" spans="1:12" ht="15.75" customHeight="1" x14ac:dyDescent="0.25">
      <c r="A517" s="1" t="s">
        <v>12</v>
      </c>
      <c r="B517" s="21">
        <v>5</v>
      </c>
      <c r="C517" s="1" t="s">
        <v>1111</v>
      </c>
      <c r="D517" s="21">
        <v>26</v>
      </c>
      <c r="E517" s="1" t="s">
        <v>2116</v>
      </c>
      <c r="F517" s="21">
        <v>31</v>
      </c>
      <c r="G517" s="1" t="s">
        <v>2229</v>
      </c>
      <c r="H517" s="1" t="s">
        <v>2230</v>
      </c>
      <c r="I517" s="1" t="s">
        <v>2231</v>
      </c>
      <c r="J517" s="1" t="s">
        <v>2232</v>
      </c>
      <c r="L517" s="1" t="s">
        <v>8</v>
      </c>
    </row>
    <row r="518" spans="1:12" ht="15.75" customHeight="1" x14ac:dyDescent="0.25">
      <c r="A518" s="1" t="s">
        <v>12</v>
      </c>
      <c r="B518" s="21">
        <v>2</v>
      </c>
      <c r="C518" s="1" t="s">
        <v>398</v>
      </c>
      <c r="D518" s="21">
        <v>26</v>
      </c>
      <c r="E518" s="1" t="s">
        <v>2116</v>
      </c>
      <c r="F518" s="21">
        <v>32</v>
      </c>
      <c r="G518" s="1" t="s">
        <v>2233</v>
      </c>
      <c r="H518" s="1" t="s">
        <v>2234</v>
      </c>
      <c r="I518" s="1" t="s">
        <v>2235</v>
      </c>
      <c r="J518" s="1" t="s">
        <v>432</v>
      </c>
      <c r="L518" s="1" t="s">
        <v>8</v>
      </c>
    </row>
    <row r="519" spans="1:12" ht="15.75" customHeight="1" x14ac:dyDescent="0.25">
      <c r="A519" s="1" t="s">
        <v>12</v>
      </c>
      <c r="B519" s="21">
        <v>1</v>
      </c>
      <c r="C519" s="1" t="s">
        <v>13</v>
      </c>
      <c r="D519" s="21">
        <v>26</v>
      </c>
      <c r="E519" s="1" t="s">
        <v>2116</v>
      </c>
      <c r="F519" s="21">
        <v>33</v>
      </c>
      <c r="G519" s="1" t="s">
        <v>2236</v>
      </c>
      <c r="H519" s="1" t="s">
        <v>2237</v>
      </c>
      <c r="I519" s="1" t="s">
        <v>2238</v>
      </c>
      <c r="J519" s="1" t="s">
        <v>2239</v>
      </c>
      <c r="L519" s="1" t="s">
        <v>8</v>
      </c>
    </row>
    <row r="520" spans="1:12" ht="15.75" customHeight="1" x14ac:dyDescent="0.25">
      <c r="A520" s="1" t="s">
        <v>12</v>
      </c>
      <c r="B520" s="21">
        <v>3</v>
      </c>
      <c r="C520" s="1" t="s">
        <v>495</v>
      </c>
      <c r="D520" s="21">
        <v>26</v>
      </c>
      <c r="E520" s="1" t="s">
        <v>2116</v>
      </c>
      <c r="F520" s="21">
        <v>34</v>
      </c>
      <c r="G520" s="1" t="s">
        <v>2240</v>
      </c>
      <c r="H520" s="1" t="s">
        <v>2241</v>
      </c>
      <c r="I520" s="1" t="s">
        <v>2242</v>
      </c>
      <c r="J520" s="1" t="s">
        <v>2243</v>
      </c>
      <c r="L520" s="1" t="s">
        <v>8</v>
      </c>
    </row>
    <row r="521" spans="1:12" ht="15.75" customHeight="1" x14ac:dyDescent="0.25">
      <c r="A521" s="1" t="s">
        <v>12</v>
      </c>
      <c r="B521" s="21">
        <v>2</v>
      </c>
      <c r="C521" s="1" t="s">
        <v>398</v>
      </c>
      <c r="D521" s="21">
        <v>26</v>
      </c>
      <c r="E521" s="1" t="s">
        <v>2116</v>
      </c>
      <c r="F521" s="21">
        <v>36</v>
      </c>
      <c r="G521" s="1" t="s">
        <v>2244</v>
      </c>
      <c r="H521" s="1" t="s">
        <v>2245</v>
      </c>
      <c r="I521" s="1" t="s">
        <v>2246</v>
      </c>
      <c r="J521" s="1" t="s">
        <v>2247</v>
      </c>
      <c r="L521" s="1" t="s">
        <v>8</v>
      </c>
    </row>
    <row r="522" spans="1:12" ht="15.75" customHeight="1" x14ac:dyDescent="0.25">
      <c r="A522" s="1" t="s">
        <v>12</v>
      </c>
      <c r="B522" s="21">
        <v>3</v>
      </c>
      <c r="C522" s="1" t="s">
        <v>495</v>
      </c>
      <c r="D522" s="21">
        <v>26</v>
      </c>
      <c r="E522" s="1" t="s">
        <v>2116</v>
      </c>
      <c r="F522" s="21">
        <v>37</v>
      </c>
      <c r="G522" s="1" t="s">
        <v>2248</v>
      </c>
      <c r="H522" s="1" t="s">
        <v>2249</v>
      </c>
      <c r="I522" s="1" t="s">
        <v>2250</v>
      </c>
      <c r="J522" s="1" t="s">
        <v>2251</v>
      </c>
      <c r="L522" s="1" t="s">
        <v>9</v>
      </c>
    </row>
    <row r="523" spans="1:12" ht="15.75" customHeight="1" x14ac:dyDescent="0.25">
      <c r="A523" s="1" t="s">
        <v>12</v>
      </c>
      <c r="B523" s="21">
        <v>5</v>
      </c>
      <c r="C523" s="1" t="s">
        <v>1111</v>
      </c>
      <c r="D523" s="21">
        <v>26</v>
      </c>
      <c r="E523" s="1" t="s">
        <v>2116</v>
      </c>
      <c r="F523" s="21">
        <v>38</v>
      </c>
      <c r="G523" s="1" t="s">
        <v>2252</v>
      </c>
      <c r="H523" s="1" t="s">
        <v>2253</v>
      </c>
      <c r="I523" s="1" t="s">
        <v>2254</v>
      </c>
      <c r="J523" s="1" t="s">
        <v>2255</v>
      </c>
      <c r="L523" s="1" t="s">
        <v>8</v>
      </c>
    </row>
    <row r="524" spans="1:12" ht="15.75" customHeight="1" x14ac:dyDescent="0.25">
      <c r="A524" s="1" t="s">
        <v>12</v>
      </c>
      <c r="B524" s="21">
        <v>5</v>
      </c>
      <c r="C524" s="1" t="s">
        <v>1111</v>
      </c>
      <c r="D524" s="21">
        <v>26</v>
      </c>
      <c r="E524" s="1" t="s">
        <v>2116</v>
      </c>
      <c r="F524" s="21">
        <v>39</v>
      </c>
      <c r="G524" s="1" t="s">
        <v>2256</v>
      </c>
      <c r="H524" s="1" t="s">
        <v>2257</v>
      </c>
      <c r="I524" s="1" t="s">
        <v>2230</v>
      </c>
      <c r="J524" s="1" t="s">
        <v>2258</v>
      </c>
      <c r="L524" s="1" t="s">
        <v>8</v>
      </c>
    </row>
    <row r="525" spans="1:12" ht="15.75" customHeight="1" x14ac:dyDescent="0.25">
      <c r="A525" s="1" t="s">
        <v>12</v>
      </c>
      <c r="B525" s="21">
        <v>4</v>
      </c>
      <c r="C525" s="1" t="s">
        <v>833</v>
      </c>
      <c r="D525" s="21">
        <v>26</v>
      </c>
      <c r="E525" s="1" t="s">
        <v>2116</v>
      </c>
      <c r="F525" s="21">
        <v>40</v>
      </c>
      <c r="G525" s="1" t="s">
        <v>2259</v>
      </c>
      <c r="H525" s="1" t="s">
        <v>2260</v>
      </c>
      <c r="I525" s="1" t="s">
        <v>2261</v>
      </c>
      <c r="J525" s="1" t="s">
        <v>2262</v>
      </c>
      <c r="L525" s="1" t="s">
        <v>7</v>
      </c>
    </row>
    <row r="526" spans="1:12" ht="15.75" customHeight="1" x14ac:dyDescent="0.25">
      <c r="A526" s="1" t="s">
        <v>12</v>
      </c>
      <c r="B526" s="21">
        <v>8</v>
      </c>
      <c r="C526" s="9" t="s">
        <v>8066</v>
      </c>
      <c r="D526" s="21">
        <v>26</v>
      </c>
      <c r="E526" s="1" t="s">
        <v>2116</v>
      </c>
      <c r="F526" s="21">
        <v>42</v>
      </c>
      <c r="G526" s="1" t="s">
        <v>2263</v>
      </c>
      <c r="H526" s="1" t="s">
        <v>2264</v>
      </c>
      <c r="I526" s="1" t="s">
        <v>2265</v>
      </c>
      <c r="J526" s="1" t="s">
        <v>2266</v>
      </c>
      <c r="L526" s="1" t="s">
        <v>8</v>
      </c>
    </row>
    <row r="527" spans="1:12" ht="15.75" customHeight="1" x14ac:dyDescent="0.25">
      <c r="A527" s="1" t="s">
        <v>12</v>
      </c>
      <c r="B527" s="21">
        <v>1</v>
      </c>
      <c r="C527" s="1" t="s">
        <v>13</v>
      </c>
      <c r="D527" s="21">
        <v>27</v>
      </c>
      <c r="E527" s="1" t="s">
        <v>2267</v>
      </c>
      <c r="F527" s="21">
        <v>1</v>
      </c>
      <c r="G527" s="1" t="s">
        <v>2268</v>
      </c>
      <c r="H527" s="1" t="s">
        <v>1288</v>
      </c>
      <c r="I527" s="1" t="s">
        <v>1289</v>
      </c>
      <c r="J527" s="1" t="s">
        <v>789</v>
      </c>
      <c r="L527" s="1" t="s">
        <v>8</v>
      </c>
    </row>
    <row r="528" spans="1:12" ht="15.75" customHeight="1" x14ac:dyDescent="0.25">
      <c r="A528" s="1" t="s">
        <v>12</v>
      </c>
      <c r="B528" s="21">
        <v>3</v>
      </c>
      <c r="C528" s="1" t="s">
        <v>495</v>
      </c>
      <c r="D528" s="21">
        <v>27</v>
      </c>
      <c r="E528" s="1" t="s">
        <v>2267</v>
      </c>
      <c r="F528" s="21">
        <v>2</v>
      </c>
      <c r="G528" s="1" t="s">
        <v>2269</v>
      </c>
      <c r="H528" s="1" t="s">
        <v>874</v>
      </c>
      <c r="I528" s="1" t="s">
        <v>875</v>
      </c>
      <c r="J528" s="1" t="s">
        <v>2270</v>
      </c>
      <c r="L528" s="1" t="s">
        <v>7</v>
      </c>
    </row>
    <row r="529" spans="1:12" ht="15.75" customHeight="1" x14ac:dyDescent="0.25">
      <c r="A529" s="1" t="s">
        <v>12</v>
      </c>
      <c r="B529" s="21">
        <v>3</v>
      </c>
      <c r="C529" s="1" t="s">
        <v>495</v>
      </c>
      <c r="D529" s="21">
        <v>27</v>
      </c>
      <c r="E529" s="1" t="s">
        <v>2267</v>
      </c>
      <c r="F529" s="21">
        <v>3</v>
      </c>
      <c r="G529" s="1" t="s">
        <v>2271</v>
      </c>
      <c r="H529" s="1" t="s">
        <v>2272</v>
      </c>
      <c r="I529" s="1" t="s">
        <v>2273</v>
      </c>
      <c r="J529" s="1" t="s">
        <v>2274</v>
      </c>
      <c r="L529" s="1" t="s">
        <v>7</v>
      </c>
    </row>
    <row r="530" spans="1:12" ht="15.75" customHeight="1" x14ac:dyDescent="0.25">
      <c r="A530" s="1" t="s">
        <v>12</v>
      </c>
      <c r="B530" s="21">
        <v>2</v>
      </c>
      <c r="C530" s="1" t="s">
        <v>398</v>
      </c>
      <c r="D530" s="21">
        <v>27</v>
      </c>
      <c r="E530" s="1" t="s">
        <v>2267</v>
      </c>
      <c r="F530" s="21">
        <v>4</v>
      </c>
      <c r="G530" s="1" t="s">
        <v>2275</v>
      </c>
      <c r="H530" s="1" t="s">
        <v>2276</v>
      </c>
      <c r="I530" s="1" t="s">
        <v>2277</v>
      </c>
      <c r="J530" s="1" t="s">
        <v>2278</v>
      </c>
      <c r="L530" s="1" t="s">
        <v>9</v>
      </c>
    </row>
    <row r="531" spans="1:12" ht="15.75" customHeight="1" x14ac:dyDescent="0.25">
      <c r="A531" s="1" t="s">
        <v>12</v>
      </c>
      <c r="B531" s="21">
        <v>5</v>
      </c>
      <c r="C531" s="1" t="s">
        <v>1111</v>
      </c>
      <c r="D531" s="21">
        <v>27</v>
      </c>
      <c r="E531" s="1" t="s">
        <v>2267</v>
      </c>
      <c r="F531" s="21">
        <v>5</v>
      </c>
      <c r="G531" s="1" t="s">
        <v>2279</v>
      </c>
      <c r="H531" s="1" t="s">
        <v>2280</v>
      </c>
      <c r="I531" s="1" t="s">
        <v>2281</v>
      </c>
      <c r="J531" s="1" t="s">
        <v>2282</v>
      </c>
      <c r="L531" s="1" t="s">
        <v>8</v>
      </c>
    </row>
    <row r="532" spans="1:12" ht="15.75" customHeight="1" x14ac:dyDescent="0.25">
      <c r="A532" s="1" t="s">
        <v>12</v>
      </c>
      <c r="B532" s="21">
        <v>4</v>
      </c>
      <c r="C532" s="1" t="s">
        <v>833</v>
      </c>
      <c r="D532" s="21">
        <v>27</v>
      </c>
      <c r="E532" s="1" t="s">
        <v>2267</v>
      </c>
      <c r="F532" s="21">
        <v>6</v>
      </c>
      <c r="G532" s="1" t="s">
        <v>2283</v>
      </c>
      <c r="H532" s="1" t="s">
        <v>2284</v>
      </c>
      <c r="I532" s="1" t="s">
        <v>2285</v>
      </c>
      <c r="J532" s="1" t="s">
        <v>766</v>
      </c>
      <c r="L532" s="1" t="s">
        <v>8</v>
      </c>
    </row>
    <row r="533" spans="1:12" ht="15.75" customHeight="1" x14ac:dyDescent="0.25">
      <c r="A533" s="1" t="s">
        <v>12</v>
      </c>
      <c r="B533" s="21">
        <v>4</v>
      </c>
      <c r="C533" s="1" t="s">
        <v>833</v>
      </c>
      <c r="D533" s="21">
        <v>27</v>
      </c>
      <c r="E533" s="1" t="s">
        <v>2267</v>
      </c>
      <c r="F533" s="21">
        <v>7</v>
      </c>
      <c r="G533" s="1" t="s">
        <v>2286</v>
      </c>
      <c r="H533" s="1" t="s">
        <v>874</v>
      </c>
      <c r="I533" s="1" t="s">
        <v>875</v>
      </c>
      <c r="J533" s="1" t="s">
        <v>2287</v>
      </c>
      <c r="L533" s="1" t="s">
        <v>7</v>
      </c>
    </row>
    <row r="534" spans="1:12" ht="15.75" customHeight="1" x14ac:dyDescent="0.25">
      <c r="A534" s="1" t="s">
        <v>12</v>
      </c>
      <c r="B534" s="21">
        <v>6</v>
      </c>
      <c r="C534" s="1" t="s">
        <v>8374</v>
      </c>
      <c r="D534" s="21">
        <v>27</v>
      </c>
      <c r="E534" s="1" t="s">
        <v>2267</v>
      </c>
      <c r="F534" s="21">
        <v>8</v>
      </c>
      <c r="G534" s="1" t="s">
        <v>2288</v>
      </c>
      <c r="H534" s="1" t="s">
        <v>2289</v>
      </c>
      <c r="I534" s="1" t="s">
        <v>2290</v>
      </c>
      <c r="J534" s="1" t="s">
        <v>2291</v>
      </c>
      <c r="L534" s="1" t="s">
        <v>8</v>
      </c>
    </row>
    <row r="535" spans="1:12" ht="15.75" customHeight="1" x14ac:dyDescent="0.25">
      <c r="A535" s="1" t="s">
        <v>12</v>
      </c>
      <c r="B535" s="21">
        <v>6</v>
      </c>
      <c r="C535" s="1" t="s">
        <v>8374</v>
      </c>
      <c r="D535" s="21">
        <v>27</v>
      </c>
      <c r="E535" s="1" t="s">
        <v>2267</v>
      </c>
      <c r="F535" s="21">
        <v>9</v>
      </c>
      <c r="G535" s="1" t="s">
        <v>2292</v>
      </c>
      <c r="H535" s="1" t="s">
        <v>2293</v>
      </c>
      <c r="I535" s="1" t="s">
        <v>2294</v>
      </c>
      <c r="J535" s="1" t="s">
        <v>2295</v>
      </c>
      <c r="L535" s="1" t="s">
        <v>9</v>
      </c>
    </row>
    <row r="536" spans="1:12" ht="15.75" customHeight="1" x14ac:dyDescent="0.25">
      <c r="A536" s="1" t="s">
        <v>12</v>
      </c>
      <c r="B536" s="21">
        <v>2</v>
      </c>
      <c r="C536" s="1" t="s">
        <v>398</v>
      </c>
      <c r="D536" s="21">
        <v>27</v>
      </c>
      <c r="E536" s="1" t="s">
        <v>2267</v>
      </c>
      <c r="F536" s="21">
        <v>11</v>
      </c>
      <c r="G536" s="1" t="s">
        <v>2297</v>
      </c>
      <c r="H536" s="1" t="s">
        <v>2298</v>
      </c>
      <c r="I536" s="1" t="s">
        <v>2299</v>
      </c>
      <c r="J536" s="1" t="s">
        <v>2300</v>
      </c>
      <c r="L536" s="1" t="s">
        <v>8</v>
      </c>
    </row>
    <row r="537" spans="1:12" ht="15.75" customHeight="1" x14ac:dyDescent="0.25">
      <c r="A537" s="1" t="s">
        <v>12</v>
      </c>
      <c r="B537" s="21">
        <v>3</v>
      </c>
      <c r="C537" s="1" t="s">
        <v>495</v>
      </c>
      <c r="D537" s="21">
        <v>27</v>
      </c>
      <c r="E537" s="1" t="s">
        <v>2267</v>
      </c>
      <c r="F537" s="21">
        <v>12</v>
      </c>
      <c r="G537" s="1" t="s">
        <v>2301</v>
      </c>
      <c r="H537" s="1" t="s">
        <v>2302</v>
      </c>
      <c r="I537" s="1" t="s">
        <v>2303</v>
      </c>
      <c r="J537" s="1" t="s">
        <v>2304</v>
      </c>
      <c r="L537" s="1" t="s">
        <v>8</v>
      </c>
    </row>
    <row r="538" spans="1:12" ht="15.75" customHeight="1" x14ac:dyDescent="0.25">
      <c r="A538" s="1" t="s">
        <v>12</v>
      </c>
      <c r="B538" s="21">
        <v>3</v>
      </c>
      <c r="C538" s="1" t="s">
        <v>495</v>
      </c>
      <c r="D538" s="21">
        <v>27</v>
      </c>
      <c r="E538" s="1" t="s">
        <v>2267</v>
      </c>
      <c r="F538" s="21">
        <v>13</v>
      </c>
      <c r="G538" s="1" t="s">
        <v>2305</v>
      </c>
      <c r="H538" s="1" t="s">
        <v>2306</v>
      </c>
      <c r="I538" s="1" t="s">
        <v>2307</v>
      </c>
      <c r="J538" s="1" t="s">
        <v>2308</v>
      </c>
      <c r="L538" s="1" t="s">
        <v>8</v>
      </c>
    </row>
    <row r="539" spans="1:12" ht="15.75" customHeight="1" x14ac:dyDescent="0.25">
      <c r="A539" s="1" t="s">
        <v>12</v>
      </c>
      <c r="B539" s="21">
        <v>4</v>
      </c>
      <c r="C539" s="1" t="s">
        <v>833</v>
      </c>
      <c r="D539" s="21">
        <v>27</v>
      </c>
      <c r="E539" s="1" t="s">
        <v>2267</v>
      </c>
      <c r="F539" s="21">
        <v>14</v>
      </c>
      <c r="G539" s="1" t="s">
        <v>2309</v>
      </c>
      <c r="H539" s="1" t="s">
        <v>2310</v>
      </c>
      <c r="I539" s="1" t="s">
        <v>2311</v>
      </c>
      <c r="J539" s="1" t="s">
        <v>2132</v>
      </c>
      <c r="L539" s="1" t="s">
        <v>9</v>
      </c>
    </row>
    <row r="540" spans="1:12" ht="15.75" customHeight="1" x14ac:dyDescent="0.25">
      <c r="A540" s="1" t="s">
        <v>12</v>
      </c>
      <c r="B540" s="21">
        <v>4</v>
      </c>
      <c r="C540" s="1" t="s">
        <v>833</v>
      </c>
      <c r="D540" s="21">
        <v>27</v>
      </c>
      <c r="E540" s="1" t="s">
        <v>2267</v>
      </c>
      <c r="F540" s="21">
        <v>15</v>
      </c>
      <c r="G540" s="1" t="s">
        <v>2312</v>
      </c>
      <c r="H540" s="1" t="s">
        <v>2313</v>
      </c>
      <c r="I540" s="1" t="s">
        <v>2314</v>
      </c>
      <c r="J540" s="1" t="s">
        <v>2315</v>
      </c>
      <c r="L540" s="1" t="s">
        <v>8</v>
      </c>
    </row>
    <row r="541" spans="1:12" ht="15.75" customHeight="1" x14ac:dyDescent="0.25">
      <c r="A541" s="1" t="s">
        <v>12</v>
      </c>
      <c r="B541" s="21">
        <v>5</v>
      </c>
      <c r="C541" s="1" t="s">
        <v>1111</v>
      </c>
      <c r="D541" s="21">
        <v>27</v>
      </c>
      <c r="E541" s="1" t="s">
        <v>2267</v>
      </c>
      <c r="F541" s="21">
        <v>16</v>
      </c>
      <c r="G541" s="1" t="s">
        <v>2316</v>
      </c>
      <c r="H541" s="1" t="s">
        <v>867</v>
      </c>
      <c r="I541" s="1" t="s">
        <v>2317</v>
      </c>
      <c r="J541" s="1" t="s">
        <v>2219</v>
      </c>
      <c r="L541" s="1" t="s">
        <v>8</v>
      </c>
    </row>
    <row r="542" spans="1:12" ht="15.75" customHeight="1" x14ac:dyDescent="0.25">
      <c r="A542" s="1" t="s">
        <v>12</v>
      </c>
      <c r="B542" s="21">
        <v>4</v>
      </c>
      <c r="C542" s="1" t="s">
        <v>833</v>
      </c>
      <c r="D542" s="21">
        <v>27</v>
      </c>
      <c r="E542" s="1" t="s">
        <v>2267</v>
      </c>
      <c r="F542" s="21">
        <v>17</v>
      </c>
      <c r="G542" s="1" t="s">
        <v>2318</v>
      </c>
      <c r="H542" s="1" t="s">
        <v>2319</v>
      </c>
      <c r="I542" s="1" t="s">
        <v>2320</v>
      </c>
      <c r="J542" s="1" t="s">
        <v>2321</v>
      </c>
      <c r="L542" s="1" t="s">
        <v>7</v>
      </c>
    </row>
    <row r="543" spans="1:12" ht="15.75" customHeight="1" x14ac:dyDescent="0.25">
      <c r="A543" s="1" t="s">
        <v>12</v>
      </c>
      <c r="B543" s="21">
        <v>8</v>
      </c>
      <c r="C543" s="9" t="s">
        <v>8066</v>
      </c>
      <c r="D543" s="21">
        <v>27</v>
      </c>
      <c r="E543" s="1" t="s">
        <v>2267</v>
      </c>
      <c r="F543" s="21">
        <v>18</v>
      </c>
      <c r="G543" s="1" t="s">
        <v>2322</v>
      </c>
      <c r="H543" s="1" t="s">
        <v>2323</v>
      </c>
      <c r="I543" s="1" t="s">
        <v>2324</v>
      </c>
      <c r="J543" s="1" t="s">
        <v>2325</v>
      </c>
      <c r="L543" s="1" t="s">
        <v>8</v>
      </c>
    </row>
    <row r="544" spans="1:12" ht="15.75" customHeight="1" x14ac:dyDescent="0.25">
      <c r="A544" s="1" t="s">
        <v>12</v>
      </c>
      <c r="B544" s="21">
        <v>6</v>
      </c>
      <c r="C544" s="1" t="s">
        <v>8374</v>
      </c>
      <c r="D544" s="21">
        <v>27</v>
      </c>
      <c r="E544" s="1" t="s">
        <v>2267</v>
      </c>
      <c r="F544" s="21">
        <v>20</v>
      </c>
      <c r="G544" s="1" t="s">
        <v>2326</v>
      </c>
      <c r="H544" s="1" t="s">
        <v>2327</v>
      </c>
      <c r="I544" s="1" t="s">
        <v>2328</v>
      </c>
      <c r="J544" s="1" t="s">
        <v>2329</v>
      </c>
      <c r="L544" s="1" t="s">
        <v>8</v>
      </c>
    </row>
    <row r="545" spans="1:12" ht="15.75" customHeight="1" x14ac:dyDescent="0.25">
      <c r="A545" s="1" t="s">
        <v>12</v>
      </c>
      <c r="B545" s="21">
        <v>1</v>
      </c>
      <c r="C545" s="1" t="s">
        <v>13</v>
      </c>
      <c r="D545" s="21">
        <v>27</v>
      </c>
      <c r="E545" s="1" t="s">
        <v>2267</v>
      </c>
      <c r="F545" s="21">
        <v>21</v>
      </c>
      <c r="G545" s="1" t="s">
        <v>2330</v>
      </c>
      <c r="H545" s="1" t="s">
        <v>2331</v>
      </c>
      <c r="I545" s="1" t="s">
        <v>2332</v>
      </c>
      <c r="J545" s="1" t="s">
        <v>2333</v>
      </c>
      <c r="L545" s="1" t="s">
        <v>9</v>
      </c>
    </row>
    <row r="546" spans="1:12" ht="15.75" customHeight="1" x14ac:dyDescent="0.25">
      <c r="A546" s="1" t="s">
        <v>12</v>
      </c>
      <c r="B546" s="21">
        <v>1</v>
      </c>
      <c r="C546" s="1" t="s">
        <v>13</v>
      </c>
      <c r="D546" s="21">
        <v>27</v>
      </c>
      <c r="E546" s="1" t="s">
        <v>2267</v>
      </c>
      <c r="F546" s="21">
        <v>22</v>
      </c>
      <c r="G546" s="1" t="s">
        <v>2334</v>
      </c>
      <c r="H546" s="1" t="s">
        <v>2141</v>
      </c>
      <c r="I546" s="1" t="s">
        <v>2335</v>
      </c>
      <c r="J546" s="1" t="s">
        <v>2336</v>
      </c>
      <c r="L546" s="1" t="s">
        <v>8</v>
      </c>
    </row>
    <row r="547" spans="1:12" ht="15.75" customHeight="1" x14ac:dyDescent="0.25">
      <c r="A547" s="1" t="s">
        <v>12</v>
      </c>
      <c r="B547" s="21">
        <v>1</v>
      </c>
      <c r="C547" s="1" t="s">
        <v>13</v>
      </c>
      <c r="D547" s="21">
        <v>28</v>
      </c>
      <c r="E547" s="1" t="s">
        <v>2337</v>
      </c>
      <c r="F547" s="21">
        <v>1</v>
      </c>
      <c r="G547" s="1" t="s">
        <v>2338</v>
      </c>
      <c r="H547" s="1" t="s">
        <v>2339</v>
      </c>
      <c r="I547" s="1" t="s">
        <v>2340</v>
      </c>
      <c r="J547" s="1" t="s">
        <v>763</v>
      </c>
      <c r="L547" s="1" t="s">
        <v>9</v>
      </c>
    </row>
    <row r="548" spans="1:12" ht="15.75" customHeight="1" x14ac:dyDescent="0.25">
      <c r="A548" s="1" t="s">
        <v>12</v>
      </c>
      <c r="B548" s="21">
        <v>1</v>
      </c>
      <c r="C548" s="1" t="s">
        <v>13</v>
      </c>
      <c r="D548" s="21">
        <v>28</v>
      </c>
      <c r="E548" s="1" t="s">
        <v>2337</v>
      </c>
      <c r="F548" s="21">
        <v>2</v>
      </c>
      <c r="G548" s="1" t="s">
        <v>2341</v>
      </c>
      <c r="H548" s="1" t="s">
        <v>2342</v>
      </c>
      <c r="I548" s="1" t="s">
        <v>2343</v>
      </c>
      <c r="J548" s="1" t="s">
        <v>2132</v>
      </c>
      <c r="L548" s="1" t="s">
        <v>9</v>
      </c>
    </row>
    <row r="549" spans="1:12" ht="15.75" customHeight="1" x14ac:dyDescent="0.25">
      <c r="A549" s="1" t="s">
        <v>12</v>
      </c>
      <c r="B549" s="21">
        <v>1</v>
      </c>
      <c r="C549" s="1" t="s">
        <v>13</v>
      </c>
      <c r="D549" s="21">
        <v>28</v>
      </c>
      <c r="E549" s="1" t="s">
        <v>2337</v>
      </c>
      <c r="F549" s="21">
        <v>3</v>
      </c>
      <c r="G549" s="1" t="s">
        <v>2344</v>
      </c>
      <c r="H549" s="1" t="s">
        <v>2345</v>
      </c>
      <c r="I549" s="1" t="s">
        <v>2346</v>
      </c>
      <c r="J549" s="1" t="s">
        <v>2347</v>
      </c>
      <c r="L549" s="1" t="s">
        <v>8</v>
      </c>
    </row>
    <row r="550" spans="1:12" ht="15.75" customHeight="1" x14ac:dyDescent="0.25">
      <c r="A550" s="1" t="s">
        <v>12</v>
      </c>
      <c r="B550" s="21">
        <v>2</v>
      </c>
      <c r="C550" s="1" t="s">
        <v>398</v>
      </c>
      <c r="D550" s="21">
        <v>28</v>
      </c>
      <c r="E550" s="1" t="s">
        <v>2337</v>
      </c>
      <c r="F550" s="21">
        <v>4</v>
      </c>
      <c r="G550" s="1" t="s">
        <v>2348</v>
      </c>
      <c r="H550" s="1" t="s">
        <v>2349</v>
      </c>
      <c r="I550" s="1" t="s">
        <v>2350</v>
      </c>
      <c r="J550" s="1" t="s">
        <v>2351</v>
      </c>
      <c r="L550" s="1" t="s">
        <v>7</v>
      </c>
    </row>
    <row r="551" spans="1:12" ht="15.75" customHeight="1" x14ac:dyDescent="0.25">
      <c r="A551" s="1" t="s">
        <v>12</v>
      </c>
      <c r="B551" s="21">
        <v>2</v>
      </c>
      <c r="C551" s="1" t="s">
        <v>398</v>
      </c>
      <c r="D551" s="21">
        <v>28</v>
      </c>
      <c r="E551" s="1" t="s">
        <v>2337</v>
      </c>
      <c r="F551" s="21">
        <v>5</v>
      </c>
      <c r="G551" s="1" t="s">
        <v>2352</v>
      </c>
      <c r="H551" s="1" t="s">
        <v>2353</v>
      </c>
      <c r="I551" s="1" t="s">
        <v>2354</v>
      </c>
      <c r="J551" s="1" t="s">
        <v>2355</v>
      </c>
      <c r="L551" s="1" t="s">
        <v>8</v>
      </c>
    </row>
    <row r="552" spans="1:12" ht="15.75" customHeight="1" x14ac:dyDescent="0.25">
      <c r="A552" s="1" t="s">
        <v>12</v>
      </c>
      <c r="B552" s="21">
        <v>3</v>
      </c>
      <c r="C552" s="1" t="s">
        <v>495</v>
      </c>
      <c r="D552" s="21">
        <v>28</v>
      </c>
      <c r="E552" s="1" t="s">
        <v>2337</v>
      </c>
      <c r="F552" s="21">
        <v>6</v>
      </c>
      <c r="G552" s="1" t="s">
        <v>2356</v>
      </c>
      <c r="H552" s="1" t="s">
        <v>2357</v>
      </c>
      <c r="I552" s="1" t="s">
        <v>2358</v>
      </c>
      <c r="J552" s="1" t="s">
        <v>2359</v>
      </c>
      <c r="L552" s="1" t="s">
        <v>9</v>
      </c>
    </row>
    <row r="553" spans="1:12" ht="15.75" customHeight="1" x14ac:dyDescent="0.25">
      <c r="A553" s="1" t="s">
        <v>12</v>
      </c>
      <c r="B553" s="21">
        <v>5</v>
      </c>
      <c r="C553" s="1" t="s">
        <v>1111</v>
      </c>
      <c r="D553" s="21">
        <v>28</v>
      </c>
      <c r="E553" s="1" t="s">
        <v>2337</v>
      </c>
      <c r="F553" s="21">
        <v>7</v>
      </c>
      <c r="G553" s="1" t="s">
        <v>2360</v>
      </c>
      <c r="H553" s="1" t="s">
        <v>2361</v>
      </c>
      <c r="I553" s="1" t="s">
        <v>2362</v>
      </c>
      <c r="J553" s="1" t="s">
        <v>2363</v>
      </c>
      <c r="L553" s="1" t="s">
        <v>7</v>
      </c>
    </row>
    <row r="554" spans="1:12" ht="15.75" customHeight="1" x14ac:dyDescent="0.25">
      <c r="A554" s="1" t="s">
        <v>12</v>
      </c>
      <c r="B554" s="21">
        <v>5</v>
      </c>
      <c r="C554" s="1" t="s">
        <v>1111</v>
      </c>
      <c r="D554" s="21">
        <v>28</v>
      </c>
      <c r="E554" s="1" t="s">
        <v>2337</v>
      </c>
      <c r="F554" s="21">
        <v>8</v>
      </c>
      <c r="G554" s="1" t="s">
        <v>2364</v>
      </c>
      <c r="H554" s="1" t="s">
        <v>2365</v>
      </c>
      <c r="I554" s="1" t="s">
        <v>2366</v>
      </c>
      <c r="J554" s="1" t="s">
        <v>2367</v>
      </c>
      <c r="L554" s="1" t="s">
        <v>9</v>
      </c>
    </row>
    <row r="555" spans="1:12" ht="15.75" customHeight="1" x14ac:dyDescent="0.25">
      <c r="A555" s="1" t="s">
        <v>12</v>
      </c>
      <c r="B555" s="21">
        <v>4</v>
      </c>
      <c r="C555" s="1" t="s">
        <v>833</v>
      </c>
      <c r="D555" s="21">
        <v>28</v>
      </c>
      <c r="E555" s="1" t="s">
        <v>2337</v>
      </c>
      <c r="F555" s="21">
        <v>9</v>
      </c>
      <c r="G555" s="1" t="s">
        <v>2368</v>
      </c>
      <c r="H555" s="1" t="s">
        <v>2369</v>
      </c>
      <c r="I555" s="1" t="s">
        <v>2370</v>
      </c>
      <c r="J555" s="1" t="s">
        <v>2371</v>
      </c>
      <c r="L555" s="1" t="s">
        <v>8</v>
      </c>
    </row>
    <row r="556" spans="1:12" ht="15.75" customHeight="1" x14ac:dyDescent="0.25">
      <c r="A556" s="1" t="s">
        <v>12</v>
      </c>
      <c r="B556" s="21">
        <v>6</v>
      </c>
      <c r="C556" s="1" t="s">
        <v>8374</v>
      </c>
      <c r="D556" s="21">
        <v>28</v>
      </c>
      <c r="E556" s="1" t="s">
        <v>2337</v>
      </c>
      <c r="F556" s="21">
        <v>10</v>
      </c>
      <c r="G556" s="1" t="s">
        <v>2372</v>
      </c>
      <c r="H556" s="1" t="s">
        <v>2373</v>
      </c>
      <c r="I556" s="1" t="s">
        <v>2374</v>
      </c>
      <c r="J556" s="1" t="s">
        <v>2375</v>
      </c>
      <c r="L556" s="1" t="s">
        <v>8</v>
      </c>
    </row>
    <row r="557" spans="1:12" ht="15.75" customHeight="1" x14ac:dyDescent="0.25">
      <c r="A557" s="1" t="s">
        <v>12</v>
      </c>
      <c r="B557" s="21">
        <v>5</v>
      </c>
      <c r="C557" s="1" t="s">
        <v>1111</v>
      </c>
      <c r="D557" s="21">
        <v>28</v>
      </c>
      <c r="E557" s="1" t="s">
        <v>2337</v>
      </c>
      <c r="F557" s="21">
        <v>11</v>
      </c>
      <c r="G557" s="1" t="s">
        <v>2376</v>
      </c>
      <c r="H557" s="1" t="s">
        <v>2232</v>
      </c>
      <c r="I557" s="1" t="s">
        <v>2230</v>
      </c>
      <c r="J557" s="1" t="s">
        <v>2377</v>
      </c>
      <c r="L557" s="1" t="s">
        <v>8</v>
      </c>
    </row>
    <row r="558" spans="1:12" ht="15.75" customHeight="1" x14ac:dyDescent="0.25">
      <c r="A558" s="1" t="s">
        <v>12</v>
      </c>
      <c r="B558" s="21">
        <v>5</v>
      </c>
      <c r="C558" s="1" t="s">
        <v>1111</v>
      </c>
      <c r="D558" s="21">
        <v>28</v>
      </c>
      <c r="E558" s="1" t="s">
        <v>2337</v>
      </c>
      <c r="F558" s="21">
        <v>12</v>
      </c>
      <c r="G558" s="1" t="s">
        <v>2378</v>
      </c>
      <c r="H558" s="1" t="s">
        <v>938</v>
      </c>
      <c r="I558" s="1" t="s">
        <v>937</v>
      </c>
      <c r="J558" s="1" t="s">
        <v>2379</v>
      </c>
      <c r="L558" s="1" t="s">
        <v>7</v>
      </c>
    </row>
    <row r="559" spans="1:12" ht="15.75" customHeight="1" x14ac:dyDescent="0.25">
      <c r="A559" s="1" t="s">
        <v>12</v>
      </c>
      <c r="B559" s="21">
        <v>1</v>
      </c>
      <c r="C559" s="1" t="s">
        <v>13</v>
      </c>
      <c r="D559" s="21">
        <v>28</v>
      </c>
      <c r="E559" s="1" t="s">
        <v>2337</v>
      </c>
      <c r="F559" s="21">
        <v>13</v>
      </c>
      <c r="G559" s="1" t="s">
        <v>2380</v>
      </c>
      <c r="H559" s="1" t="s">
        <v>2381</v>
      </c>
      <c r="I559" s="1" t="s">
        <v>2382</v>
      </c>
      <c r="J559" s="1" t="s">
        <v>2383</v>
      </c>
      <c r="L559" s="1" t="s">
        <v>8</v>
      </c>
    </row>
    <row r="560" spans="1:12" ht="15.75" customHeight="1" x14ac:dyDescent="0.25">
      <c r="A560" s="1" t="s">
        <v>12</v>
      </c>
      <c r="B560" s="21">
        <v>3</v>
      </c>
      <c r="C560" s="1" t="s">
        <v>495</v>
      </c>
      <c r="D560" s="21">
        <v>28</v>
      </c>
      <c r="E560" s="1" t="s">
        <v>2337</v>
      </c>
      <c r="F560" s="21">
        <v>14</v>
      </c>
      <c r="G560" s="1" t="s">
        <v>2384</v>
      </c>
      <c r="H560" s="1" t="s">
        <v>2385</v>
      </c>
      <c r="I560" s="1" t="s">
        <v>2386</v>
      </c>
      <c r="J560" s="1" t="s">
        <v>766</v>
      </c>
      <c r="L560" s="1" t="s">
        <v>7</v>
      </c>
    </row>
    <row r="561" spans="1:12" ht="15.75" customHeight="1" x14ac:dyDescent="0.25">
      <c r="A561" s="1" t="s">
        <v>12</v>
      </c>
      <c r="B561" s="21">
        <v>3</v>
      </c>
      <c r="C561" s="1" t="s">
        <v>495</v>
      </c>
      <c r="D561" s="21">
        <v>28</v>
      </c>
      <c r="E561" s="1" t="s">
        <v>2337</v>
      </c>
      <c r="F561" s="21">
        <v>15</v>
      </c>
      <c r="G561" s="1" t="s">
        <v>2387</v>
      </c>
      <c r="H561" s="1" t="s">
        <v>872</v>
      </c>
      <c r="I561" s="1" t="s">
        <v>874</v>
      </c>
      <c r="J561" s="1" t="s">
        <v>875</v>
      </c>
      <c r="L561" s="1" t="s">
        <v>8</v>
      </c>
    </row>
    <row r="562" spans="1:12" ht="15.75" customHeight="1" x14ac:dyDescent="0.25">
      <c r="A562" s="1" t="s">
        <v>12</v>
      </c>
      <c r="B562" s="21">
        <v>2</v>
      </c>
      <c r="C562" s="1" t="s">
        <v>398</v>
      </c>
      <c r="D562" s="21">
        <v>28</v>
      </c>
      <c r="E562" s="1" t="s">
        <v>2337</v>
      </c>
      <c r="F562" s="21">
        <v>16</v>
      </c>
      <c r="G562" s="1" t="s">
        <v>2388</v>
      </c>
      <c r="H562" s="1" t="s">
        <v>2389</v>
      </c>
      <c r="I562" s="1" t="s">
        <v>2390</v>
      </c>
      <c r="J562" s="1" t="s">
        <v>2320</v>
      </c>
      <c r="L562" s="1" t="s">
        <v>7</v>
      </c>
    </row>
    <row r="563" spans="1:12" ht="15.75" customHeight="1" x14ac:dyDescent="0.25">
      <c r="A563" s="1" t="s">
        <v>12</v>
      </c>
      <c r="B563" s="21">
        <v>2</v>
      </c>
      <c r="C563" s="1" t="s">
        <v>398</v>
      </c>
      <c r="D563" s="21">
        <v>28</v>
      </c>
      <c r="E563" s="1" t="s">
        <v>2337</v>
      </c>
      <c r="F563" s="21">
        <v>17</v>
      </c>
      <c r="G563" s="1" t="s">
        <v>2391</v>
      </c>
      <c r="H563" s="1" t="s">
        <v>2392</v>
      </c>
      <c r="I563" s="1" t="s">
        <v>2393</v>
      </c>
      <c r="J563" s="1" t="s">
        <v>2132</v>
      </c>
      <c r="L563" s="1" t="s">
        <v>8</v>
      </c>
    </row>
    <row r="564" spans="1:12" ht="15.75" customHeight="1" x14ac:dyDescent="0.25">
      <c r="A564" s="1" t="s">
        <v>12</v>
      </c>
      <c r="B564" s="21">
        <v>5</v>
      </c>
      <c r="C564" s="1" t="s">
        <v>1111</v>
      </c>
      <c r="D564" s="21">
        <v>28</v>
      </c>
      <c r="E564" s="1" t="s">
        <v>2337</v>
      </c>
      <c r="F564" s="21">
        <v>18</v>
      </c>
      <c r="G564" s="1" t="s">
        <v>2394</v>
      </c>
      <c r="H564" s="1" t="s">
        <v>2395</v>
      </c>
      <c r="I564" s="1" t="s">
        <v>2396</v>
      </c>
      <c r="J564" s="1" t="s">
        <v>2132</v>
      </c>
      <c r="L564" s="1" t="s">
        <v>7</v>
      </c>
    </row>
    <row r="565" spans="1:12" ht="15.75" customHeight="1" x14ac:dyDescent="0.25">
      <c r="A565" s="1" t="s">
        <v>12</v>
      </c>
      <c r="B565" s="21">
        <v>5</v>
      </c>
      <c r="C565" s="1" t="s">
        <v>1111</v>
      </c>
      <c r="D565" s="21">
        <v>28</v>
      </c>
      <c r="E565" s="1" t="s">
        <v>2337</v>
      </c>
      <c r="F565" s="21">
        <v>19</v>
      </c>
      <c r="G565" s="1" t="s">
        <v>2397</v>
      </c>
      <c r="H565" s="1" t="s">
        <v>2398</v>
      </c>
      <c r="I565" s="1" t="s">
        <v>988</v>
      </c>
      <c r="J565" s="1" t="s">
        <v>2399</v>
      </c>
      <c r="L565" s="1" t="s">
        <v>7</v>
      </c>
    </row>
    <row r="566" spans="1:12" ht="15.75" customHeight="1" x14ac:dyDescent="0.25">
      <c r="A566" s="1" t="s">
        <v>12</v>
      </c>
      <c r="B566" s="21">
        <v>4</v>
      </c>
      <c r="C566" s="1" t="s">
        <v>833</v>
      </c>
      <c r="D566" s="21">
        <v>28</v>
      </c>
      <c r="E566" s="1" t="s">
        <v>2337</v>
      </c>
      <c r="F566" s="21">
        <v>20</v>
      </c>
      <c r="G566" s="1" t="s">
        <v>2400</v>
      </c>
      <c r="H566" s="1" t="s">
        <v>2401</v>
      </c>
      <c r="I566" s="1" t="s">
        <v>2402</v>
      </c>
      <c r="J566" s="1" t="s">
        <v>2403</v>
      </c>
      <c r="L566" s="1" t="s">
        <v>9</v>
      </c>
    </row>
    <row r="567" spans="1:12" ht="15.75" customHeight="1" x14ac:dyDescent="0.25">
      <c r="A567" s="1" t="s">
        <v>12</v>
      </c>
      <c r="B567" s="21">
        <v>4</v>
      </c>
      <c r="C567" s="1" t="s">
        <v>833</v>
      </c>
      <c r="D567" s="21">
        <v>28</v>
      </c>
      <c r="E567" s="1" t="s">
        <v>2337</v>
      </c>
      <c r="F567" s="21">
        <v>21</v>
      </c>
      <c r="G567" s="1" t="s">
        <v>2404</v>
      </c>
      <c r="H567" s="1" t="s">
        <v>2405</v>
      </c>
      <c r="I567" s="1" t="s">
        <v>2406</v>
      </c>
      <c r="J567" s="1" t="s">
        <v>2407</v>
      </c>
      <c r="L567" s="1" t="s">
        <v>8</v>
      </c>
    </row>
    <row r="568" spans="1:12" ht="15.75" customHeight="1" x14ac:dyDescent="0.25">
      <c r="A568" s="1" t="s">
        <v>12</v>
      </c>
      <c r="B568" s="21">
        <v>6</v>
      </c>
      <c r="C568" s="1" t="s">
        <v>8374</v>
      </c>
      <c r="D568" s="21">
        <v>28</v>
      </c>
      <c r="E568" s="1" t="s">
        <v>2337</v>
      </c>
      <c r="F568" s="21">
        <v>22</v>
      </c>
      <c r="G568" s="1" t="s">
        <v>2408</v>
      </c>
      <c r="H568" s="1" t="s">
        <v>2409</v>
      </c>
      <c r="I568" s="1" t="s">
        <v>2410</v>
      </c>
      <c r="J568" s="1" t="s">
        <v>2132</v>
      </c>
      <c r="L568" s="1" t="s">
        <v>9</v>
      </c>
    </row>
    <row r="569" spans="1:12" ht="15.75" customHeight="1" x14ac:dyDescent="0.25">
      <c r="A569" s="1" t="s">
        <v>12</v>
      </c>
      <c r="B569" s="21">
        <v>8</v>
      </c>
      <c r="C569" s="9" t="s">
        <v>8066</v>
      </c>
      <c r="D569" s="21">
        <v>28</v>
      </c>
      <c r="E569" s="1" t="s">
        <v>2337</v>
      </c>
      <c r="F569" s="21">
        <v>23</v>
      </c>
      <c r="G569" s="1" t="s">
        <v>2411</v>
      </c>
      <c r="H569" s="1" t="s">
        <v>2412</v>
      </c>
      <c r="I569" s="1" t="s">
        <v>2413</v>
      </c>
      <c r="J569" s="1" t="s">
        <v>2132</v>
      </c>
      <c r="L569" s="1" t="s">
        <v>9</v>
      </c>
    </row>
    <row r="570" spans="1:12" ht="15.75" customHeight="1" x14ac:dyDescent="0.25">
      <c r="A570" s="1" t="s">
        <v>12</v>
      </c>
      <c r="B570" s="21">
        <v>8</v>
      </c>
      <c r="C570" s="9" t="s">
        <v>8066</v>
      </c>
      <c r="D570" s="21">
        <v>28</v>
      </c>
      <c r="E570" s="1" t="s">
        <v>2337</v>
      </c>
      <c r="F570" s="21">
        <v>24</v>
      </c>
      <c r="G570" s="1" t="s">
        <v>2414</v>
      </c>
      <c r="H570" s="1" t="s">
        <v>2415</v>
      </c>
      <c r="I570" s="1" t="s">
        <v>2416</v>
      </c>
      <c r="J570" s="1" t="s">
        <v>766</v>
      </c>
      <c r="L570" s="1" t="s">
        <v>7</v>
      </c>
    </row>
    <row r="571" spans="1:12" ht="15.75" customHeight="1" x14ac:dyDescent="0.25">
      <c r="A571" s="1" t="s">
        <v>12</v>
      </c>
      <c r="B571" s="21">
        <v>1</v>
      </c>
      <c r="C571" s="1" t="s">
        <v>13</v>
      </c>
      <c r="D571" s="21">
        <v>29</v>
      </c>
      <c r="E571" s="1" t="s">
        <v>2417</v>
      </c>
      <c r="F571" s="21">
        <v>1</v>
      </c>
      <c r="G571" s="1" t="s">
        <v>2418</v>
      </c>
      <c r="H571" s="1" t="s">
        <v>2419</v>
      </c>
      <c r="I571" s="1" t="s">
        <v>2420</v>
      </c>
      <c r="J571" s="1" t="s">
        <v>2421</v>
      </c>
      <c r="L571" s="1" t="s">
        <v>7</v>
      </c>
    </row>
    <row r="572" spans="1:12" ht="15.75" customHeight="1" x14ac:dyDescent="0.25">
      <c r="A572" s="1" t="s">
        <v>12</v>
      </c>
      <c r="B572" s="21">
        <v>1</v>
      </c>
      <c r="C572" s="1" t="s">
        <v>13</v>
      </c>
      <c r="D572" s="21">
        <v>29</v>
      </c>
      <c r="E572" s="1" t="s">
        <v>2417</v>
      </c>
      <c r="F572" s="21">
        <v>2</v>
      </c>
      <c r="G572" s="1" t="s">
        <v>2422</v>
      </c>
      <c r="H572" s="1" t="s">
        <v>2423</v>
      </c>
      <c r="I572" s="1" t="s">
        <v>2424</v>
      </c>
      <c r="J572" s="1" t="s">
        <v>2132</v>
      </c>
      <c r="L572" s="1" t="s">
        <v>9</v>
      </c>
    </row>
    <row r="573" spans="1:12" ht="15.75" customHeight="1" x14ac:dyDescent="0.25">
      <c r="A573" s="1" t="s">
        <v>12</v>
      </c>
      <c r="B573" s="21">
        <v>1</v>
      </c>
      <c r="C573" s="1" t="s">
        <v>13</v>
      </c>
      <c r="D573" s="21">
        <v>29</v>
      </c>
      <c r="E573" s="1" t="s">
        <v>2417</v>
      </c>
      <c r="F573" s="21">
        <v>3</v>
      </c>
      <c r="G573" s="1" t="s">
        <v>2425</v>
      </c>
      <c r="H573" s="1" t="s">
        <v>2426</v>
      </c>
      <c r="I573" s="1" t="s">
        <v>2427</v>
      </c>
      <c r="J573" s="1" t="s">
        <v>2428</v>
      </c>
      <c r="L573" s="1" t="s">
        <v>7</v>
      </c>
    </row>
    <row r="574" spans="1:12" ht="15.75" customHeight="1" x14ac:dyDescent="0.25">
      <c r="A574" s="1" t="s">
        <v>12</v>
      </c>
      <c r="B574" s="21">
        <v>5</v>
      </c>
      <c r="C574" s="1" t="s">
        <v>1111</v>
      </c>
      <c r="D574" s="21">
        <v>29</v>
      </c>
      <c r="E574" s="1" t="s">
        <v>2417</v>
      </c>
      <c r="F574" s="21">
        <v>4</v>
      </c>
      <c r="G574" s="1" t="s">
        <v>2429</v>
      </c>
      <c r="H574" s="1" t="s">
        <v>2320</v>
      </c>
      <c r="I574" s="1" t="s">
        <v>2430</v>
      </c>
      <c r="J574" s="1" t="s">
        <v>2431</v>
      </c>
      <c r="L574" s="1" t="s">
        <v>9</v>
      </c>
    </row>
    <row r="575" spans="1:12" ht="15.75" customHeight="1" x14ac:dyDescent="0.25">
      <c r="A575" s="1" t="s">
        <v>12</v>
      </c>
      <c r="B575" s="21">
        <v>5</v>
      </c>
      <c r="C575" s="1" t="s">
        <v>1111</v>
      </c>
      <c r="D575" s="21">
        <v>29</v>
      </c>
      <c r="E575" s="1" t="s">
        <v>2417</v>
      </c>
      <c r="F575" s="21">
        <v>5</v>
      </c>
      <c r="G575" s="1" t="s">
        <v>2432</v>
      </c>
      <c r="H575" s="1" t="s">
        <v>2433</v>
      </c>
      <c r="I575" s="1" t="s">
        <v>2027</v>
      </c>
      <c r="J575" s="1" t="s">
        <v>2132</v>
      </c>
      <c r="L575" s="1" t="s">
        <v>9</v>
      </c>
    </row>
    <row r="576" spans="1:12" ht="15.75" customHeight="1" x14ac:dyDescent="0.25">
      <c r="A576" s="1" t="s">
        <v>12</v>
      </c>
      <c r="B576" s="21">
        <v>2</v>
      </c>
      <c r="C576" s="1" t="s">
        <v>398</v>
      </c>
      <c r="D576" s="21">
        <v>29</v>
      </c>
      <c r="E576" s="1" t="s">
        <v>2417</v>
      </c>
      <c r="F576" s="21">
        <v>6</v>
      </c>
      <c r="G576" s="1" t="s">
        <v>2434</v>
      </c>
      <c r="H576" s="1" t="s">
        <v>2435</v>
      </c>
      <c r="I576" s="1" t="s">
        <v>2436</v>
      </c>
      <c r="J576" s="1" t="s">
        <v>215</v>
      </c>
      <c r="L576" s="1" t="s">
        <v>8</v>
      </c>
    </row>
    <row r="577" spans="1:12" ht="15.75" customHeight="1" x14ac:dyDescent="0.25">
      <c r="A577" s="1" t="s">
        <v>12</v>
      </c>
      <c r="B577" s="21">
        <v>2</v>
      </c>
      <c r="C577" s="1" t="s">
        <v>398</v>
      </c>
      <c r="D577" s="21">
        <v>29</v>
      </c>
      <c r="E577" s="1" t="s">
        <v>2417</v>
      </c>
      <c r="F577" s="21">
        <v>7</v>
      </c>
      <c r="G577" s="1" t="s">
        <v>2437</v>
      </c>
      <c r="H577" s="1" t="s">
        <v>2438</v>
      </c>
      <c r="I577" s="1" t="s">
        <v>2439</v>
      </c>
      <c r="J577" s="1" t="s">
        <v>2440</v>
      </c>
      <c r="L577" s="1" t="s">
        <v>8</v>
      </c>
    </row>
    <row r="578" spans="1:12" ht="15.75" customHeight="1" x14ac:dyDescent="0.25">
      <c r="A578" s="1" t="s">
        <v>12</v>
      </c>
      <c r="B578" s="21">
        <v>2</v>
      </c>
      <c r="C578" s="1" t="s">
        <v>398</v>
      </c>
      <c r="D578" s="21">
        <v>29</v>
      </c>
      <c r="E578" s="1" t="s">
        <v>2417</v>
      </c>
      <c r="F578" s="21">
        <v>8</v>
      </c>
      <c r="G578" s="1" t="s">
        <v>2441</v>
      </c>
      <c r="H578" s="1" t="s">
        <v>422</v>
      </c>
      <c r="I578" s="1" t="s">
        <v>405</v>
      </c>
      <c r="J578" s="1" t="s">
        <v>406</v>
      </c>
      <c r="L578" s="1" t="s">
        <v>9</v>
      </c>
    </row>
    <row r="579" spans="1:12" ht="15.75" customHeight="1" x14ac:dyDescent="0.25">
      <c r="A579" s="1" t="s">
        <v>12</v>
      </c>
      <c r="B579" s="21">
        <v>5</v>
      </c>
      <c r="C579" s="1" t="s">
        <v>1111</v>
      </c>
      <c r="D579" s="21">
        <v>29</v>
      </c>
      <c r="E579" s="1" t="s">
        <v>2417</v>
      </c>
      <c r="F579" s="21">
        <v>9</v>
      </c>
      <c r="G579" s="1" t="s">
        <v>2442</v>
      </c>
      <c r="H579" s="1" t="s">
        <v>2443</v>
      </c>
      <c r="I579" s="1" t="s">
        <v>2444</v>
      </c>
      <c r="J579" s="1" t="s">
        <v>2445</v>
      </c>
      <c r="L579" s="1" t="s">
        <v>8</v>
      </c>
    </row>
    <row r="580" spans="1:12" ht="15.75" customHeight="1" x14ac:dyDescent="0.25">
      <c r="A580" s="1" t="s">
        <v>12</v>
      </c>
      <c r="B580" s="21">
        <v>5</v>
      </c>
      <c r="C580" s="1" t="s">
        <v>1111</v>
      </c>
      <c r="D580" s="21">
        <v>29</v>
      </c>
      <c r="E580" s="1" t="s">
        <v>2417</v>
      </c>
      <c r="F580" s="21">
        <v>10</v>
      </c>
      <c r="G580" s="1" t="s">
        <v>2446</v>
      </c>
      <c r="H580" s="1" t="s">
        <v>2447</v>
      </c>
      <c r="I580" s="1" t="s">
        <v>2448</v>
      </c>
      <c r="J580" s="1" t="s">
        <v>2449</v>
      </c>
      <c r="L580" s="1" t="s">
        <v>7</v>
      </c>
    </row>
    <row r="581" spans="1:12" ht="15.75" customHeight="1" x14ac:dyDescent="0.25">
      <c r="A581" s="1" t="s">
        <v>12</v>
      </c>
      <c r="B581" s="21">
        <v>8</v>
      </c>
      <c r="C581" s="9" t="s">
        <v>8066</v>
      </c>
      <c r="D581" s="21">
        <v>29</v>
      </c>
      <c r="E581" s="1" t="s">
        <v>2417</v>
      </c>
      <c r="F581" s="21">
        <v>11</v>
      </c>
      <c r="G581" s="1" t="s">
        <v>2450</v>
      </c>
      <c r="H581" s="1" t="s">
        <v>2451</v>
      </c>
      <c r="I581" s="1" t="s">
        <v>2452</v>
      </c>
      <c r="J581" s="1" t="s">
        <v>2453</v>
      </c>
      <c r="L581" s="1" t="s">
        <v>8</v>
      </c>
    </row>
    <row r="582" spans="1:12" ht="15.75" customHeight="1" x14ac:dyDescent="0.25">
      <c r="A582" s="1" t="s">
        <v>12</v>
      </c>
      <c r="B582" s="21">
        <v>8</v>
      </c>
      <c r="C582" s="9" t="s">
        <v>8066</v>
      </c>
      <c r="D582" s="21">
        <v>29</v>
      </c>
      <c r="E582" s="1" t="s">
        <v>2417</v>
      </c>
      <c r="F582" s="21">
        <v>12</v>
      </c>
      <c r="G582" s="1" t="s">
        <v>2454</v>
      </c>
      <c r="H582" s="1" t="s">
        <v>2455</v>
      </c>
      <c r="I582" s="1" t="s">
        <v>2456</v>
      </c>
      <c r="J582" s="1" t="s">
        <v>2457</v>
      </c>
      <c r="L582" s="1" t="s">
        <v>8</v>
      </c>
    </row>
    <row r="583" spans="1:12" ht="15.75" customHeight="1" x14ac:dyDescent="0.25">
      <c r="A583" s="1" t="s">
        <v>12</v>
      </c>
      <c r="B583" s="21">
        <v>4</v>
      </c>
      <c r="C583" s="1" t="s">
        <v>833</v>
      </c>
      <c r="D583" s="21">
        <v>29</v>
      </c>
      <c r="E583" s="1" t="s">
        <v>2417</v>
      </c>
      <c r="F583" s="21">
        <v>13</v>
      </c>
      <c r="G583" s="1" t="s">
        <v>2458</v>
      </c>
      <c r="H583" s="1" t="s">
        <v>2459</v>
      </c>
      <c r="I583" s="1" t="s">
        <v>2460</v>
      </c>
      <c r="J583" s="1" t="s">
        <v>2461</v>
      </c>
      <c r="K583" s="1" t="s">
        <v>2462</v>
      </c>
      <c r="L583" s="1" t="s">
        <v>10</v>
      </c>
    </row>
    <row r="584" spans="1:12" ht="15.75" customHeight="1" x14ac:dyDescent="0.25">
      <c r="A584" s="1" t="s">
        <v>12</v>
      </c>
      <c r="B584" s="21">
        <v>3</v>
      </c>
      <c r="C584" s="1" t="s">
        <v>495</v>
      </c>
      <c r="D584" s="21">
        <v>29</v>
      </c>
      <c r="E584" s="1" t="s">
        <v>2417</v>
      </c>
      <c r="F584" s="21">
        <v>14</v>
      </c>
      <c r="G584" s="1" t="s">
        <v>2463</v>
      </c>
      <c r="H584" s="1" t="s">
        <v>2287</v>
      </c>
      <c r="I584" s="1" t="s">
        <v>2464</v>
      </c>
      <c r="J584" s="1" t="s">
        <v>623</v>
      </c>
      <c r="K584" s="1" t="s">
        <v>766</v>
      </c>
      <c r="L584" s="1" t="s">
        <v>7</v>
      </c>
    </row>
    <row r="585" spans="1:12" ht="15.75" customHeight="1" x14ac:dyDescent="0.25">
      <c r="A585" s="1" t="s">
        <v>12</v>
      </c>
      <c r="B585" s="21">
        <v>5</v>
      </c>
      <c r="C585" s="1" t="s">
        <v>1111</v>
      </c>
      <c r="D585" s="21">
        <v>29</v>
      </c>
      <c r="E585" s="1" t="s">
        <v>2417</v>
      </c>
      <c r="F585" s="21">
        <v>15</v>
      </c>
      <c r="G585" s="1" t="s">
        <v>2465</v>
      </c>
      <c r="H585" s="1" t="s">
        <v>2466</v>
      </c>
      <c r="I585" s="1" t="s">
        <v>2467</v>
      </c>
      <c r="J585" s="1" t="s">
        <v>2468</v>
      </c>
      <c r="K585" s="1" t="s">
        <v>2469</v>
      </c>
      <c r="L585" s="1" t="s">
        <v>9</v>
      </c>
    </row>
    <row r="586" spans="1:12" ht="15.75" customHeight="1" x14ac:dyDescent="0.25">
      <c r="A586" s="1" t="s">
        <v>12</v>
      </c>
      <c r="B586" s="21">
        <v>5</v>
      </c>
      <c r="C586" s="1" t="s">
        <v>1111</v>
      </c>
      <c r="D586" s="21">
        <v>29</v>
      </c>
      <c r="E586" s="1" t="s">
        <v>2417</v>
      </c>
      <c r="F586" s="21">
        <v>16</v>
      </c>
      <c r="G586" s="1" t="s">
        <v>2470</v>
      </c>
      <c r="H586" s="1" t="s">
        <v>2232</v>
      </c>
      <c r="I586" s="1" t="s">
        <v>2230</v>
      </c>
      <c r="J586" s="1" t="s">
        <v>2471</v>
      </c>
      <c r="K586" s="1" t="s">
        <v>2472</v>
      </c>
      <c r="L586" s="1" t="s">
        <v>8</v>
      </c>
    </row>
    <row r="587" spans="1:12" ht="15.75" customHeight="1" x14ac:dyDescent="0.25">
      <c r="A587" s="1" t="s">
        <v>12</v>
      </c>
      <c r="B587" s="21">
        <v>3</v>
      </c>
      <c r="C587" s="1" t="s">
        <v>495</v>
      </c>
      <c r="D587" s="21">
        <v>29</v>
      </c>
      <c r="E587" s="1" t="s">
        <v>2417</v>
      </c>
      <c r="F587" s="21">
        <v>17</v>
      </c>
      <c r="G587" s="1" t="s">
        <v>2473</v>
      </c>
      <c r="H587" s="1" t="s">
        <v>2474</v>
      </c>
      <c r="I587" s="1" t="s">
        <v>2475</v>
      </c>
      <c r="J587" s="1" t="s">
        <v>2476</v>
      </c>
      <c r="K587" s="1" t="s">
        <v>2287</v>
      </c>
      <c r="L587" s="1" t="s">
        <v>7</v>
      </c>
    </row>
    <row r="588" spans="1:12" ht="15.75" customHeight="1" x14ac:dyDescent="0.25">
      <c r="A588" s="1" t="s">
        <v>12</v>
      </c>
      <c r="B588" s="21">
        <v>5</v>
      </c>
      <c r="C588" s="1" t="s">
        <v>1111</v>
      </c>
      <c r="D588" s="21">
        <v>29</v>
      </c>
      <c r="E588" s="1" t="s">
        <v>2417</v>
      </c>
      <c r="F588" s="21">
        <v>18</v>
      </c>
      <c r="G588" s="1" t="s">
        <v>2477</v>
      </c>
      <c r="H588" s="1" t="s">
        <v>2478</v>
      </c>
      <c r="I588" s="1" t="s">
        <v>2479</v>
      </c>
      <c r="J588" s="1" t="s">
        <v>2480</v>
      </c>
      <c r="K588" s="1" t="s">
        <v>2481</v>
      </c>
      <c r="L588" s="1" t="s">
        <v>9</v>
      </c>
    </row>
    <row r="589" spans="1:12" ht="15.75" customHeight="1" x14ac:dyDescent="0.25">
      <c r="A589" s="1" t="s">
        <v>12</v>
      </c>
      <c r="B589" s="21">
        <v>5</v>
      </c>
      <c r="C589" s="1" t="s">
        <v>1111</v>
      </c>
      <c r="D589" s="21">
        <v>29</v>
      </c>
      <c r="E589" s="1" t="s">
        <v>2417</v>
      </c>
      <c r="F589" s="21">
        <v>19</v>
      </c>
      <c r="G589" s="1" t="s">
        <v>2482</v>
      </c>
      <c r="H589" s="1" t="s">
        <v>2483</v>
      </c>
      <c r="I589" s="1" t="s">
        <v>2484</v>
      </c>
      <c r="J589" s="1" t="s">
        <v>2485</v>
      </c>
      <c r="K589" s="1" t="s">
        <v>2486</v>
      </c>
      <c r="L589" s="1" t="s">
        <v>7</v>
      </c>
    </row>
    <row r="590" spans="1:12" ht="15.75" customHeight="1" x14ac:dyDescent="0.25">
      <c r="A590" s="1" t="s">
        <v>12</v>
      </c>
      <c r="B590" s="21">
        <v>6</v>
      </c>
      <c r="C590" s="1" t="s">
        <v>8374</v>
      </c>
      <c r="D590" s="21">
        <v>29</v>
      </c>
      <c r="E590" s="1" t="s">
        <v>2417</v>
      </c>
      <c r="F590" s="21">
        <v>20</v>
      </c>
      <c r="G590" s="1" t="s">
        <v>2487</v>
      </c>
      <c r="H590" s="1" t="s">
        <v>2488</v>
      </c>
      <c r="I590" s="1" t="s">
        <v>2489</v>
      </c>
      <c r="J590" s="1" t="s">
        <v>2490</v>
      </c>
      <c r="K590" s="1" t="s">
        <v>2491</v>
      </c>
      <c r="L590" s="1" t="s">
        <v>9</v>
      </c>
    </row>
    <row r="591" spans="1:12" ht="15.75" customHeight="1" x14ac:dyDescent="0.25">
      <c r="A591" s="1" t="s">
        <v>12</v>
      </c>
      <c r="B591" s="21">
        <v>1</v>
      </c>
      <c r="C591" s="1" t="s">
        <v>13</v>
      </c>
      <c r="D591" s="21">
        <v>29</v>
      </c>
      <c r="E591" s="1" t="s">
        <v>2417</v>
      </c>
      <c r="F591" s="21">
        <v>21</v>
      </c>
      <c r="G591" s="1" t="s">
        <v>2492</v>
      </c>
      <c r="H591" s="1" t="s">
        <v>2493</v>
      </c>
      <c r="I591" s="1" t="s">
        <v>2494</v>
      </c>
      <c r="J591" s="1" t="s">
        <v>2495</v>
      </c>
      <c r="K591" s="1" t="s">
        <v>2496</v>
      </c>
      <c r="L591" s="1" t="s">
        <v>9</v>
      </c>
    </row>
    <row r="592" spans="1:12" ht="15.75" customHeight="1" x14ac:dyDescent="0.25">
      <c r="A592" s="1" t="s">
        <v>12</v>
      </c>
      <c r="B592" s="21">
        <v>1</v>
      </c>
      <c r="C592" s="1" t="s">
        <v>13</v>
      </c>
      <c r="D592" s="21">
        <v>29</v>
      </c>
      <c r="E592" s="1" t="s">
        <v>2417</v>
      </c>
      <c r="F592" s="21">
        <v>22</v>
      </c>
      <c r="G592" s="1" t="s">
        <v>2497</v>
      </c>
      <c r="H592" s="1" t="s">
        <v>2498</v>
      </c>
      <c r="I592" s="1" t="s">
        <v>2499</v>
      </c>
      <c r="J592" s="1" t="s">
        <v>2500</v>
      </c>
      <c r="K592" s="1" t="s">
        <v>2501</v>
      </c>
      <c r="L592" s="1" t="s">
        <v>8</v>
      </c>
    </row>
    <row r="593" spans="1:12" ht="15.75" customHeight="1" x14ac:dyDescent="0.25">
      <c r="A593" s="1" t="s">
        <v>12</v>
      </c>
      <c r="B593" s="21">
        <v>2</v>
      </c>
      <c r="C593" s="1" t="s">
        <v>398</v>
      </c>
      <c r="D593" s="21">
        <v>29</v>
      </c>
      <c r="E593" s="1" t="s">
        <v>2417</v>
      </c>
      <c r="F593" s="21">
        <v>23</v>
      </c>
      <c r="G593" s="1" t="s">
        <v>2502</v>
      </c>
      <c r="H593" s="1" t="s">
        <v>2503</v>
      </c>
      <c r="I593" s="1" t="s">
        <v>2504</v>
      </c>
      <c r="J593" s="1" t="s">
        <v>2505</v>
      </c>
      <c r="K593" s="1" t="s">
        <v>2506</v>
      </c>
      <c r="L593" s="1" t="s">
        <v>9</v>
      </c>
    </row>
    <row r="594" spans="1:12" ht="15.75" customHeight="1" x14ac:dyDescent="0.25">
      <c r="A594" s="1" t="s">
        <v>12</v>
      </c>
      <c r="B594" s="21">
        <v>1</v>
      </c>
      <c r="C594" s="1" t="s">
        <v>13</v>
      </c>
      <c r="D594" s="21">
        <v>29</v>
      </c>
      <c r="E594" s="1" t="s">
        <v>2417</v>
      </c>
      <c r="F594" s="21">
        <v>24</v>
      </c>
      <c r="G594" s="1" t="s">
        <v>2507</v>
      </c>
      <c r="H594" s="1" t="s">
        <v>2508</v>
      </c>
      <c r="I594" s="1" t="s">
        <v>2509</v>
      </c>
      <c r="J594" s="1" t="s">
        <v>2510</v>
      </c>
      <c r="K594" s="1" t="s">
        <v>2511</v>
      </c>
      <c r="L594" s="1" t="s">
        <v>9</v>
      </c>
    </row>
    <row r="595" spans="1:12" ht="15.75" customHeight="1" x14ac:dyDescent="0.25">
      <c r="A595" s="1" t="s">
        <v>12</v>
      </c>
      <c r="B595" s="21">
        <v>8</v>
      </c>
      <c r="C595" s="9" t="s">
        <v>8066</v>
      </c>
      <c r="D595" s="21">
        <v>29</v>
      </c>
      <c r="E595" s="1" t="s">
        <v>2417</v>
      </c>
      <c r="F595" s="21">
        <v>25</v>
      </c>
      <c r="G595" s="1" t="s">
        <v>2512</v>
      </c>
      <c r="H595" s="1" t="s">
        <v>2513</v>
      </c>
      <c r="I595" s="1" t="s">
        <v>2514</v>
      </c>
      <c r="J595" s="1" t="s">
        <v>2515</v>
      </c>
      <c r="K595" s="1" t="s">
        <v>763</v>
      </c>
      <c r="L595" s="1" t="s">
        <v>9</v>
      </c>
    </row>
    <row r="596" spans="1:12" ht="15.75" customHeight="1" x14ac:dyDescent="0.25">
      <c r="A596" s="1" t="s">
        <v>12</v>
      </c>
      <c r="B596" s="21">
        <v>1</v>
      </c>
      <c r="C596" s="1" t="s">
        <v>13</v>
      </c>
      <c r="D596" s="21">
        <v>30</v>
      </c>
      <c r="E596" s="1" t="s">
        <v>2516</v>
      </c>
      <c r="F596" s="21">
        <v>1</v>
      </c>
      <c r="G596" s="1" t="s">
        <v>2517</v>
      </c>
      <c r="H596" s="1" t="s">
        <v>2518</v>
      </c>
      <c r="I596" s="1" t="s">
        <v>2519</v>
      </c>
      <c r="J596" s="1" t="s">
        <v>2520</v>
      </c>
      <c r="L596" s="1" t="s">
        <v>8</v>
      </c>
    </row>
    <row r="597" spans="1:12" ht="15.75" customHeight="1" x14ac:dyDescent="0.25">
      <c r="A597" s="1" t="s">
        <v>12</v>
      </c>
      <c r="B597" s="21">
        <v>3</v>
      </c>
      <c r="C597" s="1" t="s">
        <v>495</v>
      </c>
      <c r="D597" s="21">
        <v>30</v>
      </c>
      <c r="E597" s="1" t="s">
        <v>2516</v>
      </c>
      <c r="F597" s="21">
        <v>2</v>
      </c>
      <c r="G597" s="1" t="s">
        <v>2521</v>
      </c>
      <c r="H597" s="1" t="s">
        <v>2522</v>
      </c>
      <c r="I597" s="1" t="s">
        <v>2523</v>
      </c>
      <c r="J597" s="1" t="s">
        <v>2524</v>
      </c>
      <c r="L597" s="1" t="s">
        <v>7</v>
      </c>
    </row>
    <row r="598" spans="1:12" ht="15.75" customHeight="1" x14ac:dyDescent="0.25">
      <c r="A598" s="1" t="s">
        <v>12</v>
      </c>
      <c r="B598" s="21">
        <v>3</v>
      </c>
      <c r="C598" s="1" t="s">
        <v>495</v>
      </c>
      <c r="D598" s="21">
        <v>30</v>
      </c>
      <c r="E598" s="1" t="s">
        <v>2516</v>
      </c>
      <c r="F598" s="21">
        <v>3</v>
      </c>
      <c r="G598" s="1" t="s">
        <v>2525</v>
      </c>
      <c r="H598" s="1" t="s">
        <v>2526</v>
      </c>
      <c r="I598" s="1" t="s">
        <v>2527</v>
      </c>
      <c r="J598" s="1" t="s">
        <v>2132</v>
      </c>
      <c r="L598" s="1" t="s">
        <v>8</v>
      </c>
    </row>
    <row r="599" spans="1:12" ht="15.75" customHeight="1" x14ac:dyDescent="0.25">
      <c r="A599" s="1" t="s">
        <v>12</v>
      </c>
      <c r="B599" s="21">
        <v>2</v>
      </c>
      <c r="C599" s="1" t="s">
        <v>398</v>
      </c>
      <c r="D599" s="21">
        <v>30</v>
      </c>
      <c r="E599" s="1" t="s">
        <v>2516</v>
      </c>
      <c r="F599" s="21">
        <v>4</v>
      </c>
      <c r="G599" s="1" t="s">
        <v>2528</v>
      </c>
      <c r="H599" s="1" t="s">
        <v>2529</v>
      </c>
      <c r="I599" s="1" t="s">
        <v>425</v>
      </c>
      <c r="J599" s="1" t="s">
        <v>2530</v>
      </c>
      <c r="L599" s="1" t="s">
        <v>8</v>
      </c>
    </row>
    <row r="600" spans="1:12" ht="15.75" customHeight="1" x14ac:dyDescent="0.25">
      <c r="A600" s="1" t="s">
        <v>12</v>
      </c>
      <c r="B600" s="21">
        <v>5</v>
      </c>
      <c r="C600" s="1" t="s">
        <v>1111</v>
      </c>
      <c r="D600" s="21">
        <v>30</v>
      </c>
      <c r="E600" s="1" t="s">
        <v>2516</v>
      </c>
      <c r="F600" s="21">
        <v>5</v>
      </c>
      <c r="G600" s="1" t="s">
        <v>2531</v>
      </c>
      <c r="H600" s="1" t="s">
        <v>2532</v>
      </c>
      <c r="I600" s="1" t="s">
        <v>2533</v>
      </c>
      <c r="J600" s="1" t="s">
        <v>2534</v>
      </c>
      <c r="L600" s="1" t="s">
        <v>8</v>
      </c>
    </row>
    <row r="601" spans="1:12" ht="15.75" customHeight="1" x14ac:dyDescent="0.25">
      <c r="A601" s="1" t="s">
        <v>12</v>
      </c>
      <c r="B601" s="21">
        <v>4</v>
      </c>
      <c r="C601" s="1" t="s">
        <v>833</v>
      </c>
      <c r="D601" s="21">
        <v>30</v>
      </c>
      <c r="E601" s="1" t="s">
        <v>2516</v>
      </c>
      <c r="F601" s="21">
        <v>6</v>
      </c>
      <c r="G601" s="1" t="s">
        <v>2535</v>
      </c>
      <c r="H601" s="1" t="s">
        <v>2536</v>
      </c>
      <c r="I601" s="1" t="s">
        <v>2537</v>
      </c>
      <c r="J601" s="1" t="s">
        <v>2538</v>
      </c>
      <c r="L601" s="1" t="s">
        <v>9</v>
      </c>
    </row>
    <row r="602" spans="1:12" ht="15.75" customHeight="1" x14ac:dyDescent="0.25">
      <c r="A602" s="1" t="s">
        <v>12</v>
      </c>
      <c r="B602" s="21">
        <v>4</v>
      </c>
      <c r="C602" s="1" t="s">
        <v>833</v>
      </c>
      <c r="D602" s="21">
        <v>30</v>
      </c>
      <c r="E602" s="1" t="s">
        <v>2516</v>
      </c>
      <c r="F602" s="21">
        <v>7</v>
      </c>
      <c r="G602" s="1" t="s">
        <v>2539</v>
      </c>
      <c r="H602" s="1" t="s">
        <v>2540</v>
      </c>
      <c r="I602" s="1" t="s">
        <v>2541</v>
      </c>
      <c r="J602" s="1" t="s">
        <v>2542</v>
      </c>
      <c r="L602" s="1" t="s">
        <v>7</v>
      </c>
    </row>
    <row r="603" spans="1:12" ht="15.75" customHeight="1" x14ac:dyDescent="0.25">
      <c r="A603" s="1" t="s">
        <v>12</v>
      </c>
      <c r="B603" s="21">
        <v>6</v>
      </c>
      <c r="C603" s="1" t="s">
        <v>8374</v>
      </c>
      <c r="D603" s="21">
        <v>30</v>
      </c>
      <c r="E603" s="1" t="s">
        <v>2516</v>
      </c>
      <c r="F603" s="21">
        <v>8</v>
      </c>
      <c r="G603" s="1" t="s">
        <v>2543</v>
      </c>
      <c r="H603" s="1" t="s">
        <v>2544</v>
      </c>
      <c r="I603" s="1" t="s">
        <v>2545</v>
      </c>
      <c r="J603" s="1" t="s">
        <v>2546</v>
      </c>
      <c r="L603" s="1" t="s">
        <v>8</v>
      </c>
    </row>
    <row r="604" spans="1:12" ht="15.75" customHeight="1" x14ac:dyDescent="0.25">
      <c r="A604" s="1" t="s">
        <v>12</v>
      </c>
      <c r="B604" s="21">
        <v>6</v>
      </c>
      <c r="C604" s="1" t="s">
        <v>8374</v>
      </c>
      <c r="D604" s="21">
        <v>30</v>
      </c>
      <c r="E604" s="1" t="s">
        <v>2516</v>
      </c>
      <c r="F604" s="21">
        <v>9</v>
      </c>
      <c r="G604" s="1" t="s">
        <v>2547</v>
      </c>
      <c r="H604" s="1" t="s">
        <v>2548</v>
      </c>
      <c r="I604" s="1" t="s">
        <v>2549</v>
      </c>
      <c r="J604" s="1" t="s">
        <v>2550</v>
      </c>
      <c r="L604" s="1" t="s">
        <v>8</v>
      </c>
    </row>
    <row r="605" spans="1:12" ht="15.75" customHeight="1" x14ac:dyDescent="0.25">
      <c r="A605" s="1" t="s">
        <v>12</v>
      </c>
      <c r="B605" s="21">
        <v>8</v>
      </c>
      <c r="C605" s="9" t="s">
        <v>8066</v>
      </c>
      <c r="D605" s="21">
        <v>30</v>
      </c>
      <c r="E605" s="1" t="s">
        <v>2516</v>
      </c>
      <c r="F605" s="21">
        <v>11</v>
      </c>
      <c r="G605" s="1" t="s">
        <v>2551</v>
      </c>
      <c r="H605" s="1" t="s">
        <v>2552</v>
      </c>
      <c r="I605" s="1" t="s">
        <v>2553</v>
      </c>
      <c r="J605" s="1" t="s">
        <v>2554</v>
      </c>
      <c r="L605" s="1" t="s">
        <v>7</v>
      </c>
    </row>
    <row r="606" spans="1:12" ht="15.75" customHeight="1" x14ac:dyDescent="0.25">
      <c r="A606" s="1" t="s">
        <v>12</v>
      </c>
      <c r="B606" s="21">
        <v>8</v>
      </c>
      <c r="C606" s="9" t="s">
        <v>8066</v>
      </c>
      <c r="D606" s="21">
        <v>30</v>
      </c>
      <c r="E606" s="1" t="s">
        <v>2516</v>
      </c>
      <c r="F606" s="21">
        <v>12</v>
      </c>
      <c r="G606" s="1" t="s">
        <v>2555</v>
      </c>
      <c r="H606" s="1" t="s">
        <v>385</v>
      </c>
      <c r="I606" s="1" t="s">
        <v>386</v>
      </c>
      <c r="J606" s="1" t="s">
        <v>384</v>
      </c>
      <c r="L606" s="1" t="s">
        <v>8</v>
      </c>
    </row>
    <row r="607" spans="1:12" ht="15.75" customHeight="1" x14ac:dyDescent="0.25">
      <c r="A607" s="1" t="s">
        <v>12</v>
      </c>
      <c r="B607" s="21">
        <v>4</v>
      </c>
      <c r="C607" s="1" t="s">
        <v>833</v>
      </c>
      <c r="D607" s="21">
        <v>30</v>
      </c>
      <c r="E607" s="1" t="s">
        <v>2516</v>
      </c>
      <c r="F607" s="21">
        <v>13</v>
      </c>
      <c r="G607" s="1" t="s">
        <v>2556</v>
      </c>
      <c r="H607" s="1" t="s">
        <v>2557</v>
      </c>
      <c r="I607" s="1" t="s">
        <v>2558</v>
      </c>
      <c r="J607" s="1" t="s">
        <v>2353</v>
      </c>
      <c r="L607" s="1" t="s">
        <v>9</v>
      </c>
    </row>
    <row r="608" spans="1:12" ht="15.75" customHeight="1" x14ac:dyDescent="0.25">
      <c r="A608" s="1" t="s">
        <v>12</v>
      </c>
      <c r="B608" s="21">
        <v>2</v>
      </c>
      <c r="C608" s="1" t="s">
        <v>398</v>
      </c>
      <c r="D608" s="21">
        <v>30</v>
      </c>
      <c r="E608" s="1" t="s">
        <v>2516</v>
      </c>
      <c r="F608" s="21">
        <v>14</v>
      </c>
      <c r="G608" s="1" t="s">
        <v>2559</v>
      </c>
      <c r="H608" s="1" t="s">
        <v>215</v>
      </c>
      <c r="I608" s="1" t="s">
        <v>2436</v>
      </c>
      <c r="J608" s="1" t="s">
        <v>2560</v>
      </c>
      <c r="L608" s="1" t="s">
        <v>8</v>
      </c>
    </row>
    <row r="609" spans="1:12" ht="15.75" customHeight="1" x14ac:dyDescent="0.25">
      <c r="A609" s="1" t="s">
        <v>12</v>
      </c>
      <c r="B609" s="21">
        <v>6</v>
      </c>
      <c r="C609" s="1" t="s">
        <v>8374</v>
      </c>
      <c r="D609" s="21">
        <v>30</v>
      </c>
      <c r="E609" s="1" t="s">
        <v>2516</v>
      </c>
      <c r="F609" s="21">
        <v>15</v>
      </c>
      <c r="G609" s="1" t="s">
        <v>2561</v>
      </c>
      <c r="H609" s="1" t="s">
        <v>2208</v>
      </c>
      <c r="I609" s="1" t="s">
        <v>2209</v>
      </c>
      <c r="J609" s="1" t="s">
        <v>2207</v>
      </c>
      <c r="L609" s="1" t="s">
        <v>8</v>
      </c>
    </row>
    <row r="610" spans="1:12" ht="15.75" customHeight="1" x14ac:dyDescent="0.25">
      <c r="A610" s="1" t="s">
        <v>12</v>
      </c>
      <c r="B610" s="21">
        <v>5</v>
      </c>
      <c r="C610" s="1" t="s">
        <v>1111</v>
      </c>
      <c r="D610" s="21">
        <v>30</v>
      </c>
      <c r="E610" s="1" t="s">
        <v>2516</v>
      </c>
      <c r="F610" s="21">
        <v>16</v>
      </c>
      <c r="G610" s="1" t="s">
        <v>2562</v>
      </c>
      <c r="H610" s="1" t="s">
        <v>2563</v>
      </c>
      <c r="I610" s="1" t="s">
        <v>2564</v>
      </c>
      <c r="J610" s="1" t="s">
        <v>2565</v>
      </c>
      <c r="L610" s="1" t="s">
        <v>9</v>
      </c>
    </row>
    <row r="611" spans="1:12" ht="15.75" customHeight="1" x14ac:dyDescent="0.25">
      <c r="A611" s="1" t="s">
        <v>12</v>
      </c>
      <c r="B611" s="21">
        <v>5</v>
      </c>
      <c r="C611" s="1" t="s">
        <v>1111</v>
      </c>
      <c r="D611" s="21">
        <v>30</v>
      </c>
      <c r="E611" s="1" t="s">
        <v>2516</v>
      </c>
      <c r="F611" s="21">
        <v>17</v>
      </c>
      <c r="G611" s="1" t="s">
        <v>2566</v>
      </c>
      <c r="H611" s="1" t="s">
        <v>2567</v>
      </c>
      <c r="I611" s="1" t="s">
        <v>2568</v>
      </c>
      <c r="J611" s="1" t="s">
        <v>789</v>
      </c>
      <c r="L611" s="1" t="s">
        <v>9</v>
      </c>
    </row>
    <row r="612" spans="1:12" ht="15.75" customHeight="1" x14ac:dyDescent="0.25">
      <c r="A612" s="1" t="s">
        <v>12</v>
      </c>
      <c r="B612" s="21">
        <v>3</v>
      </c>
      <c r="C612" s="1" t="s">
        <v>495</v>
      </c>
      <c r="D612" s="21">
        <v>30</v>
      </c>
      <c r="E612" s="1" t="s">
        <v>2516</v>
      </c>
      <c r="F612" s="21">
        <v>18</v>
      </c>
      <c r="G612" s="1" t="s">
        <v>2569</v>
      </c>
      <c r="H612" s="1" t="s">
        <v>2570</v>
      </c>
      <c r="I612" s="1" t="s">
        <v>2571</v>
      </c>
      <c r="J612" s="1" t="s">
        <v>2572</v>
      </c>
      <c r="L612" s="1" t="s">
        <v>8</v>
      </c>
    </row>
    <row r="613" spans="1:12" ht="15.75" customHeight="1" x14ac:dyDescent="0.25">
      <c r="A613" s="1" t="s">
        <v>12</v>
      </c>
      <c r="B613" s="21">
        <v>1</v>
      </c>
      <c r="C613" s="1" t="s">
        <v>13</v>
      </c>
      <c r="D613" s="21">
        <v>30</v>
      </c>
      <c r="E613" s="1" t="s">
        <v>2516</v>
      </c>
      <c r="F613" s="21">
        <v>19</v>
      </c>
      <c r="G613" s="1" t="s">
        <v>2573</v>
      </c>
      <c r="H613" s="1" t="s">
        <v>2142</v>
      </c>
      <c r="I613" s="1" t="s">
        <v>2574</v>
      </c>
      <c r="J613" s="1" t="s">
        <v>2141</v>
      </c>
      <c r="L613" s="1" t="s">
        <v>8</v>
      </c>
    </row>
    <row r="614" spans="1:12" ht="15.75" customHeight="1" x14ac:dyDescent="0.25">
      <c r="A614" s="1" t="s">
        <v>12</v>
      </c>
      <c r="B614" s="21">
        <v>5</v>
      </c>
      <c r="C614" s="1" t="s">
        <v>1111</v>
      </c>
      <c r="D614" s="21">
        <v>30</v>
      </c>
      <c r="E614" s="1" t="s">
        <v>2516</v>
      </c>
      <c r="F614" s="21">
        <v>20</v>
      </c>
      <c r="G614" s="1" t="s">
        <v>2575</v>
      </c>
      <c r="H614" s="1" t="s">
        <v>937</v>
      </c>
      <c r="I614" s="1" t="s">
        <v>938</v>
      </c>
      <c r="J614" s="1" t="s">
        <v>1171</v>
      </c>
      <c r="L614" s="1" t="s">
        <v>8</v>
      </c>
    </row>
    <row r="615" spans="1:12" ht="15.75" customHeight="1" x14ac:dyDescent="0.25">
      <c r="A615" s="1" t="s">
        <v>12</v>
      </c>
      <c r="B615" s="21">
        <v>8</v>
      </c>
      <c r="C615" s="9" t="s">
        <v>8066</v>
      </c>
      <c r="D615" s="21">
        <v>30</v>
      </c>
      <c r="E615" s="1" t="s">
        <v>2516</v>
      </c>
      <c r="F615" s="21">
        <v>22</v>
      </c>
      <c r="G615" s="1" t="s">
        <v>2580</v>
      </c>
      <c r="H615" s="1" t="s">
        <v>2581</v>
      </c>
      <c r="I615" s="1" t="s">
        <v>2582</v>
      </c>
      <c r="J615" s="1" t="s">
        <v>2583</v>
      </c>
      <c r="L615" s="1" t="s">
        <v>8</v>
      </c>
    </row>
    <row r="616" spans="1:12" ht="15.75" customHeight="1" x14ac:dyDescent="0.25">
      <c r="A616" s="1" t="s">
        <v>12</v>
      </c>
      <c r="B616" s="21">
        <v>5</v>
      </c>
      <c r="C616" s="1" t="s">
        <v>1111</v>
      </c>
      <c r="D616" s="21">
        <v>30</v>
      </c>
      <c r="E616" s="1" t="s">
        <v>2516</v>
      </c>
      <c r="F616" s="21">
        <v>23</v>
      </c>
      <c r="G616" s="1" t="s">
        <v>2584</v>
      </c>
      <c r="H616" s="1" t="s">
        <v>2585</v>
      </c>
      <c r="I616" s="1" t="s">
        <v>2586</v>
      </c>
      <c r="J616" s="1" t="s">
        <v>2587</v>
      </c>
      <c r="L616" s="1" t="s">
        <v>8</v>
      </c>
    </row>
    <row r="617" spans="1:12" ht="15.75" customHeight="1" x14ac:dyDescent="0.25">
      <c r="A617" s="1" t="s">
        <v>12</v>
      </c>
      <c r="B617" s="21">
        <v>6</v>
      </c>
      <c r="C617" s="1" t="s">
        <v>8374</v>
      </c>
      <c r="D617" s="21">
        <v>30</v>
      </c>
      <c r="E617" s="1" t="s">
        <v>2516</v>
      </c>
      <c r="F617" s="21">
        <v>24</v>
      </c>
      <c r="G617" s="1" t="s">
        <v>2588</v>
      </c>
      <c r="H617" s="1" t="s">
        <v>384</v>
      </c>
      <c r="I617" s="1" t="s">
        <v>385</v>
      </c>
      <c r="J617" s="1" t="s">
        <v>2589</v>
      </c>
      <c r="L617" s="1" t="s">
        <v>7</v>
      </c>
    </row>
    <row r="618" spans="1:12" ht="15.75" customHeight="1" x14ac:dyDescent="0.25">
      <c r="A618" s="1" t="s">
        <v>2590</v>
      </c>
      <c r="B618" s="21">
        <v>10</v>
      </c>
      <c r="C618" s="1" t="s">
        <v>2591</v>
      </c>
      <c r="D618" s="21">
        <v>31</v>
      </c>
      <c r="E618" s="1" t="s">
        <v>2592</v>
      </c>
      <c r="F618" s="21">
        <v>1</v>
      </c>
      <c r="G618" s="1" t="s">
        <v>2593</v>
      </c>
      <c r="H618" s="1" t="s">
        <v>2594</v>
      </c>
      <c r="I618" s="1" t="s">
        <v>2595</v>
      </c>
      <c r="J618" s="1" t="s">
        <v>2596</v>
      </c>
      <c r="L618" s="1" t="s">
        <v>8</v>
      </c>
    </row>
    <row r="619" spans="1:12" ht="15.75" customHeight="1" x14ac:dyDescent="0.25">
      <c r="A619" s="1" t="s">
        <v>2590</v>
      </c>
      <c r="B619" s="21">
        <v>10</v>
      </c>
      <c r="C619" s="1" t="s">
        <v>2591</v>
      </c>
      <c r="D619" s="21">
        <v>31</v>
      </c>
      <c r="E619" s="1" t="s">
        <v>2592</v>
      </c>
      <c r="F619" s="21">
        <v>2</v>
      </c>
      <c r="G619" s="1" t="s">
        <v>2597</v>
      </c>
      <c r="H619" s="1" t="s">
        <v>2598</v>
      </c>
      <c r="I619" s="1" t="s">
        <v>2599</v>
      </c>
      <c r="J619" s="1" t="s">
        <v>2600</v>
      </c>
      <c r="L619" s="1" t="s">
        <v>7</v>
      </c>
    </row>
    <row r="620" spans="1:12" ht="15.75" customHeight="1" x14ac:dyDescent="0.25">
      <c r="A620" s="1" t="s">
        <v>2590</v>
      </c>
      <c r="B620" s="21">
        <v>10</v>
      </c>
      <c r="C620" s="1" t="s">
        <v>2591</v>
      </c>
      <c r="D620" s="21">
        <v>31</v>
      </c>
      <c r="E620" s="1" t="s">
        <v>2592</v>
      </c>
      <c r="F620" s="21">
        <v>3</v>
      </c>
      <c r="G620" s="1" t="s">
        <v>2601</v>
      </c>
      <c r="H620" s="1" t="s">
        <v>2602</v>
      </c>
      <c r="I620" s="1" t="s">
        <v>2603</v>
      </c>
      <c r="J620" s="1" t="s">
        <v>2604</v>
      </c>
      <c r="L620" s="1" t="s">
        <v>8</v>
      </c>
    </row>
    <row r="621" spans="1:12" ht="15.75" customHeight="1" x14ac:dyDescent="0.25">
      <c r="A621" s="1" t="s">
        <v>2590</v>
      </c>
      <c r="B621" s="21">
        <v>10</v>
      </c>
      <c r="C621" s="1" t="s">
        <v>2591</v>
      </c>
      <c r="D621" s="21">
        <v>31</v>
      </c>
      <c r="E621" s="1" t="s">
        <v>2592</v>
      </c>
      <c r="F621" s="21">
        <v>4</v>
      </c>
      <c r="G621" s="1" t="s">
        <v>2605</v>
      </c>
      <c r="H621" s="1" t="s">
        <v>2606</v>
      </c>
      <c r="I621" s="1" t="s">
        <v>2607</v>
      </c>
      <c r="J621" s="1" t="s">
        <v>2608</v>
      </c>
      <c r="L621" s="1" t="s">
        <v>8</v>
      </c>
    </row>
    <row r="622" spans="1:12" ht="15.75" customHeight="1" x14ac:dyDescent="0.25">
      <c r="A622" s="1" t="s">
        <v>2590</v>
      </c>
      <c r="B622" s="21">
        <v>10</v>
      </c>
      <c r="C622" s="1" t="s">
        <v>2591</v>
      </c>
      <c r="D622" s="21">
        <v>31</v>
      </c>
      <c r="E622" s="1" t="s">
        <v>2592</v>
      </c>
      <c r="F622" s="21">
        <v>5</v>
      </c>
      <c r="G622" s="1" t="s">
        <v>2609</v>
      </c>
      <c r="H622" s="1" t="s">
        <v>2610</v>
      </c>
      <c r="I622" s="1" t="s">
        <v>2611</v>
      </c>
      <c r="J622" s="1" t="s">
        <v>2612</v>
      </c>
      <c r="L622" s="1" t="s">
        <v>8</v>
      </c>
    </row>
    <row r="623" spans="1:12" ht="15.75" customHeight="1" x14ac:dyDescent="0.25">
      <c r="A623" s="1" t="s">
        <v>2590</v>
      </c>
      <c r="B623" s="21">
        <v>10</v>
      </c>
      <c r="C623" s="1" t="s">
        <v>2591</v>
      </c>
      <c r="D623" s="21">
        <v>31</v>
      </c>
      <c r="E623" s="1" t="s">
        <v>2592</v>
      </c>
      <c r="F623" s="21">
        <v>6</v>
      </c>
      <c r="G623" s="1" t="s">
        <v>2613</v>
      </c>
      <c r="H623" s="1" t="s">
        <v>2614</v>
      </c>
      <c r="I623" s="1" t="s">
        <v>2615</v>
      </c>
      <c r="J623" s="1" t="s">
        <v>2616</v>
      </c>
      <c r="L623" s="1" t="s">
        <v>9</v>
      </c>
    </row>
    <row r="624" spans="1:12" ht="15.75" customHeight="1" x14ac:dyDescent="0.25">
      <c r="A624" s="1" t="s">
        <v>2590</v>
      </c>
      <c r="B624" s="21">
        <v>10</v>
      </c>
      <c r="C624" s="1" t="s">
        <v>2591</v>
      </c>
      <c r="D624" s="21">
        <v>31</v>
      </c>
      <c r="E624" s="1" t="s">
        <v>2592</v>
      </c>
      <c r="F624" s="21">
        <v>7</v>
      </c>
      <c r="G624" s="1" t="s">
        <v>2617</v>
      </c>
      <c r="H624" s="1" t="s">
        <v>2618</v>
      </c>
      <c r="I624" s="1" t="s">
        <v>2619</v>
      </c>
      <c r="J624" s="1" t="s">
        <v>2620</v>
      </c>
      <c r="L624" s="1" t="s">
        <v>9</v>
      </c>
    </row>
    <row r="625" spans="1:12" ht="15.75" customHeight="1" x14ac:dyDescent="0.25">
      <c r="A625" s="1" t="s">
        <v>2590</v>
      </c>
      <c r="B625" s="21">
        <v>10</v>
      </c>
      <c r="C625" s="1" t="s">
        <v>2591</v>
      </c>
      <c r="D625" s="21">
        <v>31</v>
      </c>
      <c r="E625" s="1" t="s">
        <v>2592</v>
      </c>
      <c r="F625" s="21">
        <v>8</v>
      </c>
      <c r="G625" s="1" t="s">
        <v>2621</v>
      </c>
      <c r="H625" s="1" t="s">
        <v>2622</v>
      </c>
      <c r="I625" s="1" t="s">
        <v>2623</v>
      </c>
      <c r="J625" s="1" t="s">
        <v>2624</v>
      </c>
      <c r="L625" s="1" t="s">
        <v>8</v>
      </c>
    </row>
    <row r="626" spans="1:12" ht="15.75" customHeight="1" x14ac:dyDescent="0.25">
      <c r="A626" s="1" t="s">
        <v>2590</v>
      </c>
      <c r="B626" s="21">
        <v>10</v>
      </c>
      <c r="C626" s="1" t="s">
        <v>2591</v>
      </c>
      <c r="D626" s="21">
        <v>31</v>
      </c>
      <c r="E626" s="1" t="s">
        <v>2592</v>
      </c>
      <c r="F626" s="21">
        <v>9</v>
      </c>
      <c r="G626" s="1" t="s">
        <v>6146</v>
      </c>
      <c r="H626" s="1" t="s">
        <v>2625</v>
      </c>
      <c r="I626" s="1" t="s">
        <v>2626</v>
      </c>
      <c r="J626" s="1" t="s">
        <v>2627</v>
      </c>
      <c r="L626" s="1" t="s">
        <v>9</v>
      </c>
    </row>
    <row r="627" spans="1:12" ht="15.75" customHeight="1" x14ac:dyDescent="0.25">
      <c r="A627" s="1" t="s">
        <v>2590</v>
      </c>
      <c r="B627" s="21">
        <v>10</v>
      </c>
      <c r="C627" s="1" t="s">
        <v>2591</v>
      </c>
      <c r="D627" s="21">
        <v>31</v>
      </c>
      <c r="E627" s="1" t="s">
        <v>2592</v>
      </c>
      <c r="F627" s="21">
        <v>10</v>
      </c>
      <c r="G627" s="1" t="s">
        <v>2628</v>
      </c>
      <c r="H627" s="1" t="s">
        <v>2629</v>
      </c>
      <c r="I627" s="1" t="s">
        <v>2630</v>
      </c>
      <c r="J627" s="1" t="s">
        <v>2631</v>
      </c>
      <c r="L627" s="1" t="s">
        <v>8</v>
      </c>
    </row>
    <row r="628" spans="1:12" ht="15.75" customHeight="1" x14ac:dyDescent="0.25">
      <c r="A628" s="1" t="s">
        <v>2590</v>
      </c>
      <c r="B628" s="21">
        <v>10</v>
      </c>
      <c r="C628" s="1" t="s">
        <v>2591</v>
      </c>
      <c r="D628" s="21">
        <v>31</v>
      </c>
      <c r="E628" s="1" t="s">
        <v>2592</v>
      </c>
      <c r="F628" s="21">
        <v>11</v>
      </c>
      <c r="G628" s="1" t="s">
        <v>2632</v>
      </c>
      <c r="H628" s="1" t="s">
        <v>2633</v>
      </c>
      <c r="I628" s="1" t="s">
        <v>2634</v>
      </c>
      <c r="J628" s="1" t="s">
        <v>2635</v>
      </c>
      <c r="L628" s="1" t="s">
        <v>9</v>
      </c>
    </row>
    <row r="629" spans="1:12" ht="15.75" customHeight="1" x14ac:dyDescent="0.25">
      <c r="A629" s="1" t="s">
        <v>2590</v>
      </c>
      <c r="B629" s="21">
        <v>10</v>
      </c>
      <c r="C629" s="1" t="s">
        <v>2591</v>
      </c>
      <c r="D629" s="21">
        <v>31</v>
      </c>
      <c r="E629" s="1" t="s">
        <v>2592</v>
      </c>
      <c r="F629" s="21">
        <v>12</v>
      </c>
      <c r="G629" s="1" t="s">
        <v>2636</v>
      </c>
      <c r="H629" s="1" t="s">
        <v>2637</v>
      </c>
      <c r="I629" s="1" t="s">
        <v>2638</v>
      </c>
      <c r="J629" s="1" t="s">
        <v>2639</v>
      </c>
      <c r="L629" s="1" t="s">
        <v>7</v>
      </c>
    </row>
    <row r="630" spans="1:12" ht="15.75" customHeight="1" x14ac:dyDescent="0.25">
      <c r="A630" s="1" t="s">
        <v>2590</v>
      </c>
      <c r="B630" s="21">
        <v>10</v>
      </c>
      <c r="C630" s="1" t="s">
        <v>2591</v>
      </c>
      <c r="D630" s="21">
        <v>31</v>
      </c>
      <c r="E630" s="1" t="s">
        <v>2592</v>
      </c>
      <c r="F630" s="21">
        <v>13</v>
      </c>
      <c r="G630" s="1" t="s">
        <v>2640</v>
      </c>
      <c r="H630" s="1" t="s">
        <v>2641</v>
      </c>
      <c r="I630" s="1" t="s">
        <v>2642</v>
      </c>
      <c r="J630" s="1" t="s">
        <v>2643</v>
      </c>
      <c r="L630" s="1" t="s">
        <v>8</v>
      </c>
    </row>
    <row r="631" spans="1:12" ht="15.75" customHeight="1" x14ac:dyDescent="0.25">
      <c r="A631" s="1" t="s">
        <v>2590</v>
      </c>
      <c r="B631" s="21">
        <v>10</v>
      </c>
      <c r="C631" s="1" t="s">
        <v>2591</v>
      </c>
      <c r="D631" s="21">
        <v>31</v>
      </c>
      <c r="E631" s="1" t="s">
        <v>2592</v>
      </c>
      <c r="F631" s="21">
        <v>14</v>
      </c>
      <c r="G631" s="1" t="s">
        <v>2644</v>
      </c>
      <c r="H631" s="1" t="s">
        <v>2645</v>
      </c>
      <c r="I631" s="1" t="s">
        <v>2646</v>
      </c>
      <c r="J631" s="1" t="s">
        <v>2647</v>
      </c>
      <c r="L631" s="1" t="s">
        <v>8</v>
      </c>
    </row>
    <row r="632" spans="1:12" ht="15.75" customHeight="1" x14ac:dyDescent="0.25">
      <c r="A632" s="1" t="s">
        <v>2590</v>
      </c>
      <c r="B632" s="21">
        <v>10</v>
      </c>
      <c r="C632" s="1" t="s">
        <v>2591</v>
      </c>
      <c r="D632" s="21">
        <v>31</v>
      </c>
      <c r="E632" s="1" t="s">
        <v>2592</v>
      </c>
      <c r="F632" s="21">
        <v>15</v>
      </c>
      <c r="G632" s="1" t="s">
        <v>2648</v>
      </c>
      <c r="H632" s="1" t="s">
        <v>2649</v>
      </c>
      <c r="I632" s="1" t="s">
        <v>2650</v>
      </c>
      <c r="J632" s="1" t="s">
        <v>2651</v>
      </c>
      <c r="L632" s="1" t="s">
        <v>7</v>
      </c>
    </row>
    <row r="633" spans="1:12" ht="15.75" customHeight="1" x14ac:dyDescent="0.25">
      <c r="A633" s="1" t="s">
        <v>2590</v>
      </c>
      <c r="B633" s="21">
        <v>10</v>
      </c>
      <c r="C633" s="1" t="s">
        <v>2591</v>
      </c>
      <c r="D633" s="21">
        <v>31</v>
      </c>
      <c r="E633" s="1" t="s">
        <v>2592</v>
      </c>
      <c r="F633" s="21">
        <v>16</v>
      </c>
      <c r="G633" s="1" t="s">
        <v>2652</v>
      </c>
      <c r="H633" s="1" t="s">
        <v>2653</v>
      </c>
      <c r="I633" s="1" t="s">
        <v>2654</v>
      </c>
      <c r="J633" s="1" t="s">
        <v>2655</v>
      </c>
      <c r="L633" s="1" t="s">
        <v>9</v>
      </c>
    </row>
    <row r="634" spans="1:12" ht="15.75" customHeight="1" x14ac:dyDescent="0.25">
      <c r="A634" s="1" t="s">
        <v>2590</v>
      </c>
      <c r="B634" s="21">
        <v>10</v>
      </c>
      <c r="C634" s="1" t="s">
        <v>2591</v>
      </c>
      <c r="D634" s="21">
        <v>31</v>
      </c>
      <c r="E634" s="1" t="s">
        <v>2592</v>
      </c>
      <c r="F634" s="21">
        <v>17</v>
      </c>
      <c r="G634" s="1" t="s">
        <v>2656</v>
      </c>
      <c r="H634" s="1" t="s">
        <v>2657</v>
      </c>
      <c r="I634" s="1" t="s">
        <v>2658</v>
      </c>
      <c r="J634" s="1" t="s">
        <v>2659</v>
      </c>
      <c r="L634" s="1" t="s">
        <v>8</v>
      </c>
    </row>
    <row r="635" spans="1:12" ht="15.75" customHeight="1" x14ac:dyDescent="0.25">
      <c r="A635" s="1" t="s">
        <v>2590</v>
      </c>
      <c r="B635" s="21">
        <v>10</v>
      </c>
      <c r="C635" s="1" t="s">
        <v>2591</v>
      </c>
      <c r="D635" s="21">
        <v>31</v>
      </c>
      <c r="E635" s="1" t="s">
        <v>2592</v>
      </c>
      <c r="F635" s="21">
        <v>18</v>
      </c>
      <c r="G635" s="1" t="s">
        <v>2660</v>
      </c>
      <c r="H635" s="1" t="s">
        <v>2661</v>
      </c>
      <c r="I635" s="1" t="s">
        <v>2662</v>
      </c>
      <c r="J635" s="1" t="s">
        <v>2663</v>
      </c>
      <c r="L635" s="1" t="s">
        <v>9</v>
      </c>
    </row>
    <row r="636" spans="1:12" ht="15.75" customHeight="1" x14ac:dyDescent="0.25">
      <c r="A636" s="1" t="s">
        <v>2590</v>
      </c>
      <c r="B636" s="21">
        <v>10</v>
      </c>
      <c r="C636" s="1" t="s">
        <v>2591</v>
      </c>
      <c r="D636" s="21">
        <v>31</v>
      </c>
      <c r="E636" s="1" t="s">
        <v>2592</v>
      </c>
      <c r="F636" s="21">
        <v>19</v>
      </c>
      <c r="G636" s="1" t="s">
        <v>2664</v>
      </c>
      <c r="H636" s="1" t="s">
        <v>2665</v>
      </c>
      <c r="I636" s="1" t="s">
        <v>2666</v>
      </c>
      <c r="J636" s="1" t="s">
        <v>2667</v>
      </c>
      <c r="L636" s="1" t="s">
        <v>7</v>
      </c>
    </row>
    <row r="637" spans="1:12" ht="15.75" customHeight="1" x14ac:dyDescent="0.25">
      <c r="A637" s="1" t="s">
        <v>2590</v>
      </c>
      <c r="B637" s="21">
        <v>10</v>
      </c>
      <c r="C637" s="1" t="s">
        <v>2591</v>
      </c>
      <c r="D637" s="21">
        <v>31</v>
      </c>
      <c r="E637" s="1" t="s">
        <v>2592</v>
      </c>
      <c r="F637" s="21">
        <v>20</v>
      </c>
      <c r="G637" s="1" t="s">
        <v>2668</v>
      </c>
      <c r="H637" s="1" t="s">
        <v>2669</v>
      </c>
      <c r="I637" s="1" t="s">
        <v>2670</v>
      </c>
      <c r="J637" s="1" t="s">
        <v>2671</v>
      </c>
      <c r="L637" s="1" t="s">
        <v>9</v>
      </c>
    </row>
    <row r="638" spans="1:12" ht="15.75" customHeight="1" x14ac:dyDescent="0.25">
      <c r="A638" s="1" t="s">
        <v>2590</v>
      </c>
      <c r="B638" s="21">
        <v>10</v>
      </c>
      <c r="C638" s="1" t="s">
        <v>2591</v>
      </c>
      <c r="D638" s="21">
        <v>31</v>
      </c>
      <c r="E638" s="1" t="s">
        <v>2592</v>
      </c>
      <c r="F638" s="21">
        <v>21</v>
      </c>
      <c r="G638" s="1" t="s">
        <v>2672</v>
      </c>
      <c r="H638" s="1" t="s">
        <v>2673</v>
      </c>
      <c r="I638" s="1" t="s">
        <v>2674</v>
      </c>
      <c r="J638" s="1" t="s">
        <v>2675</v>
      </c>
      <c r="L638" s="1" t="s">
        <v>8</v>
      </c>
    </row>
    <row r="639" spans="1:12" ht="15.75" customHeight="1" x14ac:dyDescent="0.25">
      <c r="A639" s="1" t="s">
        <v>2590</v>
      </c>
      <c r="B639" s="21">
        <v>10</v>
      </c>
      <c r="C639" s="1" t="s">
        <v>2591</v>
      </c>
      <c r="D639" s="21">
        <v>31</v>
      </c>
      <c r="E639" s="1" t="s">
        <v>2592</v>
      </c>
      <c r="F639" s="21">
        <v>23</v>
      </c>
      <c r="G639" s="1" t="s">
        <v>2676</v>
      </c>
      <c r="H639" s="1" t="s">
        <v>2677</v>
      </c>
      <c r="I639" s="1" t="s">
        <v>2678</v>
      </c>
      <c r="J639" s="1" t="s">
        <v>2679</v>
      </c>
      <c r="L639" s="1" t="s">
        <v>7</v>
      </c>
    </row>
    <row r="640" spans="1:12" ht="15.75" customHeight="1" x14ac:dyDescent="0.25">
      <c r="A640" s="1" t="s">
        <v>2590</v>
      </c>
      <c r="B640" s="21">
        <v>10</v>
      </c>
      <c r="C640" s="1" t="s">
        <v>2591</v>
      </c>
      <c r="D640" s="21">
        <v>31</v>
      </c>
      <c r="E640" s="1" t="s">
        <v>2592</v>
      </c>
      <c r="F640" s="21">
        <v>24</v>
      </c>
      <c r="G640" s="1" t="s">
        <v>2680</v>
      </c>
      <c r="H640" s="1" t="s">
        <v>2681</v>
      </c>
      <c r="I640" s="1" t="s">
        <v>2682</v>
      </c>
      <c r="J640" s="1" t="s">
        <v>2683</v>
      </c>
      <c r="L640" s="1" t="s">
        <v>7</v>
      </c>
    </row>
    <row r="641" spans="1:12" ht="15.75" customHeight="1" x14ac:dyDescent="0.25">
      <c r="A641" s="1" t="s">
        <v>2590</v>
      </c>
      <c r="B641" s="21">
        <v>10</v>
      </c>
      <c r="C641" s="1" t="s">
        <v>2591</v>
      </c>
      <c r="D641" s="21">
        <v>31</v>
      </c>
      <c r="E641" s="1" t="s">
        <v>2592</v>
      </c>
      <c r="F641" s="21">
        <v>25</v>
      </c>
      <c r="G641" s="1" t="s">
        <v>2684</v>
      </c>
      <c r="H641" s="1" t="s">
        <v>2685</v>
      </c>
      <c r="I641" s="1" t="s">
        <v>2686</v>
      </c>
      <c r="J641" s="1" t="s">
        <v>2687</v>
      </c>
      <c r="L641" s="1" t="s">
        <v>8</v>
      </c>
    </row>
    <row r="642" spans="1:12" ht="15.75" customHeight="1" x14ac:dyDescent="0.25">
      <c r="A642" s="1" t="s">
        <v>2590</v>
      </c>
      <c r="B642" s="21">
        <v>10</v>
      </c>
      <c r="C642" s="1" t="s">
        <v>2591</v>
      </c>
      <c r="D642" s="21">
        <v>31</v>
      </c>
      <c r="E642" s="1" t="s">
        <v>2592</v>
      </c>
      <c r="F642" s="21">
        <v>26</v>
      </c>
      <c r="G642" s="1" t="s">
        <v>2688</v>
      </c>
      <c r="H642" s="1" t="s">
        <v>2689</v>
      </c>
      <c r="I642" s="1" t="s">
        <v>2690</v>
      </c>
      <c r="J642" s="1" t="s">
        <v>2691</v>
      </c>
      <c r="L642" s="1" t="s">
        <v>9</v>
      </c>
    </row>
    <row r="643" spans="1:12" ht="15.75" customHeight="1" x14ac:dyDescent="0.25">
      <c r="A643" s="1" t="s">
        <v>2590</v>
      </c>
      <c r="B643" s="21">
        <v>10</v>
      </c>
      <c r="C643" s="1" t="s">
        <v>2591</v>
      </c>
      <c r="D643" s="21">
        <v>32</v>
      </c>
      <c r="E643" s="1" t="s">
        <v>2692</v>
      </c>
      <c r="F643" s="21">
        <v>1</v>
      </c>
      <c r="G643" s="1" t="s">
        <v>2693</v>
      </c>
      <c r="H643" s="1" t="s">
        <v>2694</v>
      </c>
      <c r="I643" s="1" t="s">
        <v>2695</v>
      </c>
      <c r="J643" s="1" t="s">
        <v>414</v>
      </c>
      <c r="L643" s="1" t="s">
        <v>8</v>
      </c>
    </row>
    <row r="644" spans="1:12" ht="15.75" customHeight="1" x14ac:dyDescent="0.25">
      <c r="A644" s="1" t="s">
        <v>2590</v>
      </c>
      <c r="B644" s="21">
        <v>10</v>
      </c>
      <c r="C644" s="1" t="s">
        <v>2591</v>
      </c>
      <c r="D644" s="21">
        <v>32</v>
      </c>
      <c r="E644" s="1" t="s">
        <v>2692</v>
      </c>
      <c r="F644" s="21">
        <v>2</v>
      </c>
      <c r="G644" s="1" t="s">
        <v>2696</v>
      </c>
      <c r="H644" s="1" t="s">
        <v>2697</v>
      </c>
      <c r="I644" s="1" t="s">
        <v>2698</v>
      </c>
      <c r="J644" s="1" t="s">
        <v>739</v>
      </c>
      <c r="L644" s="1" t="s">
        <v>9</v>
      </c>
    </row>
    <row r="645" spans="1:12" ht="15.75" customHeight="1" x14ac:dyDescent="0.25">
      <c r="A645" s="1" t="s">
        <v>2590</v>
      </c>
      <c r="B645" s="21">
        <v>10</v>
      </c>
      <c r="C645" s="1" t="s">
        <v>2591</v>
      </c>
      <c r="D645" s="21">
        <v>32</v>
      </c>
      <c r="E645" s="1" t="s">
        <v>2692</v>
      </c>
      <c r="F645" s="21">
        <v>3</v>
      </c>
      <c r="G645" s="1" t="s">
        <v>2699</v>
      </c>
      <c r="H645" s="1" t="s">
        <v>2700</v>
      </c>
      <c r="I645" s="1" t="s">
        <v>2701</v>
      </c>
      <c r="J645" s="1" t="s">
        <v>2702</v>
      </c>
      <c r="L645" s="1" t="s">
        <v>8</v>
      </c>
    </row>
    <row r="646" spans="1:12" ht="15.75" customHeight="1" x14ac:dyDescent="0.25">
      <c r="A646" s="1" t="s">
        <v>2590</v>
      </c>
      <c r="B646" s="21">
        <v>10</v>
      </c>
      <c r="C646" s="1" t="s">
        <v>2591</v>
      </c>
      <c r="D646" s="21">
        <v>32</v>
      </c>
      <c r="E646" s="1" t="s">
        <v>2692</v>
      </c>
      <c r="F646" s="21">
        <v>4</v>
      </c>
      <c r="G646" s="1" t="s">
        <v>2703</v>
      </c>
      <c r="H646" s="1" t="s">
        <v>2704</v>
      </c>
      <c r="I646" s="1" t="s">
        <v>2705</v>
      </c>
      <c r="J646" s="1" t="s">
        <v>2706</v>
      </c>
      <c r="L646" s="1" t="s">
        <v>7</v>
      </c>
    </row>
    <row r="647" spans="1:12" ht="15.75" customHeight="1" x14ac:dyDescent="0.25">
      <c r="A647" s="1" t="s">
        <v>2590</v>
      </c>
      <c r="B647" s="21">
        <v>10</v>
      </c>
      <c r="C647" s="1" t="s">
        <v>2591</v>
      </c>
      <c r="D647" s="21">
        <v>32</v>
      </c>
      <c r="E647" s="1" t="s">
        <v>2692</v>
      </c>
      <c r="F647" s="21">
        <v>5</v>
      </c>
      <c r="G647" s="1" t="s">
        <v>2707</v>
      </c>
      <c r="H647" s="1" t="s">
        <v>2708</v>
      </c>
      <c r="I647" s="1" t="s">
        <v>2709</v>
      </c>
      <c r="J647" s="1" t="s">
        <v>2710</v>
      </c>
      <c r="L647" s="1" t="s">
        <v>8</v>
      </c>
    </row>
    <row r="648" spans="1:12" ht="15.75" customHeight="1" x14ac:dyDescent="0.25">
      <c r="A648" s="1" t="s">
        <v>2590</v>
      </c>
      <c r="B648" s="21">
        <v>10</v>
      </c>
      <c r="C648" s="1" t="s">
        <v>2591</v>
      </c>
      <c r="D648" s="21">
        <v>32</v>
      </c>
      <c r="E648" s="1" t="s">
        <v>2692</v>
      </c>
      <c r="F648" s="21">
        <v>6</v>
      </c>
      <c r="G648" s="1" t="s">
        <v>2711</v>
      </c>
      <c r="H648" s="1" t="s">
        <v>2712</v>
      </c>
      <c r="I648" s="1" t="s">
        <v>2713</v>
      </c>
      <c r="J648" s="1" t="s">
        <v>2714</v>
      </c>
      <c r="L648" s="1" t="s">
        <v>9</v>
      </c>
    </row>
    <row r="649" spans="1:12" ht="15.75" customHeight="1" x14ac:dyDescent="0.25">
      <c r="A649" s="1" t="s">
        <v>2590</v>
      </c>
      <c r="B649" s="21">
        <v>10</v>
      </c>
      <c r="C649" s="1" t="s">
        <v>2591</v>
      </c>
      <c r="D649" s="21">
        <v>32</v>
      </c>
      <c r="E649" s="1" t="s">
        <v>2692</v>
      </c>
      <c r="F649" s="21">
        <v>7</v>
      </c>
      <c r="G649" s="1" t="s">
        <v>2715</v>
      </c>
      <c r="H649" s="1" t="s">
        <v>2716</v>
      </c>
      <c r="I649" s="1" t="s">
        <v>2717</v>
      </c>
      <c r="J649" s="1" t="s">
        <v>2718</v>
      </c>
      <c r="L649" s="1" t="s">
        <v>7</v>
      </c>
    </row>
    <row r="650" spans="1:12" ht="15.75" customHeight="1" x14ac:dyDescent="0.25">
      <c r="A650" s="1" t="s">
        <v>2590</v>
      </c>
      <c r="B650" s="21">
        <v>10</v>
      </c>
      <c r="C650" s="1" t="s">
        <v>2591</v>
      </c>
      <c r="D650" s="21">
        <v>32</v>
      </c>
      <c r="E650" s="1" t="s">
        <v>2692</v>
      </c>
      <c r="F650" s="21">
        <v>8</v>
      </c>
      <c r="G650" s="1" t="s">
        <v>2719</v>
      </c>
      <c r="H650" s="1" t="s">
        <v>2720</v>
      </c>
      <c r="I650" s="1" t="s">
        <v>2721</v>
      </c>
      <c r="J650" s="1" t="s">
        <v>2722</v>
      </c>
      <c r="L650" s="1" t="s">
        <v>8</v>
      </c>
    </row>
    <row r="651" spans="1:12" ht="15.75" customHeight="1" x14ac:dyDescent="0.25">
      <c r="A651" s="1" t="s">
        <v>2590</v>
      </c>
      <c r="B651" s="21">
        <v>10</v>
      </c>
      <c r="C651" s="1" t="s">
        <v>2591</v>
      </c>
      <c r="D651" s="21">
        <v>32</v>
      </c>
      <c r="E651" s="1" t="s">
        <v>2692</v>
      </c>
      <c r="F651" s="21">
        <v>9</v>
      </c>
      <c r="G651" s="1" t="s">
        <v>2723</v>
      </c>
      <c r="H651" s="1" t="s">
        <v>2724</v>
      </c>
      <c r="I651" s="1" t="s">
        <v>2725</v>
      </c>
      <c r="J651" s="1" t="s">
        <v>2726</v>
      </c>
      <c r="L651" s="1" t="s">
        <v>9</v>
      </c>
    </row>
    <row r="652" spans="1:12" ht="15.75" customHeight="1" x14ac:dyDescent="0.25">
      <c r="A652" s="1" t="s">
        <v>2590</v>
      </c>
      <c r="B652" s="21">
        <v>10</v>
      </c>
      <c r="C652" s="1" t="s">
        <v>2591</v>
      </c>
      <c r="D652" s="21">
        <v>32</v>
      </c>
      <c r="E652" s="1" t="s">
        <v>2692</v>
      </c>
      <c r="F652" s="21">
        <v>10</v>
      </c>
      <c r="G652" s="1" t="s">
        <v>2727</v>
      </c>
      <c r="H652" s="1" t="s">
        <v>2728</v>
      </c>
      <c r="I652" s="1" t="s">
        <v>2729</v>
      </c>
      <c r="J652" s="1" t="s">
        <v>2730</v>
      </c>
      <c r="L652" s="1" t="s">
        <v>8</v>
      </c>
    </row>
    <row r="653" spans="1:12" ht="15.75" customHeight="1" x14ac:dyDescent="0.25">
      <c r="A653" s="1" t="s">
        <v>2590</v>
      </c>
      <c r="B653" s="21">
        <v>10</v>
      </c>
      <c r="C653" s="1" t="s">
        <v>2591</v>
      </c>
      <c r="D653" s="21">
        <v>32</v>
      </c>
      <c r="E653" s="1" t="s">
        <v>2692</v>
      </c>
      <c r="F653" s="21">
        <v>11</v>
      </c>
      <c r="G653" s="1" t="s">
        <v>2731</v>
      </c>
      <c r="H653" s="1" t="s">
        <v>2732</v>
      </c>
      <c r="I653" s="1" t="s">
        <v>2733</v>
      </c>
      <c r="J653" s="1" t="s">
        <v>2734</v>
      </c>
      <c r="L653" s="1" t="s">
        <v>7</v>
      </c>
    </row>
    <row r="654" spans="1:12" ht="15.75" customHeight="1" x14ac:dyDescent="0.25">
      <c r="A654" s="1" t="s">
        <v>2590</v>
      </c>
      <c r="B654" s="21">
        <v>10</v>
      </c>
      <c r="C654" s="1" t="s">
        <v>2591</v>
      </c>
      <c r="D654" s="21">
        <v>32</v>
      </c>
      <c r="E654" s="1" t="s">
        <v>2692</v>
      </c>
      <c r="F654" s="21">
        <v>12</v>
      </c>
      <c r="G654" s="1" t="s">
        <v>2735</v>
      </c>
      <c r="H654" s="1" t="s">
        <v>2736</v>
      </c>
      <c r="I654" s="1" t="s">
        <v>2737</v>
      </c>
      <c r="J654" s="1" t="s">
        <v>2738</v>
      </c>
      <c r="L654" s="1" t="s">
        <v>9</v>
      </c>
    </row>
    <row r="655" spans="1:12" ht="15.75" customHeight="1" x14ac:dyDescent="0.25">
      <c r="A655" s="1" t="s">
        <v>2590</v>
      </c>
      <c r="B655" s="21">
        <v>10</v>
      </c>
      <c r="C655" s="1" t="s">
        <v>2591</v>
      </c>
      <c r="D655" s="21">
        <v>32</v>
      </c>
      <c r="E655" s="1" t="s">
        <v>2692</v>
      </c>
      <c r="F655" s="21">
        <v>13</v>
      </c>
      <c r="G655" s="1" t="s">
        <v>2739</v>
      </c>
      <c r="H655" s="1" t="s">
        <v>2740</v>
      </c>
      <c r="I655" s="1" t="s">
        <v>2741</v>
      </c>
      <c r="J655" s="1" t="s">
        <v>2742</v>
      </c>
      <c r="L655" s="1" t="s">
        <v>9</v>
      </c>
    </row>
    <row r="656" spans="1:12" ht="15.75" customHeight="1" x14ac:dyDescent="0.25">
      <c r="A656" s="1" t="s">
        <v>2590</v>
      </c>
      <c r="B656" s="21">
        <v>10</v>
      </c>
      <c r="C656" s="1" t="s">
        <v>2591</v>
      </c>
      <c r="D656" s="21">
        <v>32</v>
      </c>
      <c r="E656" s="1" t="s">
        <v>2692</v>
      </c>
      <c r="F656" s="21">
        <v>14</v>
      </c>
      <c r="G656" s="1" t="s">
        <v>2743</v>
      </c>
      <c r="H656" s="1" t="s">
        <v>2744</v>
      </c>
      <c r="I656" s="1" t="s">
        <v>2745</v>
      </c>
      <c r="J656" s="1" t="s">
        <v>2663</v>
      </c>
      <c r="L656" s="1" t="s">
        <v>7</v>
      </c>
    </row>
    <row r="657" spans="1:12" ht="15.75" customHeight="1" x14ac:dyDescent="0.25">
      <c r="A657" s="1" t="s">
        <v>2590</v>
      </c>
      <c r="B657" s="21">
        <v>10</v>
      </c>
      <c r="C657" s="1" t="s">
        <v>2591</v>
      </c>
      <c r="D657" s="21">
        <v>32</v>
      </c>
      <c r="E657" s="1" t="s">
        <v>2692</v>
      </c>
      <c r="F657" s="21">
        <v>15</v>
      </c>
      <c r="G657" s="1" t="s">
        <v>2746</v>
      </c>
      <c r="H657" s="1" t="s">
        <v>2747</v>
      </c>
      <c r="I657" s="1" t="s">
        <v>2748</v>
      </c>
      <c r="J657" s="1" t="s">
        <v>2749</v>
      </c>
      <c r="L657" s="1" t="s">
        <v>9</v>
      </c>
    </row>
    <row r="658" spans="1:12" ht="15.75" customHeight="1" x14ac:dyDescent="0.25">
      <c r="A658" s="1" t="s">
        <v>2590</v>
      </c>
      <c r="B658" s="21">
        <v>10</v>
      </c>
      <c r="C658" s="1" t="s">
        <v>2591</v>
      </c>
      <c r="D658" s="21">
        <v>32</v>
      </c>
      <c r="E658" s="1" t="s">
        <v>2692</v>
      </c>
      <c r="F658" s="21">
        <v>16</v>
      </c>
      <c r="G658" s="1" t="s">
        <v>2750</v>
      </c>
      <c r="H658" s="1" t="s">
        <v>2751</v>
      </c>
      <c r="I658" s="1" t="s">
        <v>2752</v>
      </c>
      <c r="J658" s="1" t="s">
        <v>2753</v>
      </c>
      <c r="L658" s="1" t="s">
        <v>8</v>
      </c>
    </row>
    <row r="659" spans="1:12" ht="15.75" customHeight="1" x14ac:dyDescent="0.25">
      <c r="A659" s="1" t="s">
        <v>2590</v>
      </c>
      <c r="B659" s="21">
        <v>10</v>
      </c>
      <c r="C659" s="1" t="s">
        <v>2591</v>
      </c>
      <c r="D659" s="21">
        <v>32</v>
      </c>
      <c r="E659" s="1" t="s">
        <v>2692</v>
      </c>
      <c r="F659" s="21">
        <v>17</v>
      </c>
      <c r="G659" s="1" t="s">
        <v>2754</v>
      </c>
      <c r="H659" s="1" t="s">
        <v>2755</v>
      </c>
      <c r="I659" s="1" t="s">
        <v>2756</v>
      </c>
      <c r="J659" s="1" t="s">
        <v>2757</v>
      </c>
      <c r="L659" s="1" t="s">
        <v>9</v>
      </c>
    </row>
    <row r="660" spans="1:12" ht="15.75" customHeight="1" x14ac:dyDescent="0.25">
      <c r="A660" s="1" t="s">
        <v>2590</v>
      </c>
      <c r="B660" s="21">
        <v>10</v>
      </c>
      <c r="C660" s="1" t="s">
        <v>2591</v>
      </c>
      <c r="D660" s="21">
        <v>32</v>
      </c>
      <c r="E660" s="1" t="s">
        <v>2692</v>
      </c>
      <c r="F660" s="21">
        <v>18</v>
      </c>
      <c r="G660" s="1" t="s">
        <v>2758</v>
      </c>
      <c r="H660" s="1" t="s">
        <v>2759</v>
      </c>
      <c r="I660" s="1" t="s">
        <v>2760</v>
      </c>
      <c r="J660" s="1" t="s">
        <v>2761</v>
      </c>
      <c r="L660" s="1" t="s">
        <v>9</v>
      </c>
    </row>
    <row r="661" spans="1:12" ht="15.75" customHeight="1" x14ac:dyDescent="0.25">
      <c r="A661" s="1" t="s">
        <v>2590</v>
      </c>
      <c r="B661" s="21">
        <v>10</v>
      </c>
      <c r="C661" s="1" t="s">
        <v>2591</v>
      </c>
      <c r="D661" s="21">
        <v>32</v>
      </c>
      <c r="E661" s="1" t="s">
        <v>2692</v>
      </c>
      <c r="F661" s="21">
        <v>19</v>
      </c>
      <c r="G661" s="1" t="s">
        <v>2762</v>
      </c>
      <c r="H661" s="1" t="s">
        <v>2763</v>
      </c>
      <c r="I661" s="1" t="s">
        <v>2764</v>
      </c>
      <c r="J661" s="1" t="s">
        <v>2765</v>
      </c>
      <c r="L661" s="1" t="s">
        <v>7</v>
      </c>
    </row>
    <row r="662" spans="1:12" ht="15.75" customHeight="1" x14ac:dyDescent="0.25">
      <c r="A662" s="1" t="s">
        <v>2590</v>
      </c>
      <c r="B662" s="21">
        <v>10</v>
      </c>
      <c r="C662" s="1" t="s">
        <v>2591</v>
      </c>
      <c r="D662" s="21">
        <v>32</v>
      </c>
      <c r="E662" s="1" t="s">
        <v>2692</v>
      </c>
      <c r="F662" s="21">
        <v>20</v>
      </c>
      <c r="G662" s="1" t="s">
        <v>2766</v>
      </c>
      <c r="H662" s="1" t="s">
        <v>2767</v>
      </c>
      <c r="I662" s="1" t="s">
        <v>2768</v>
      </c>
      <c r="J662" s="1" t="s">
        <v>2769</v>
      </c>
      <c r="L662" s="1" t="s">
        <v>8</v>
      </c>
    </row>
    <row r="663" spans="1:12" ht="15.75" customHeight="1" x14ac:dyDescent="0.25">
      <c r="A663" s="1" t="s">
        <v>2590</v>
      </c>
      <c r="B663" s="21">
        <v>10</v>
      </c>
      <c r="C663" s="1" t="s">
        <v>2591</v>
      </c>
      <c r="D663" s="21">
        <v>32</v>
      </c>
      <c r="E663" s="1" t="s">
        <v>2692</v>
      </c>
      <c r="F663" s="21">
        <v>19</v>
      </c>
      <c r="G663" s="1" t="s">
        <v>2770</v>
      </c>
      <c r="H663" s="1" t="s">
        <v>2771</v>
      </c>
      <c r="I663" s="1" t="s">
        <v>2772</v>
      </c>
      <c r="J663" s="1" t="s">
        <v>2773</v>
      </c>
      <c r="L663" s="1" t="s">
        <v>9</v>
      </c>
    </row>
    <row r="664" spans="1:12" ht="15.75" customHeight="1" x14ac:dyDescent="0.25">
      <c r="A664" s="1" t="s">
        <v>2590</v>
      </c>
      <c r="B664" s="21">
        <v>10</v>
      </c>
      <c r="C664" s="1" t="s">
        <v>2591</v>
      </c>
      <c r="D664" s="21">
        <v>32</v>
      </c>
      <c r="E664" s="1" t="s">
        <v>2692</v>
      </c>
      <c r="F664" s="21">
        <v>20</v>
      </c>
      <c r="G664" s="1" t="s">
        <v>2774</v>
      </c>
      <c r="H664" s="1" t="s">
        <v>2775</v>
      </c>
      <c r="I664" s="1" t="s">
        <v>2776</v>
      </c>
      <c r="J664" s="1" t="s">
        <v>2777</v>
      </c>
      <c r="L664" s="1" t="s">
        <v>8</v>
      </c>
    </row>
    <row r="665" spans="1:12" ht="15.75" customHeight="1" x14ac:dyDescent="0.25">
      <c r="A665" s="1" t="s">
        <v>2590</v>
      </c>
      <c r="B665" s="21">
        <v>10</v>
      </c>
      <c r="C665" s="1" t="s">
        <v>2591</v>
      </c>
      <c r="D665" s="21">
        <v>32</v>
      </c>
      <c r="E665" s="1" t="s">
        <v>2692</v>
      </c>
      <c r="F665" s="21">
        <v>21</v>
      </c>
      <c r="G665" s="1" t="s">
        <v>2778</v>
      </c>
      <c r="H665" s="1" t="s">
        <v>2779</v>
      </c>
      <c r="I665" s="1" t="s">
        <v>2780</v>
      </c>
      <c r="J665" s="1" t="s">
        <v>2781</v>
      </c>
      <c r="L665" s="1" t="s">
        <v>8</v>
      </c>
    </row>
    <row r="666" spans="1:12" ht="15.75" customHeight="1" x14ac:dyDescent="0.25">
      <c r="A666" s="1" t="s">
        <v>2590</v>
      </c>
      <c r="B666" s="21">
        <v>10</v>
      </c>
      <c r="C666" s="1" t="s">
        <v>2591</v>
      </c>
      <c r="D666" s="21">
        <v>32</v>
      </c>
      <c r="E666" s="1" t="s">
        <v>2692</v>
      </c>
      <c r="F666" s="21">
        <v>22</v>
      </c>
      <c r="G666" s="1" t="s">
        <v>2782</v>
      </c>
      <c r="H666" s="1" t="s">
        <v>2783</v>
      </c>
      <c r="I666" s="1" t="s">
        <v>2784</v>
      </c>
      <c r="J666" s="1" t="s">
        <v>2506</v>
      </c>
      <c r="L666" s="1" t="s">
        <v>8</v>
      </c>
    </row>
    <row r="667" spans="1:12" ht="15.75" customHeight="1" x14ac:dyDescent="0.25">
      <c r="A667" s="1" t="s">
        <v>2590</v>
      </c>
      <c r="B667" s="21">
        <v>10</v>
      </c>
      <c r="C667" s="1" t="s">
        <v>2591</v>
      </c>
      <c r="D667" s="21">
        <v>32</v>
      </c>
      <c r="E667" s="1" t="s">
        <v>2692</v>
      </c>
      <c r="F667" s="21">
        <v>23</v>
      </c>
      <c r="G667" s="1" t="s">
        <v>2785</v>
      </c>
      <c r="H667" s="1" t="s">
        <v>2786</v>
      </c>
      <c r="I667" s="1" t="s">
        <v>2787</v>
      </c>
      <c r="J667" s="1" t="s">
        <v>2788</v>
      </c>
      <c r="L667" s="1" t="s">
        <v>9</v>
      </c>
    </row>
    <row r="668" spans="1:12" ht="15.75" customHeight="1" x14ac:dyDescent="0.25">
      <c r="A668" s="1" t="s">
        <v>2590</v>
      </c>
      <c r="B668" s="21">
        <v>10</v>
      </c>
      <c r="C668" s="1" t="s">
        <v>2591</v>
      </c>
      <c r="D668" s="21">
        <v>32</v>
      </c>
      <c r="E668" s="1" t="s">
        <v>2692</v>
      </c>
      <c r="F668" s="21">
        <v>24</v>
      </c>
      <c r="G668" s="1" t="s">
        <v>2789</v>
      </c>
      <c r="H668" s="1" t="s">
        <v>2790</v>
      </c>
      <c r="I668" s="1" t="s">
        <v>2791</v>
      </c>
      <c r="J668" s="1" t="s">
        <v>2792</v>
      </c>
      <c r="L668" s="1" t="s">
        <v>7</v>
      </c>
    </row>
    <row r="669" spans="1:12" ht="15.75" customHeight="1" x14ac:dyDescent="0.25">
      <c r="A669" s="1" t="s">
        <v>2590</v>
      </c>
      <c r="B669" s="21">
        <v>10</v>
      </c>
      <c r="C669" s="1" t="s">
        <v>2591</v>
      </c>
      <c r="D669" s="21">
        <v>32</v>
      </c>
      <c r="E669" s="1" t="s">
        <v>2692</v>
      </c>
      <c r="F669" s="21">
        <v>25</v>
      </c>
      <c r="G669" s="1" t="s">
        <v>2793</v>
      </c>
      <c r="H669" s="1" t="s">
        <v>2794</v>
      </c>
      <c r="I669" s="1" t="s">
        <v>2795</v>
      </c>
      <c r="J669" s="1" t="s">
        <v>2796</v>
      </c>
      <c r="L669" s="1" t="s">
        <v>7</v>
      </c>
    </row>
    <row r="670" spans="1:12" ht="15.75" customHeight="1" x14ac:dyDescent="0.25">
      <c r="A670" s="1" t="s">
        <v>2590</v>
      </c>
      <c r="B670" s="21">
        <v>10</v>
      </c>
      <c r="C670" s="1" t="s">
        <v>2591</v>
      </c>
      <c r="D670" s="21">
        <v>32</v>
      </c>
      <c r="E670" s="1" t="s">
        <v>2692</v>
      </c>
      <c r="F670" s="21">
        <v>26</v>
      </c>
      <c r="G670" s="1" t="s">
        <v>2797</v>
      </c>
      <c r="H670" s="1" t="s">
        <v>2798</v>
      </c>
      <c r="I670" s="1" t="s">
        <v>2799</v>
      </c>
      <c r="J670" s="1" t="s">
        <v>2800</v>
      </c>
      <c r="L670" s="1" t="s">
        <v>9</v>
      </c>
    </row>
    <row r="671" spans="1:12" ht="15.75" customHeight="1" x14ac:dyDescent="0.25">
      <c r="A671" s="1" t="s">
        <v>2590</v>
      </c>
      <c r="B671" s="21">
        <v>10</v>
      </c>
      <c r="C671" s="1" t="s">
        <v>2591</v>
      </c>
      <c r="D671" s="21">
        <v>32</v>
      </c>
      <c r="E671" s="1" t="s">
        <v>2692</v>
      </c>
      <c r="F671" s="21">
        <v>27</v>
      </c>
      <c r="G671" s="1" t="s">
        <v>2801</v>
      </c>
      <c r="H671" s="1" t="s">
        <v>2802</v>
      </c>
      <c r="I671" s="1" t="s">
        <v>2803</v>
      </c>
      <c r="J671" s="1" t="s">
        <v>2804</v>
      </c>
      <c r="L671" s="1" t="s">
        <v>8</v>
      </c>
    </row>
    <row r="672" spans="1:12" ht="15.75" customHeight="1" x14ac:dyDescent="0.25">
      <c r="A672" s="1" t="s">
        <v>2590</v>
      </c>
      <c r="B672" s="21">
        <v>10</v>
      </c>
      <c r="C672" s="1" t="s">
        <v>2591</v>
      </c>
      <c r="D672" s="21">
        <v>32</v>
      </c>
      <c r="E672" s="1" t="s">
        <v>2692</v>
      </c>
      <c r="F672" s="21">
        <v>28</v>
      </c>
      <c r="G672" s="1" t="s">
        <v>2805</v>
      </c>
      <c r="H672" s="1" t="s">
        <v>2806</v>
      </c>
      <c r="I672" s="1" t="s">
        <v>2807</v>
      </c>
      <c r="J672" s="1" t="s">
        <v>2808</v>
      </c>
      <c r="L672" s="1" t="s">
        <v>9</v>
      </c>
    </row>
    <row r="673" spans="1:12" ht="15.75" customHeight="1" x14ac:dyDescent="0.25">
      <c r="A673" s="1" t="s">
        <v>2590</v>
      </c>
      <c r="B673" s="21">
        <v>10</v>
      </c>
      <c r="C673" s="1" t="s">
        <v>2591</v>
      </c>
      <c r="D673" s="21">
        <v>32</v>
      </c>
      <c r="E673" s="1" t="s">
        <v>2692</v>
      </c>
      <c r="F673" s="21">
        <v>29</v>
      </c>
      <c r="G673" s="1" t="s">
        <v>2809</v>
      </c>
      <c r="H673" s="1" t="s">
        <v>2810</v>
      </c>
      <c r="I673" s="1" t="s">
        <v>2811</v>
      </c>
      <c r="J673" s="1" t="s">
        <v>2812</v>
      </c>
      <c r="L673" s="1" t="s">
        <v>8</v>
      </c>
    </row>
    <row r="674" spans="1:12" ht="15.75" customHeight="1" x14ac:dyDescent="0.25">
      <c r="A674" s="1" t="s">
        <v>2590</v>
      </c>
      <c r="B674" s="21">
        <v>10</v>
      </c>
      <c r="C674" s="1" t="s">
        <v>2591</v>
      </c>
      <c r="D674" s="21">
        <v>32</v>
      </c>
      <c r="E674" s="1" t="s">
        <v>2692</v>
      </c>
      <c r="F674" s="21">
        <v>30</v>
      </c>
      <c r="G674" s="1" t="s">
        <v>2813</v>
      </c>
      <c r="H674" s="1" t="s">
        <v>2814</v>
      </c>
      <c r="I674" s="1" t="s">
        <v>2815</v>
      </c>
      <c r="J674" s="1" t="s">
        <v>2816</v>
      </c>
      <c r="L674" s="1" t="s">
        <v>9</v>
      </c>
    </row>
    <row r="675" spans="1:12" ht="15.75" customHeight="1" x14ac:dyDescent="0.25">
      <c r="A675" s="1" t="s">
        <v>2590</v>
      </c>
      <c r="B675" s="21">
        <v>10</v>
      </c>
      <c r="C675" s="1" t="s">
        <v>2591</v>
      </c>
      <c r="D675" s="21">
        <v>32</v>
      </c>
      <c r="E675" s="1" t="s">
        <v>2692</v>
      </c>
      <c r="F675" s="21">
        <v>31</v>
      </c>
      <c r="G675" s="1" t="s">
        <v>2817</v>
      </c>
      <c r="H675" s="1" t="s">
        <v>2818</v>
      </c>
      <c r="I675" s="1" t="s">
        <v>2819</v>
      </c>
      <c r="J675" s="1" t="s">
        <v>2820</v>
      </c>
      <c r="L675" s="1" t="s">
        <v>7</v>
      </c>
    </row>
    <row r="676" spans="1:12" ht="15.75" customHeight="1" x14ac:dyDescent="0.25">
      <c r="A676" s="1" t="s">
        <v>2590</v>
      </c>
      <c r="B676" s="21">
        <v>10</v>
      </c>
      <c r="C676" s="1" t="s">
        <v>2591</v>
      </c>
      <c r="D676" s="21">
        <v>32</v>
      </c>
      <c r="E676" s="1" t="s">
        <v>2692</v>
      </c>
      <c r="F676" s="21">
        <v>32</v>
      </c>
      <c r="G676" s="1" t="s">
        <v>2821</v>
      </c>
      <c r="H676" s="1" t="s">
        <v>2822</v>
      </c>
      <c r="I676" s="1" t="s">
        <v>2823</v>
      </c>
      <c r="J676" s="1" t="s">
        <v>2824</v>
      </c>
      <c r="L676" s="1" t="s">
        <v>9</v>
      </c>
    </row>
    <row r="677" spans="1:12" ht="15.75" customHeight="1" x14ac:dyDescent="0.25">
      <c r="A677" s="1" t="s">
        <v>2590</v>
      </c>
      <c r="B677" s="21">
        <v>10</v>
      </c>
      <c r="C677" s="1" t="s">
        <v>2591</v>
      </c>
      <c r="D677" s="21">
        <v>32</v>
      </c>
      <c r="E677" s="1" t="s">
        <v>2692</v>
      </c>
      <c r="F677" s="21">
        <v>33</v>
      </c>
      <c r="G677" s="1" t="s">
        <v>2825</v>
      </c>
      <c r="H677" s="1" t="s">
        <v>2826</v>
      </c>
      <c r="I677" s="1" t="s">
        <v>2827</v>
      </c>
      <c r="J677" s="1" t="s">
        <v>2663</v>
      </c>
      <c r="L677" s="1" t="s">
        <v>9</v>
      </c>
    </row>
    <row r="678" spans="1:12" ht="15.75" customHeight="1" x14ac:dyDescent="0.25">
      <c r="A678" s="1" t="s">
        <v>2590</v>
      </c>
      <c r="B678" s="21">
        <v>10</v>
      </c>
      <c r="C678" s="1" t="s">
        <v>2591</v>
      </c>
      <c r="D678" s="21">
        <v>32</v>
      </c>
      <c r="E678" s="1" t="s">
        <v>2692</v>
      </c>
      <c r="F678" s="21">
        <v>34</v>
      </c>
      <c r="G678" s="1" t="s">
        <v>2828</v>
      </c>
      <c r="H678" s="1" t="s">
        <v>2829</v>
      </c>
      <c r="I678" s="1" t="s">
        <v>2830</v>
      </c>
      <c r="J678" s="1" t="s">
        <v>2831</v>
      </c>
      <c r="L678" s="1" t="s">
        <v>9</v>
      </c>
    </row>
    <row r="679" spans="1:12" ht="15.75" customHeight="1" x14ac:dyDescent="0.25">
      <c r="A679" s="1" t="s">
        <v>2590</v>
      </c>
      <c r="B679" s="21">
        <v>10</v>
      </c>
      <c r="C679" s="1" t="s">
        <v>2591</v>
      </c>
      <c r="D679" s="21">
        <v>32</v>
      </c>
      <c r="E679" s="1" t="s">
        <v>2692</v>
      </c>
      <c r="F679" s="21">
        <v>35</v>
      </c>
      <c r="G679" s="1" t="s">
        <v>2832</v>
      </c>
      <c r="H679" s="1" t="s">
        <v>2833</v>
      </c>
      <c r="I679" s="1" t="s">
        <v>2834</v>
      </c>
      <c r="J679" s="1" t="s">
        <v>2835</v>
      </c>
      <c r="L679" s="1" t="s">
        <v>8</v>
      </c>
    </row>
    <row r="680" spans="1:12" ht="15.75" customHeight="1" x14ac:dyDescent="0.25">
      <c r="A680" s="1" t="s">
        <v>2590</v>
      </c>
      <c r="B680" s="21">
        <v>10</v>
      </c>
      <c r="C680" s="1" t="s">
        <v>2591</v>
      </c>
      <c r="D680" s="21">
        <v>32</v>
      </c>
      <c r="E680" s="1" t="s">
        <v>2692</v>
      </c>
      <c r="F680" s="21">
        <v>36</v>
      </c>
      <c r="G680" s="1" t="s">
        <v>2836</v>
      </c>
      <c r="H680" s="1" t="s">
        <v>2837</v>
      </c>
      <c r="I680" s="1" t="s">
        <v>2838</v>
      </c>
      <c r="J680" s="1" t="s">
        <v>2839</v>
      </c>
      <c r="L680" s="1" t="s">
        <v>7</v>
      </c>
    </row>
    <row r="681" spans="1:12" ht="15.75" customHeight="1" x14ac:dyDescent="0.25">
      <c r="A681" s="1" t="s">
        <v>2590</v>
      </c>
      <c r="B681" s="21">
        <v>10</v>
      </c>
      <c r="C681" s="1" t="s">
        <v>2591</v>
      </c>
      <c r="D681" s="21">
        <v>32</v>
      </c>
      <c r="E681" s="1" t="s">
        <v>2692</v>
      </c>
      <c r="F681" s="21">
        <v>37</v>
      </c>
      <c r="G681" s="1" t="s">
        <v>2840</v>
      </c>
      <c r="H681" s="1" t="s">
        <v>2841</v>
      </c>
      <c r="I681" s="1" t="s">
        <v>2842</v>
      </c>
      <c r="J681" s="1" t="s">
        <v>2843</v>
      </c>
      <c r="L681" s="1" t="s">
        <v>7</v>
      </c>
    </row>
    <row r="682" spans="1:12" ht="15.75" customHeight="1" x14ac:dyDescent="0.25">
      <c r="A682" s="1" t="s">
        <v>2590</v>
      </c>
      <c r="B682" s="21">
        <v>10</v>
      </c>
      <c r="C682" s="1" t="s">
        <v>2591</v>
      </c>
      <c r="D682" s="21">
        <v>32</v>
      </c>
      <c r="E682" s="1" t="s">
        <v>2692</v>
      </c>
      <c r="F682" s="21">
        <v>38</v>
      </c>
      <c r="G682" s="1" t="s">
        <v>2844</v>
      </c>
      <c r="H682" s="1" t="s">
        <v>2845</v>
      </c>
      <c r="I682" s="1" t="s">
        <v>2846</v>
      </c>
      <c r="J682" s="1" t="s">
        <v>2847</v>
      </c>
      <c r="L682" s="1" t="s">
        <v>9</v>
      </c>
    </row>
    <row r="683" spans="1:12" ht="15.75" customHeight="1" x14ac:dyDescent="0.25">
      <c r="A683" s="1" t="s">
        <v>2590</v>
      </c>
      <c r="B683" s="21">
        <v>10</v>
      </c>
      <c r="C683" s="1" t="s">
        <v>2591</v>
      </c>
      <c r="D683" s="21">
        <v>32</v>
      </c>
      <c r="E683" s="1" t="s">
        <v>2692</v>
      </c>
      <c r="F683" s="21">
        <v>39</v>
      </c>
      <c r="G683" s="1" t="s">
        <v>2848</v>
      </c>
      <c r="H683" s="1" t="s">
        <v>2849</v>
      </c>
      <c r="I683" s="1" t="s">
        <v>2850</v>
      </c>
      <c r="J683" s="1" t="s">
        <v>2851</v>
      </c>
      <c r="L683" s="1" t="s">
        <v>9</v>
      </c>
    </row>
    <row r="684" spans="1:12" ht="15.75" customHeight="1" x14ac:dyDescent="0.25">
      <c r="A684" s="1" t="s">
        <v>2590</v>
      </c>
      <c r="B684" s="21">
        <v>10</v>
      </c>
      <c r="C684" s="1" t="s">
        <v>2591</v>
      </c>
      <c r="D684" s="21">
        <v>32</v>
      </c>
      <c r="E684" s="1" t="s">
        <v>2692</v>
      </c>
      <c r="F684" s="21">
        <v>40</v>
      </c>
      <c r="G684" s="1" t="s">
        <v>2852</v>
      </c>
      <c r="H684" s="1" t="s">
        <v>2853</v>
      </c>
      <c r="I684" s="1" t="s">
        <v>2854</v>
      </c>
      <c r="J684" s="1" t="s">
        <v>2855</v>
      </c>
      <c r="L684" s="1" t="s">
        <v>8</v>
      </c>
    </row>
    <row r="685" spans="1:12" ht="15.75" customHeight="1" x14ac:dyDescent="0.25">
      <c r="A685" s="1" t="s">
        <v>2590</v>
      </c>
      <c r="B685" s="21">
        <v>10</v>
      </c>
      <c r="C685" s="1" t="s">
        <v>2591</v>
      </c>
      <c r="D685" s="21">
        <v>32</v>
      </c>
      <c r="E685" s="1" t="s">
        <v>2692</v>
      </c>
      <c r="F685" s="21">
        <v>41</v>
      </c>
      <c r="G685" s="1" t="s">
        <v>2856</v>
      </c>
      <c r="H685" s="1" t="s">
        <v>2857</v>
      </c>
      <c r="I685" s="1" t="s">
        <v>2858</v>
      </c>
      <c r="J685" s="1" t="s">
        <v>2859</v>
      </c>
      <c r="L685" s="1" t="s">
        <v>7</v>
      </c>
    </row>
    <row r="686" spans="1:12" ht="15.75" customHeight="1" x14ac:dyDescent="0.25">
      <c r="A686" s="1" t="s">
        <v>2590</v>
      </c>
      <c r="B686" s="21">
        <v>10</v>
      </c>
      <c r="C686" s="1" t="s">
        <v>2591</v>
      </c>
      <c r="D686" s="21">
        <v>32</v>
      </c>
      <c r="E686" s="1" t="s">
        <v>2692</v>
      </c>
      <c r="F686" s="21">
        <v>42</v>
      </c>
      <c r="G686" s="1" t="s">
        <v>2860</v>
      </c>
      <c r="H686" s="1" t="s">
        <v>2861</v>
      </c>
      <c r="I686" s="1" t="s">
        <v>2862</v>
      </c>
      <c r="J686" s="1" t="s">
        <v>2863</v>
      </c>
      <c r="L686" s="1" t="s">
        <v>7</v>
      </c>
    </row>
    <row r="687" spans="1:12" ht="15.75" customHeight="1" x14ac:dyDescent="0.25">
      <c r="A687" s="1" t="s">
        <v>2590</v>
      </c>
      <c r="B687" s="21">
        <v>10</v>
      </c>
      <c r="C687" s="1" t="s">
        <v>2591</v>
      </c>
      <c r="D687" s="21">
        <v>32</v>
      </c>
      <c r="E687" s="1" t="s">
        <v>2692</v>
      </c>
      <c r="F687" s="21">
        <v>43</v>
      </c>
      <c r="G687" s="1" t="s">
        <v>2864</v>
      </c>
      <c r="H687" s="1" t="s">
        <v>2865</v>
      </c>
      <c r="I687" s="1" t="s">
        <v>2866</v>
      </c>
      <c r="J687" s="1" t="s">
        <v>2867</v>
      </c>
      <c r="L687" s="1" t="s">
        <v>8</v>
      </c>
    </row>
    <row r="688" spans="1:12" ht="15.75" customHeight="1" x14ac:dyDescent="0.25">
      <c r="A688" s="1" t="s">
        <v>2590</v>
      </c>
      <c r="B688" s="21">
        <v>10</v>
      </c>
      <c r="C688" s="1" t="s">
        <v>2591</v>
      </c>
      <c r="D688" s="21">
        <v>32</v>
      </c>
      <c r="E688" s="1" t="s">
        <v>2692</v>
      </c>
      <c r="F688" s="21">
        <v>44</v>
      </c>
      <c r="G688" s="1" t="s">
        <v>2868</v>
      </c>
      <c r="H688" s="1" t="s">
        <v>2869</v>
      </c>
      <c r="I688" s="1" t="s">
        <v>2870</v>
      </c>
      <c r="J688" s="1" t="s">
        <v>2871</v>
      </c>
      <c r="L688" s="1" t="s">
        <v>9</v>
      </c>
    </row>
    <row r="689" spans="1:12" ht="15.75" customHeight="1" x14ac:dyDescent="0.25">
      <c r="A689" s="1" t="s">
        <v>2590</v>
      </c>
      <c r="B689" s="21">
        <v>10</v>
      </c>
      <c r="C689" s="1" t="s">
        <v>2591</v>
      </c>
      <c r="D689" s="21">
        <v>32</v>
      </c>
      <c r="E689" s="1" t="s">
        <v>2692</v>
      </c>
      <c r="F689" s="21">
        <v>45</v>
      </c>
      <c r="G689" s="1" t="s">
        <v>2872</v>
      </c>
      <c r="H689" s="1" t="s">
        <v>8031</v>
      </c>
      <c r="I689" s="1" t="s">
        <v>8030</v>
      </c>
      <c r="J689" t="s">
        <v>2873</v>
      </c>
      <c r="L689" s="1" t="s">
        <v>9</v>
      </c>
    </row>
    <row r="690" spans="1:12" ht="15.75" customHeight="1" x14ac:dyDescent="0.25">
      <c r="A690" s="1" t="s">
        <v>2590</v>
      </c>
      <c r="B690" s="21">
        <v>10</v>
      </c>
      <c r="C690" s="1" t="s">
        <v>2591</v>
      </c>
      <c r="D690" s="21">
        <v>32</v>
      </c>
      <c r="E690" s="1" t="s">
        <v>2692</v>
      </c>
      <c r="F690" s="21">
        <v>46</v>
      </c>
      <c r="G690" s="1" t="s">
        <v>2874</v>
      </c>
      <c r="H690" s="1" t="s">
        <v>2875</v>
      </c>
      <c r="I690" s="1" t="s">
        <v>2876</v>
      </c>
      <c r="J690" s="1" t="s">
        <v>2877</v>
      </c>
      <c r="L690" s="1" t="s">
        <v>8</v>
      </c>
    </row>
    <row r="691" spans="1:12" ht="15.75" customHeight="1" x14ac:dyDescent="0.25">
      <c r="A691" s="1" t="s">
        <v>2590</v>
      </c>
      <c r="B691" s="21">
        <v>10</v>
      </c>
      <c r="C691" s="1" t="s">
        <v>2591</v>
      </c>
      <c r="D691" s="21">
        <v>32</v>
      </c>
      <c r="E691" s="1" t="s">
        <v>2692</v>
      </c>
      <c r="F691" s="21">
        <v>47</v>
      </c>
      <c r="G691" s="1" t="s">
        <v>2878</v>
      </c>
      <c r="H691" s="1" t="s">
        <v>2879</v>
      </c>
      <c r="I691" s="1" t="s">
        <v>2880</v>
      </c>
      <c r="J691" s="1" t="s">
        <v>2881</v>
      </c>
      <c r="L691" s="1" t="s">
        <v>8</v>
      </c>
    </row>
    <row r="692" spans="1:12" ht="15.75" customHeight="1" x14ac:dyDescent="0.25">
      <c r="A692" s="1" t="s">
        <v>2590</v>
      </c>
      <c r="B692" s="21">
        <v>10</v>
      </c>
      <c r="C692" s="1" t="s">
        <v>2591</v>
      </c>
      <c r="D692" s="21">
        <v>32</v>
      </c>
      <c r="E692" s="1" t="s">
        <v>2692</v>
      </c>
      <c r="F692" s="21">
        <v>48</v>
      </c>
      <c r="G692" s="1" t="s">
        <v>2882</v>
      </c>
      <c r="H692" s="1" t="s">
        <v>2883</v>
      </c>
      <c r="I692" s="1" t="s">
        <v>2884</v>
      </c>
      <c r="J692" s="1" t="s">
        <v>2885</v>
      </c>
      <c r="L692" s="1" t="s">
        <v>7</v>
      </c>
    </row>
    <row r="693" spans="1:12" ht="15.75" customHeight="1" x14ac:dyDescent="0.25">
      <c r="A693" s="1" t="s">
        <v>2590</v>
      </c>
      <c r="B693" s="21">
        <v>10</v>
      </c>
      <c r="C693" s="1" t="s">
        <v>2591</v>
      </c>
      <c r="D693" s="21">
        <v>32</v>
      </c>
      <c r="E693" s="1" t="s">
        <v>2692</v>
      </c>
      <c r="F693" s="21">
        <v>49</v>
      </c>
      <c r="G693" s="1" t="s">
        <v>2886</v>
      </c>
      <c r="H693" s="1" t="s">
        <v>2887</v>
      </c>
      <c r="I693" s="1" t="s">
        <v>2888</v>
      </c>
      <c r="J693" s="1" t="s">
        <v>2889</v>
      </c>
      <c r="L693" s="1" t="s">
        <v>8</v>
      </c>
    </row>
    <row r="694" spans="1:12" ht="15.75" customHeight="1" x14ac:dyDescent="0.25">
      <c r="A694" s="1" t="s">
        <v>2590</v>
      </c>
      <c r="B694" s="21">
        <v>10</v>
      </c>
      <c r="C694" s="1" t="s">
        <v>2591</v>
      </c>
      <c r="D694" s="21">
        <v>32</v>
      </c>
      <c r="E694" s="1" t="s">
        <v>2692</v>
      </c>
      <c r="F694" s="21">
        <v>50</v>
      </c>
      <c r="G694" s="1" t="s">
        <v>2890</v>
      </c>
      <c r="H694" s="1" t="s">
        <v>2891</v>
      </c>
      <c r="I694" s="1" t="s">
        <v>2892</v>
      </c>
      <c r="J694" s="1" t="s">
        <v>2893</v>
      </c>
      <c r="L694" s="1" t="s">
        <v>8</v>
      </c>
    </row>
    <row r="695" spans="1:12" ht="15.75" customHeight="1" x14ac:dyDescent="0.25">
      <c r="A695" s="1" t="s">
        <v>2590</v>
      </c>
      <c r="B695" s="21">
        <v>10</v>
      </c>
      <c r="C695" s="1" t="s">
        <v>2591</v>
      </c>
      <c r="D695" s="21">
        <v>32</v>
      </c>
      <c r="E695" s="1" t="s">
        <v>2692</v>
      </c>
      <c r="F695" s="21">
        <v>51</v>
      </c>
      <c r="G695" s="1" t="s">
        <v>2894</v>
      </c>
      <c r="H695" s="1" t="s">
        <v>2895</v>
      </c>
      <c r="I695" s="1" t="s">
        <v>2896</v>
      </c>
      <c r="J695" s="1" t="s">
        <v>2897</v>
      </c>
      <c r="L695" s="1" t="s">
        <v>7</v>
      </c>
    </row>
    <row r="696" spans="1:12" ht="15.75" customHeight="1" x14ac:dyDescent="0.25">
      <c r="A696" s="1" t="s">
        <v>2590</v>
      </c>
      <c r="B696" s="21">
        <v>10</v>
      </c>
      <c r="C696" s="1" t="s">
        <v>2591</v>
      </c>
      <c r="D696" s="21">
        <v>32</v>
      </c>
      <c r="E696" s="1" t="s">
        <v>2692</v>
      </c>
      <c r="F696" s="21">
        <v>52</v>
      </c>
      <c r="G696" s="1" t="s">
        <v>2898</v>
      </c>
      <c r="H696" s="1" t="s">
        <v>2899</v>
      </c>
      <c r="I696" s="1" t="s">
        <v>2900</v>
      </c>
      <c r="J696" s="1" t="s">
        <v>2901</v>
      </c>
      <c r="L696" s="1" t="s">
        <v>8</v>
      </c>
    </row>
    <row r="697" spans="1:12" ht="15.75" customHeight="1" x14ac:dyDescent="0.25">
      <c r="A697" s="1" t="s">
        <v>2590</v>
      </c>
      <c r="B697" s="21">
        <v>10</v>
      </c>
      <c r="C697" s="1" t="s">
        <v>2591</v>
      </c>
      <c r="D697" s="21">
        <v>32</v>
      </c>
      <c r="E697" s="1" t="s">
        <v>2692</v>
      </c>
      <c r="F697" s="21">
        <v>53</v>
      </c>
      <c r="G697" s="1" t="s">
        <v>2902</v>
      </c>
      <c r="H697" s="1" t="s">
        <v>2903</v>
      </c>
      <c r="I697" s="1" t="s">
        <v>2904</v>
      </c>
      <c r="J697" s="1" t="s">
        <v>2905</v>
      </c>
      <c r="L697" s="1" t="s">
        <v>8</v>
      </c>
    </row>
    <row r="698" spans="1:12" ht="15.75" customHeight="1" x14ac:dyDescent="0.25">
      <c r="A698" s="1" t="s">
        <v>2590</v>
      </c>
      <c r="B698" s="21">
        <v>10</v>
      </c>
      <c r="C698" s="1" t="s">
        <v>2591</v>
      </c>
      <c r="D698" s="21">
        <v>32</v>
      </c>
      <c r="E698" s="1" t="s">
        <v>2692</v>
      </c>
      <c r="F698" s="21">
        <v>54</v>
      </c>
      <c r="G698" s="1" t="s">
        <v>2609</v>
      </c>
      <c r="H698" s="1" t="s">
        <v>2906</v>
      </c>
      <c r="I698" s="1" t="s">
        <v>2907</v>
      </c>
      <c r="J698" s="1" t="s">
        <v>2908</v>
      </c>
      <c r="L698" s="1" t="s">
        <v>8</v>
      </c>
    </row>
    <row r="699" spans="1:12" ht="15.75" customHeight="1" x14ac:dyDescent="0.25">
      <c r="A699" s="1" t="s">
        <v>2590</v>
      </c>
      <c r="B699" s="21">
        <v>10</v>
      </c>
      <c r="C699" s="1" t="s">
        <v>2591</v>
      </c>
      <c r="D699" s="21">
        <v>32</v>
      </c>
      <c r="E699" s="1" t="s">
        <v>2692</v>
      </c>
      <c r="F699" s="21">
        <v>55</v>
      </c>
      <c r="G699" s="1" t="s">
        <v>2909</v>
      </c>
      <c r="H699" s="1" t="s">
        <v>2910</v>
      </c>
      <c r="I699" s="1" t="s">
        <v>2911</v>
      </c>
      <c r="J699" s="1" t="s">
        <v>2912</v>
      </c>
      <c r="L699" s="1" t="s">
        <v>9</v>
      </c>
    </row>
    <row r="700" spans="1:12" ht="15.75" customHeight="1" x14ac:dyDescent="0.25">
      <c r="A700" s="1" t="s">
        <v>2590</v>
      </c>
      <c r="B700" s="21">
        <v>10</v>
      </c>
      <c r="C700" s="1" t="s">
        <v>2591</v>
      </c>
      <c r="D700" s="21">
        <v>32</v>
      </c>
      <c r="E700" s="1" t="s">
        <v>2692</v>
      </c>
      <c r="F700" s="21">
        <v>56</v>
      </c>
      <c r="G700" s="1" t="s">
        <v>2621</v>
      </c>
      <c r="H700" s="1" t="s">
        <v>2913</v>
      </c>
      <c r="I700" s="1" t="s">
        <v>2914</v>
      </c>
      <c r="J700" s="1" t="s">
        <v>2915</v>
      </c>
      <c r="L700" s="1" t="s">
        <v>8</v>
      </c>
    </row>
    <row r="701" spans="1:12" ht="15.75" customHeight="1" x14ac:dyDescent="0.25">
      <c r="A701" s="1" t="s">
        <v>2590</v>
      </c>
      <c r="B701" s="21">
        <v>10</v>
      </c>
      <c r="C701" s="1" t="s">
        <v>2591</v>
      </c>
      <c r="D701" s="21">
        <v>32</v>
      </c>
      <c r="E701" s="1" t="s">
        <v>2692</v>
      </c>
      <c r="F701" s="21">
        <v>57</v>
      </c>
      <c r="G701" s="1" t="s">
        <v>6147</v>
      </c>
      <c r="H701" s="1" t="s">
        <v>2916</v>
      </c>
      <c r="I701" s="1" t="s">
        <v>2917</v>
      </c>
      <c r="J701" s="1" t="s">
        <v>2918</v>
      </c>
      <c r="L701" s="1" t="s">
        <v>9</v>
      </c>
    </row>
    <row r="702" spans="1:12" ht="15.75" customHeight="1" x14ac:dyDescent="0.25">
      <c r="A702" s="1" t="s">
        <v>2590</v>
      </c>
      <c r="B702" s="21">
        <v>10</v>
      </c>
      <c r="C702" s="1" t="s">
        <v>2591</v>
      </c>
      <c r="D702" s="21">
        <v>32</v>
      </c>
      <c r="E702" s="1" t="s">
        <v>2692</v>
      </c>
      <c r="F702" s="21">
        <v>58</v>
      </c>
      <c r="G702" s="1" t="s">
        <v>2919</v>
      </c>
      <c r="H702" s="1" t="s">
        <v>2629</v>
      </c>
      <c r="I702" s="1" t="s">
        <v>2630</v>
      </c>
      <c r="J702" s="1" t="s">
        <v>2920</v>
      </c>
      <c r="L702" s="1" t="s">
        <v>8</v>
      </c>
    </row>
    <row r="703" spans="1:12" ht="15.75" customHeight="1" x14ac:dyDescent="0.25">
      <c r="A703" s="1" t="s">
        <v>2590</v>
      </c>
      <c r="B703" s="21">
        <v>10</v>
      </c>
      <c r="C703" s="1" t="s">
        <v>2591</v>
      </c>
      <c r="D703" s="21">
        <v>32</v>
      </c>
      <c r="E703" s="1" t="s">
        <v>2692</v>
      </c>
      <c r="F703" s="21">
        <v>62</v>
      </c>
      <c r="G703" s="1" t="s">
        <v>2644</v>
      </c>
      <c r="H703" s="1" t="s">
        <v>2921</v>
      </c>
      <c r="I703" s="1" t="s">
        <v>2646</v>
      </c>
      <c r="J703" s="1" t="s">
        <v>2922</v>
      </c>
      <c r="L703" s="1" t="s">
        <v>8</v>
      </c>
    </row>
    <row r="704" spans="1:12" ht="15.75" customHeight="1" x14ac:dyDescent="0.25">
      <c r="A704" s="1" t="s">
        <v>2590</v>
      </c>
      <c r="B704" s="21">
        <v>10</v>
      </c>
      <c r="C704" s="1" t="s">
        <v>2591</v>
      </c>
      <c r="D704" s="21">
        <v>32</v>
      </c>
      <c r="E704" s="1" t="s">
        <v>2692</v>
      </c>
      <c r="F704" s="21">
        <v>63</v>
      </c>
      <c r="G704" s="1" t="s">
        <v>2923</v>
      </c>
      <c r="H704" s="1" t="s">
        <v>2649</v>
      </c>
      <c r="I704" s="1" t="s">
        <v>2650</v>
      </c>
      <c r="J704" s="1" t="s">
        <v>2924</v>
      </c>
      <c r="L704" s="1" t="s">
        <v>7</v>
      </c>
    </row>
    <row r="705" spans="1:12" ht="15.75" customHeight="1" x14ac:dyDescent="0.25">
      <c r="A705" s="1" t="s">
        <v>2590</v>
      </c>
      <c r="B705" s="21">
        <v>10</v>
      </c>
      <c r="C705" s="1" t="s">
        <v>2591</v>
      </c>
      <c r="D705" s="21">
        <v>32</v>
      </c>
      <c r="E705" s="1" t="s">
        <v>2692</v>
      </c>
      <c r="F705" s="21">
        <v>64</v>
      </c>
      <c r="G705" s="1" t="s">
        <v>2925</v>
      </c>
      <c r="H705" s="1" t="s">
        <v>2926</v>
      </c>
      <c r="I705" s="1" t="s">
        <v>2927</v>
      </c>
      <c r="J705" s="1" t="s">
        <v>2928</v>
      </c>
      <c r="L705" s="1" t="s">
        <v>9</v>
      </c>
    </row>
    <row r="706" spans="1:12" ht="15.75" customHeight="1" x14ac:dyDescent="0.25">
      <c r="A706" s="1" t="s">
        <v>2590</v>
      </c>
      <c r="B706" s="21">
        <v>10</v>
      </c>
      <c r="C706" s="1" t="s">
        <v>2591</v>
      </c>
      <c r="D706" s="21">
        <v>32</v>
      </c>
      <c r="E706" s="1" t="s">
        <v>2692</v>
      </c>
      <c r="F706" s="21">
        <v>65</v>
      </c>
      <c r="G706" s="1" t="s">
        <v>2929</v>
      </c>
      <c r="H706" s="1" t="s">
        <v>2930</v>
      </c>
      <c r="I706" s="1" t="s">
        <v>2931</v>
      </c>
      <c r="J706" s="1" t="s">
        <v>2932</v>
      </c>
      <c r="L706" s="1" t="s">
        <v>7</v>
      </c>
    </row>
    <row r="707" spans="1:12" ht="15.75" customHeight="1" x14ac:dyDescent="0.25">
      <c r="A707" s="1" t="s">
        <v>2590</v>
      </c>
      <c r="B707" s="21">
        <v>10</v>
      </c>
      <c r="C707" s="1" t="s">
        <v>2591</v>
      </c>
      <c r="D707" s="21">
        <v>33</v>
      </c>
      <c r="E707" s="1" t="s">
        <v>2933</v>
      </c>
      <c r="F707" s="21">
        <v>36</v>
      </c>
      <c r="G707" s="1" t="s">
        <v>2934</v>
      </c>
      <c r="H707" s="1" t="s">
        <v>2935</v>
      </c>
      <c r="I707" s="1" t="s">
        <v>2936</v>
      </c>
      <c r="J707" s="1" t="s">
        <v>2937</v>
      </c>
      <c r="L707" s="1" t="s">
        <v>7</v>
      </c>
    </row>
    <row r="708" spans="1:12" ht="15.75" customHeight="1" x14ac:dyDescent="0.25">
      <c r="A708" s="1" t="s">
        <v>2590</v>
      </c>
      <c r="B708" s="21">
        <v>10</v>
      </c>
      <c r="C708" s="1" t="s">
        <v>2591</v>
      </c>
      <c r="D708" s="21">
        <v>33</v>
      </c>
      <c r="E708" s="1" t="s">
        <v>2933</v>
      </c>
      <c r="F708" s="21">
        <v>37</v>
      </c>
      <c r="G708" s="1" t="s">
        <v>2938</v>
      </c>
      <c r="H708" s="1" t="s">
        <v>2939</v>
      </c>
      <c r="I708" s="1" t="s">
        <v>2940</v>
      </c>
      <c r="J708" s="1" t="s">
        <v>2941</v>
      </c>
      <c r="L708" s="1" t="s">
        <v>7</v>
      </c>
    </row>
    <row r="709" spans="1:12" ht="15.75" customHeight="1" x14ac:dyDescent="0.25">
      <c r="A709" s="1" t="s">
        <v>2590</v>
      </c>
      <c r="B709" s="21">
        <v>10</v>
      </c>
      <c r="C709" s="1" t="s">
        <v>2591</v>
      </c>
      <c r="D709" s="21">
        <v>33</v>
      </c>
      <c r="E709" s="1" t="s">
        <v>2933</v>
      </c>
      <c r="F709" s="21">
        <v>38</v>
      </c>
      <c r="G709" s="1" t="s">
        <v>2942</v>
      </c>
      <c r="H709" s="1" t="s">
        <v>2943</v>
      </c>
      <c r="I709" s="1" t="s">
        <v>2944</v>
      </c>
      <c r="J709" s="1" t="s">
        <v>2945</v>
      </c>
      <c r="L709" s="1" t="s">
        <v>7</v>
      </c>
    </row>
    <row r="710" spans="1:12" ht="15.75" customHeight="1" x14ac:dyDescent="0.25">
      <c r="A710" s="1" t="s">
        <v>2590</v>
      </c>
      <c r="B710" s="21">
        <v>10</v>
      </c>
      <c r="C710" s="1" t="s">
        <v>2591</v>
      </c>
      <c r="D710" s="21">
        <v>33</v>
      </c>
      <c r="E710" s="1" t="s">
        <v>2933</v>
      </c>
      <c r="F710" s="21">
        <v>39</v>
      </c>
      <c r="G710" s="1" t="s">
        <v>2946</v>
      </c>
      <c r="H710" s="1" t="s">
        <v>2947</v>
      </c>
      <c r="I710" s="1" t="s">
        <v>2948</v>
      </c>
      <c r="J710" s="1" t="s">
        <v>2949</v>
      </c>
      <c r="L710" s="1" t="s">
        <v>9</v>
      </c>
    </row>
    <row r="711" spans="1:12" ht="15.75" customHeight="1" x14ac:dyDescent="0.25">
      <c r="A711" s="1" t="s">
        <v>2590</v>
      </c>
      <c r="B711" s="21">
        <v>10</v>
      </c>
      <c r="C711" s="1" t="s">
        <v>2591</v>
      </c>
      <c r="D711" s="21">
        <v>33</v>
      </c>
      <c r="E711" s="1" t="s">
        <v>2933</v>
      </c>
      <c r="F711" s="21">
        <v>40</v>
      </c>
      <c r="G711" s="1" t="s">
        <v>2950</v>
      </c>
      <c r="H711" s="1" t="s">
        <v>2951</v>
      </c>
      <c r="I711" s="1" t="s">
        <v>2952</v>
      </c>
      <c r="J711" s="1" t="s">
        <v>2953</v>
      </c>
      <c r="L711" s="1" t="s">
        <v>8</v>
      </c>
    </row>
    <row r="712" spans="1:12" ht="15.75" customHeight="1" x14ac:dyDescent="0.25">
      <c r="A712" s="1" t="s">
        <v>2590</v>
      </c>
      <c r="B712" s="21">
        <v>10</v>
      </c>
      <c r="C712" s="1" t="s">
        <v>2591</v>
      </c>
      <c r="D712" s="21">
        <v>33</v>
      </c>
      <c r="E712" s="1" t="s">
        <v>2933</v>
      </c>
      <c r="F712" s="21">
        <v>41</v>
      </c>
      <c r="G712" s="1" t="s">
        <v>2954</v>
      </c>
      <c r="H712" s="1" t="s">
        <v>2955</v>
      </c>
      <c r="I712" s="1" t="s">
        <v>2956</v>
      </c>
      <c r="J712" s="1" t="s">
        <v>2957</v>
      </c>
      <c r="L712" s="1" t="s">
        <v>8</v>
      </c>
    </row>
    <row r="713" spans="1:12" ht="15.75" customHeight="1" x14ac:dyDescent="0.25">
      <c r="A713" s="1" t="s">
        <v>2590</v>
      </c>
      <c r="B713" s="21">
        <v>10</v>
      </c>
      <c r="C713" s="1" t="s">
        <v>2591</v>
      </c>
      <c r="D713" s="21">
        <v>33</v>
      </c>
      <c r="E713" s="1" t="s">
        <v>2933</v>
      </c>
      <c r="F713" s="21">
        <v>42</v>
      </c>
      <c r="G713" s="1" t="s">
        <v>2958</v>
      </c>
      <c r="H713" s="1" t="s">
        <v>2959</v>
      </c>
      <c r="I713" s="1" t="s">
        <v>2960</v>
      </c>
      <c r="J713" s="1" t="s">
        <v>2961</v>
      </c>
      <c r="L713" s="1" t="s">
        <v>7</v>
      </c>
    </row>
    <row r="714" spans="1:12" ht="15.75" customHeight="1" x14ac:dyDescent="0.25">
      <c r="A714" s="1" t="s">
        <v>2590</v>
      </c>
      <c r="B714" s="21">
        <v>10</v>
      </c>
      <c r="C714" s="1" t="s">
        <v>2591</v>
      </c>
      <c r="D714" s="21">
        <v>33</v>
      </c>
      <c r="E714" s="1" t="s">
        <v>2933</v>
      </c>
      <c r="F714" s="21">
        <v>43</v>
      </c>
      <c r="G714" s="1" t="s">
        <v>2962</v>
      </c>
      <c r="H714" s="1" t="s">
        <v>2963</v>
      </c>
      <c r="I714" s="1" t="s">
        <v>2964</v>
      </c>
      <c r="J714" s="1" t="s">
        <v>2965</v>
      </c>
      <c r="L714" s="1" t="s">
        <v>7</v>
      </c>
    </row>
    <row r="715" spans="1:12" ht="15.75" customHeight="1" x14ac:dyDescent="0.25">
      <c r="A715" s="1" t="s">
        <v>2590</v>
      </c>
      <c r="B715" s="21">
        <v>10</v>
      </c>
      <c r="C715" s="1" t="s">
        <v>2591</v>
      </c>
      <c r="D715" s="21">
        <v>33</v>
      </c>
      <c r="E715" s="1" t="s">
        <v>2933</v>
      </c>
      <c r="F715" s="21">
        <v>44</v>
      </c>
      <c r="G715" s="1" t="s">
        <v>2966</v>
      </c>
      <c r="H715" s="1" t="s">
        <v>2967</v>
      </c>
      <c r="I715" s="1" t="s">
        <v>2968</v>
      </c>
      <c r="J715" s="1" t="s">
        <v>2969</v>
      </c>
      <c r="L715" s="1" t="s">
        <v>8</v>
      </c>
    </row>
    <row r="716" spans="1:12" ht="15.75" customHeight="1" x14ac:dyDescent="0.25">
      <c r="A716" s="1" t="s">
        <v>2590</v>
      </c>
      <c r="B716" s="21">
        <v>10</v>
      </c>
      <c r="C716" s="1" t="s">
        <v>2591</v>
      </c>
      <c r="D716" s="21">
        <v>33</v>
      </c>
      <c r="E716" s="1" t="s">
        <v>2933</v>
      </c>
      <c r="F716" s="21">
        <v>45</v>
      </c>
      <c r="G716" s="1" t="s">
        <v>2970</v>
      </c>
      <c r="H716" s="1" t="s">
        <v>2971</v>
      </c>
      <c r="I716" s="1" t="s">
        <v>2972</v>
      </c>
      <c r="J716" s="1" t="s">
        <v>2973</v>
      </c>
      <c r="L716" s="1" t="s">
        <v>9</v>
      </c>
    </row>
    <row r="717" spans="1:12" ht="15.75" customHeight="1" x14ac:dyDescent="0.25">
      <c r="A717" s="1" t="s">
        <v>2590</v>
      </c>
      <c r="B717" s="21">
        <v>10</v>
      </c>
      <c r="C717" s="1" t="s">
        <v>2591</v>
      </c>
      <c r="D717" s="21">
        <v>33</v>
      </c>
      <c r="E717" s="1" t="s">
        <v>2933</v>
      </c>
      <c r="F717" s="21">
        <v>46</v>
      </c>
      <c r="G717" s="1" t="s">
        <v>2974</v>
      </c>
      <c r="H717" s="1" t="s">
        <v>2975</v>
      </c>
      <c r="I717" s="1" t="s">
        <v>2976</v>
      </c>
      <c r="J717" s="1" t="s">
        <v>2977</v>
      </c>
      <c r="L717" s="1" t="s">
        <v>7</v>
      </c>
    </row>
    <row r="718" spans="1:12" ht="15.75" customHeight="1" x14ac:dyDescent="0.25">
      <c r="A718" s="1" t="s">
        <v>2590</v>
      </c>
      <c r="B718" s="21">
        <v>10</v>
      </c>
      <c r="C718" s="1" t="s">
        <v>2591</v>
      </c>
      <c r="D718" s="21">
        <v>33</v>
      </c>
      <c r="E718" s="1" t="s">
        <v>2933</v>
      </c>
      <c r="F718" s="21">
        <v>47</v>
      </c>
      <c r="G718" s="1" t="s">
        <v>2978</v>
      </c>
      <c r="H718" s="1" t="s">
        <v>2979</v>
      </c>
      <c r="I718" s="1" t="s">
        <v>2980</v>
      </c>
      <c r="J718" s="1" t="s">
        <v>2981</v>
      </c>
      <c r="L718" s="1" t="s">
        <v>7</v>
      </c>
    </row>
    <row r="719" spans="1:12" ht="15.75" customHeight="1" x14ac:dyDescent="0.25">
      <c r="A719" s="1" t="s">
        <v>2590</v>
      </c>
      <c r="B719" s="21">
        <v>10</v>
      </c>
      <c r="C719" s="1" t="s">
        <v>2591</v>
      </c>
      <c r="D719" s="21">
        <v>33</v>
      </c>
      <c r="E719" s="1" t="s">
        <v>2933</v>
      </c>
      <c r="F719" s="21">
        <v>48</v>
      </c>
      <c r="G719" s="1" t="s">
        <v>2982</v>
      </c>
      <c r="H719" s="1" t="s">
        <v>2983</v>
      </c>
      <c r="I719" s="1" t="s">
        <v>2984</v>
      </c>
      <c r="J719" s="1" t="s">
        <v>2985</v>
      </c>
      <c r="L719" s="1" t="s">
        <v>8</v>
      </c>
    </row>
    <row r="720" spans="1:12" ht="15.75" customHeight="1" x14ac:dyDescent="0.25">
      <c r="A720" s="1" t="s">
        <v>2590</v>
      </c>
      <c r="B720" s="21">
        <v>10</v>
      </c>
      <c r="C720" s="1" t="s">
        <v>2591</v>
      </c>
      <c r="D720" s="21">
        <v>33</v>
      </c>
      <c r="E720" s="1" t="s">
        <v>2933</v>
      </c>
      <c r="F720" s="21">
        <v>49</v>
      </c>
      <c r="G720" s="1" t="s">
        <v>2986</v>
      </c>
      <c r="H720" s="1" t="s">
        <v>2987</v>
      </c>
      <c r="I720" s="1" t="s">
        <v>2988</v>
      </c>
      <c r="J720" s="1" t="s">
        <v>2989</v>
      </c>
      <c r="L720" s="1" t="s">
        <v>9</v>
      </c>
    </row>
    <row r="721" spans="1:12" ht="15.75" customHeight="1" x14ac:dyDescent="0.25">
      <c r="A721" s="1" t="s">
        <v>2590</v>
      </c>
      <c r="B721" s="21">
        <v>10</v>
      </c>
      <c r="C721" s="1" t="s">
        <v>2591</v>
      </c>
      <c r="D721" s="21">
        <v>33</v>
      </c>
      <c r="E721" s="1" t="s">
        <v>2933</v>
      </c>
      <c r="F721" s="21">
        <v>50</v>
      </c>
      <c r="G721" s="1" t="s">
        <v>2990</v>
      </c>
      <c r="H721" s="1" t="s">
        <v>2991</v>
      </c>
      <c r="I721" s="1" t="s">
        <v>2992</v>
      </c>
      <c r="J721" s="1" t="s">
        <v>2993</v>
      </c>
      <c r="L721" s="1" t="s">
        <v>9</v>
      </c>
    </row>
    <row r="722" spans="1:12" ht="15.75" customHeight="1" x14ac:dyDescent="0.25">
      <c r="A722" s="1" t="s">
        <v>2590</v>
      </c>
      <c r="B722" s="21">
        <v>10</v>
      </c>
      <c r="C722" s="1" t="s">
        <v>2591</v>
      </c>
      <c r="D722" s="21">
        <v>33</v>
      </c>
      <c r="E722" s="1" t="s">
        <v>2933</v>
      </c>
      <c r="F722" s="21">
        <v>51</v>
      </c>
      <c r="G722" s="1" t="s">
        <v>2994</v>
      </c>
      <c r="H722" s="1" t="s">
        <v>2995</v>
      </c>
      <c r="I722" s="1" t="s">
        <v>2996</v>
      </c>
      <c r="J722" s="1" t="s">
        <v>2997</v>
      </c>
      <c r="L722" s="1" t="s">
        <v>7</v>
      </c>
    </row>
    <row r="723" spans="1:12" ht="15.75" customHeight="1" x14ac:dyDescent="0.25">
      <c r="A723" s="1" t="s">
        <v>2590</v>
      </c>
      <c r="B723" s="21">
        <v>10</v>
      </c>
      <c r="C723" s="1" t="s">
        <v>2591</v>
      </c>
      <c r="D723" s="21">
        <v>33</v>
      </c>
      <c r="E723" s="1" t="s">
        <v>2933</v>
      </c>
      <c r="F723" s="21">
        <v>52</v>
      </c>
      <c r="G723" s="1" t="s">
        <v>2998</v>
      </c>
      <c r="H723" s="1" t="s">
        <v>2999</v>
      </c>
      <c r="I723" s="1" t="s">
        <v>3000</v>
      </c>
      <c r="J723" s="1" t="s">
        <v>3001</v>
      </c>
      <c r="L723" s="1" t="s">
        <v>8</v>
      </c>
    </row>
    <row r="724" spans="1:12" ht="15.75" customHeight="1" x14ac:dyDescent="0.25">
      <c r="A724" s="1" t="s">
        <v>2590</v>
      </c>
      <c r="B724" s="21">
        <v>10</v>
      </c>
      <c r="C724" s="1" t="s">
        <v>2591</v>
      </c>
      <c r="D724" s="21">
        <v>33</v>
      </c>
      <c r="E724" s="1" t="s">
        <v>2933</v>
      </c>
      <c r="F724" s="21">
        <v>53</v>
      </c>
      <c r="G724" s="1" t="s">
        <v>3002</v>
      </c>
      <c r="H724" s="1" t="s">
        <v>3003</v>
      </c>
      <c r="I724" s="1" t="s">
        <v>3004</v>
      </c>
      <c r="J724" s="1" t="s">
        <v>3005</v>
      </c>
      <c r="L724" s="1" t="s">
        <v>7</v>
      </c>
    </row>
    <row r="725" spans="1:12" ht="15.75" customHeight="1" x14ac:dyDescent="0.25">
      <c r="A725" s="1" t="s">
        <v>2590</v>
      </c>
      <c r="B725" s="21">
        <v>10</v>
      </c>
      <c r="C725" s="1" t="s">
        <v>2591</v>
      </c>
      <c r="D725" s="21">
        <v>33</v>
      </c>
      <c r="E725" s="1" t="s">
        <v>2933</v>
      </c>
      <c r="F725" s="21">
        <v>54</v>
      </c>
      <c r="G725" s="1" t="s">
        <v>3006</v>
      </c>
      <c r="H725" s="1" t="s">
        <v>3007</v>
      </c>
      <c r="I725" s="1" t="s">
        <v>3008</v>
      </c>
      <c r="J725" s="1" t="s">
        <v>3009</v>
      </c>
      <c r="L725" s="1" t="s">
        <v>7</v>
      </c>
    </row>
    <row r="726" spans="1:12" ht="15.75" customHeight="1" x14ac:dyDescent="0.25">
      <c r="A726" s="1" t="s">
        <v>2590</v>
      </c>
      <c r="B726" s="21">
        <v>10</v>
      </c>
      <c r="C726" s="1" t="s">
        <v>2591</v>
      </c>
      <c r="D726" s="21">
        <v>33</v>
      </c>
      <c r="E726" s="1" t="s">
        <v>2933</v>
      </c>
      <c r="F726" s="21">
        <v>55</v>
      </c>
      <c r="G726" s="1" t="s">
        <v>3010</v>
      </c>
      <c r="H726" s="1" t="s">
        <v>3011</v>
      </c>
      <c r="I726" s="1" t="s">
        <v>3012</v>
      </c>
      <c r="J726" s="1" t="s">
        <v>3013</v>
      </c>
      <c r="L726" s="1" t="s">
        <v>7</v>
      </c>
    </row>
    <row r="727" spans="1:12" ht="15.75" customHeight="1" x14ac:dyDescent="0.25">
      <c r="A727" s="1" t="s">
        <v>2590</v>
      </c>
      <c r="B727" s="21">
        <v>10</v>
      </c>
      <c r="C727" s="1" t="s">
        <v>2591</v>
      </c>
      <c r="D727" s="21">
        <v>57</v>
      </c>
      <c r="E727" s="1" t="s">
        <v>3014</v>
      </c>
      <c r="F727" s="23">
        <v>1</v>
      </c>
      <c r="G727" s="2" t="s">
        <v>3015</v>
      </c>
      <c r="H727" s="2" t="s">
        <v>3016</v>
      </c>
      <c r="I727" s="2" t="s">
        <v>3017</v>
      </c>
      <c r="J727" s="2" t="s">
        <v>3018</v>
      </c>
      <c r="K727" s="2"/>
      <c r="L727" s="1" t="s">
        <v>9</v>
      </c>
    </row>
    <row r="728" spans="1:12" ht="15.75" customHeight="1" x14ac:dyDescent="0.25">
      <c r="A728" s="1" t="s">
        <v>2590</v>
      </c>
      <c r="B728" s="21">
        <v>10</v>
      </c>
      <c r="C728" s="1" t="s">
        <v>2591</v>
      </c>
      <c r="D728" s="21">
        <v>57</v>
      </c>
      <c r="E728" s="1" t="s">
        <v>3014</v>
      </c>
      <c r="F728" s="23">
        <v>2</v>
      </c>
      <c r="G728" s="2" t="s">
        <v>3019</v>
      </c>
      <c r="H728" s="2" t="s">
        <v>3020</v>
      </c>
      <c r="I728" s="2" t="s">
        <v>3021</v>
      </c>
      <c r="J728" s="2" t="s">
        <v>3022</v>
      </c>
      <c r="K728" s="2"/>
      <c r="L728" s="1" t="s">
        <v>8</v>
      </c>
    </row>
    <row r="729" spans="1:12" ht="15.75" customHeight="1" x14ac:dyDescent="0.25">
      <c r="A729" s="1" t="s">
        <v>2590</v>
      </c>
      <c r="B729" s="21">
        <v>10</v>
      </c>
      <c r="C729" s="1" t="s">
        <v>2591</v>
      </c>
      <c r="D729" s="21">
        <v>57</v>
      </c>
      <c r="E729" s="1" t="s">
        <v>3014</v>
      </c>
      <c r="F729" s="23">
        <v>3</v>
      </c>
      <c r="G729" s="2" t="s">
        <v>3023</v>
      </c>
      <c r="H729" s="2" t="s">
        <v>3024</v>
      </c>
      <c r="I729" s="2" t="s">
        <v>3025</v>
      </c>
      <c r="J729" s="2" t="s">
        <v>3026</v>
      </c>
      <c r="K729" s="2"/>
      <c r="L729" s="1" t="s">
        <v>7</v>
      </c>
    </row>
    <row r="730" spans="1:12" ht="15.75" customHeight="1" x14ac:dyDescent="0.25">
      <c r="A730" s="1" t="s">
        <v>2590</v>
      </c>
      <c r="B730" s="21">
        <v>10</v>
      </c>
      <c r="C730" s="1" t="s">
        <v>2591</v>
      </c>
      <c r="D730" s="21">
        <v>57</v>
      </c>
      <c r="E730" s="1" t="s">
        <v>3014</v>
      </c>
      <c r="F730" s="23">
        <v>5</v>
      </c>
      <c r="G730" s="2" t="s">
        <v>3027</v>
      </c>
      <c r="H730" s="2" t="s">
        <v>3028</v>
      </c>
      <c r="I730" s="2" t="s">
        <v>3029</v>
      </c>
      <c r="J730" s="2" t="s">
        <v>3030</v>
      </c>
      <c r="K730" s="2"/>
      <c r="L730" s="1" t="s">
        <v>7</v>
      </c>
    </row>
    <row r="731" spans="1:12" ht="15.75" customHeight="1" x14ac:dyDescent="0.25">
      <c r="A731" s="1" t="s">
        <v>2590</v>
      </c>
      <c r="B731" s="21">
        <v>10</v>
      </c>
      <c r="C731" s="1" t="s">
        <v>2591</v>
      </c>
      <c r="D731" s="21">
        <v>57</v>
      </c>
      <c r="E731" s="1" t="s">
        <v>3014</v>
      </c>
      <c r="F731" s="23">
        <v>6</v>
      </c>
      <c r="G731" s="2" t="s">
        <v>3031</v>
      </c>
      <c r="H731" s="2" t="s">
        <v>3032</v>
      </c>
      <c r="I731" s="2" t="s">
        <v>3033</v>
      </c>
      <c r="J731" s="2" t="s">
        <v>3034</v>
      </c>
      <c r="K731" s="2"/>
      <c r="L731" s="1" t="s">
        <v>7</v>
      </c>
    </row>
    <row r="732" spans="1:12" ht="15.75" customHeight="1" x14ac:dyDescent="0.25">
      <c r="A732" s="1" t="s">
        <v>2590</v>
      </c>
      <c r="B732" s="21">
        <v>10</v>
      </c>
      <c r="C732" s="1" t="s">
        <v>2591</v>
      </c>
      <c r="D732" s="21">
        <v>57</v>
      </c>
      <c r="E732" s="1" t="s">
        <v>3014</v>
      </c>
      <c r="F732" s="23">
        <v>7</v>
      </c>
      <c r="G732" s="2" t="s">
        <v>3035</v>
      </c>
      <c r="H732" s="2" t="s">
        <v>3036</v>
      </c>
      <c r="I732" s="2" t="s">
        <v>3037</v>
      </c>
      <c r="J732" s="2" t="s">
        <v>3038</v>
      </c>
      <c r="K732" s="2"/>
      <c r="L732" s="1" t="s">
        <v>8</v>
      </c>
    </row>
    <row r="733" spans="1:12" ht="15.75" customHeight="1" x14ac:dyDescent="0.25">
      <c r="A733" s="1" t="s">
        <v>2590</v>
      </c>
      <c r="B733" s="21">
        <v>10</v>
      </c>
      <c r="C733" s="1" t="s">
        <v>2591</v>
      </c>
      <c r="D733" s="21">
        <v>57</v>
      </c>
      <c r="E733" s="1" t="s">
        <v>3014</v>
      </c>
      <c r="F733" s="23">
        <v>8</v>
      </c>
      <c r="G733" s="2" t="s">
        <v>3039</v>
      </c>
      <c r="H733" s="2" t="s">
        <v>3040</v>
      </c>
      <c r="I733" s="2" t="s">
        <v>3041</v>
      </c>
      <c r="J733" s="2" t="s">
        <v>3042</v>
      </c>
      <c r="K733" s="2"/>
      <c r="L733" s="1" t="s">
        <v>9</v>
      </c>
    </row>
    <row r="734" spans="1:12" ht="15.75" customHeight="1" x14ac:dyDescent="0.25">
      <c r="A734" s="1" t="s">
        <v>2590</v>
      </c>
      <c r="B734" s="21">
        <v>10</v>
      </c>
      <c r="C734" s="1" t="s">
        <v>2591</v>
      </c>
      <c r="D734" s="21">
        <v>57</v>
      </c>
      <c r="E734" s="1" t="s">
        <v>3014</v>
      </c>
      <c r="F734" s="23">
        <v>9</v>
      </c>
      <c r="G734" s="2" t="s">
        <v>3043</v>
      </c>
      <c r="H734" s="2" t="s">
        <v>3044</v>
      </c>
      <c r="I734" s="2" t="s">
        <v>3045</v>
      </c>
      <c r="J734" s="2" t="s">
        <v>3046</v>
      </c>
      <c r="K734" s="2"/>
      <c r="L734" s="1" t="s">
        <v>9</v>
      </c>
    </row>
    <row r="735" spans="1:12" ht="15.75" customHeight="1" x14ac:dyDescent="0.25">
      <c r="A735" s="1" t="s">
        <v>2590</v>
      </c>
      <c r="B735" s="21">
        <v>10</v>
      </c>
      <c r="C735" s="1" t="s">
        <v>2591</v>
      </c>
      <c r="D735" s="21">
        <v>57</v>
      </c>
      <c r="E735" s="1" t="s">
        <v>3014</v>
      </c>
      <c r="F735" s="23">
        <v>10</v>
      </c>
      <c r="G735" s="2" t="s">
        <v>3047</v>
      </c>
      <c r="H735" s="2" t="s">
        <v>3048</v>
      </c>
      <c r="I735" s="2" t="s">
        <v>3049</v>
      </c>
      <c r="J735" s="2" t="s">
        <v>3050</v>
      </c>
      <c r="K735" s="2"/>
      <c r="L735" s="1" t="s">
        <v>9</v>
      </c>
    </row>
    <row r="736" spans="1:12" ht="15.75" customHeight="1" x14ac:dyDescent="0.25">
      <c r="A736" s="1" t="s">
        <v>2590</v>
      </c>
      <c r="B736" s="21">
        <v>10</v>
      </c>
      <c r="C736" s="1" t="s">
        <v>2591</v>
      </c>
      <c r="D736" s="21">
        <v>57</v>
      </c>
      <c r="E736" s="1" t="s">
        <v>3014</v>
      </c>
      <c r="F736" s="23">
        <v>11</v>
      </c>
      <c r="G736" s="2" t="s">
        <v>3051</v>
      </c>
      <c r="H736" s="2" t="s">
        <v>3052</v>
      </c>
      <c r="I736" s="2" t="s">
        <v>3053</v>
      </c>
      <c r="J736" s="2" t="s">
        <v>3054</v>
      </c>
      <c r="K736" s="2"/>
      <c r="L736" s="1" t="s">
        <v>8</v>
      </c>
    </row>
    <row r="737" spans="1:12" ht="15.75" customHeight="1" x14ac:dyDescent="0.25">
      <c r="A737" s="1" t="s">
        <v>2590</v>
      </c>
      <c r="B737" s="21">
        <v>10</v>
      </c>
      <c r="C737" s="1" t="s">
        <v>2591</v>
      </c>
      <c r="D737" s="21">
        <v>57</v>
      </c>
      <c r="E737" s="1" t="s">
        <v>3014</v>
      </c>
      <c r="F737" s="23">
        <v>12</v>
      </c>
      <c r="G737" s="2" t="s">
        <v>3055</v>
      </c>
      <c r="H737" s="2" t="s">
        <v>3056</v>
      </c>
      <c r="I737" s="2" t="s">
        <v>3057</v>
      </c>
      <c r="J737" s="2" t="s">
        <v>3058</v>
      </c>
      <c r="K737" s="2"/>
      <c r="L737" s="1" t="s">
        <v>8</v>
      </c>
    </row>
    <row r="738" spans="1:12" ht="15.75" customHeight="1" x14ac:dyDescent="0.25">
      <c r="A738" s="1" t="s">
        <v>2590</v>
      </c>
      <c r="B738" s="21">
        <v>10</v>
      </c>
      <c r="C738" s="1" t="s">
        <v>2591</v>
      </c>
      <c r="D738" s="21">
        <v>57</v>
      </c>
      <c r="E738" s="1" t="s">
        <v>3014</v>
      </c>
      <c r="F738" s="23">
        <v>13</v>
      </c>
      <c r="G738" s="2" t="s">
        <v>3059</v>
      </c>
      <c r="H738" s="2" t="s">
        <v>3060</v>
      </c>
      <c r="I738" s="2" t="s">
        <v>3061</v>
      </c>
      <c r="J738" s="2" t="s">
        <v>3062</v>
      </c>
      <c r="K738" s="2"/>
      <c r="L738" s="1" t="s">
        <v>9</v>
      </c>
    </row>
    <row r="739" spans="1:12" ht="15.75" customHeight="1" x14ac:dyDescent="0.25">
      <c r="A739" s="1" t="s">
        <v>2590</v>
      </c>
      <c r="B739" s="21">
        <v>10</v>
      </c>
      <c r="C739" s="1" t="s">
        <v>2591</v>
      </c>
      <c r="D739" s="21">
        <v>57</v>
      </c>
      <c r="E739" s="1" t="s">
        <v>3014</v>
      </c>
      <c r="F739" s="23">
        <v>14</v>
      </c>
      <c r="G739" s="2" t="s">
        <v>3063</v>
      </c>
      <c r="H739" s="2" t="s">
        <v>3064</v>
      </c>
      <c r="I739" s="2" t="s">
        <v>3065</v>
      </c>
      <c r="J739" s="2" t="s">
        <v>3066</v>
      </c>
      <c r="K739" s="2"/>
      <c r="L739" s="1" t="s">
        <v>9</v>
      </c>
    </row>
    <row r="740" spans="1:12" ht="15.75" customHeight="1" x14ac:dyDescent="0.25">
      <c r="A740" s="1" t="s">
        <v>2590</v>
      </c>
      <c r="B740" s="21">
        <v>10</v>
      </c>
      <c r="C740" s="1" t="s">
        <v>2591</v>
      </c>
      <c r="D740" s="21">
        <v>57</v>
      </c>
      <c r="E740" s="1" t="s">
        <v>3014</v>
      </c>
      <c r="F740" s="23">
        <v>15</v>
      </c>
      <c r="G740" s="2" t="s">
        <v>3067</v>
      </c>
      <c r="H740" s="2" t="s">
        <v>3068</v>
      </c>
      <c r="I740" s="2" t="s">
        <v>3069</v>
      </c>
      <c r="J740" s="2" t="s">
        <v>3070</v>
      </c>
      <c r="K740" s="2"/>
      <c r="L740" s="1" t="s">
        <v>7</v>
      </c>
    </row>
    <row r="741" spans="1:12" ht="15.75" customHeight="1" x14ac:dyDescent="0.25">
      <c r="A741" s="1" t="s">
        <v>2590</v>
      </c>
      <c r="B741" s="21">
        <v>10</v>
      </c>
      <c r="C741" s="1" t="s">
        <v>2591</v>
      </c>
      <c r="D741" s="21">
        <v>57</v>
      </c>
      <c r="E741" s="1" t="s">
        <v>3014</v>
      </c>
      <c r="F741" s="23">
        <v>16</v>
      </c>
      <c r="G741" s="2" t="s">
        <v>3071</v>
      </c>
      <c r="H741" s="2" t="s">
        <v>3072</v>
      </c>
      <c r="I741" s="2" t="s">
        <v>3073</v>
      </c>
      <c r="J741" s="2" t="s">
        <v>3074</v>
      </c>
      <c r="K741" s="2"/>
      <c r="L741" s="1" t="s">
        <v>7</v>
      </c>
    </row>
    <row r="742" spans="1:12" ht="15.75" customHeight="1" x14ac:dyDescent="0.25">
      <c r="A742" s="1" t="s">
        <v>2590</v>
      </c>
      <c r="B742" s="21">
        <v>10</v>
      </c>
      <c r="C742" s="1" t="s">
        <v>2591</v>
      </c>
      <c r="D742" s="21">
        <v>57</v>
      </c>
      <c r="E742" s="1" t="s">
        <v>3014</v>
      </c>
      <c r="F742" s="23">
        <v>17</v>
      </c>
      <c r="G742" s="2" t="s">
        <v>3075</v>
      </c>
      <c r="H742" s="2" t="s">
        <v>3076</v>
      </c>
      <c r="I742" s="2" t="s">
        <v>3077</v>
      </c>
      <c r="J742" s="2" t="s">
        <v>3078</v>
      </c>
      <c r="K742" s="2"/>
      <c r="L742" s="1" t="s">
        <v>8</v>
      </c>
    </row>
    <row r="743" spans="1:12" ht="15.75" customHeight="1" x14ac:dyDescent="0.25">
      <c r="A743" s="1" t="s">
        <v>2590</v>
      </c>
      <c r="B743" s="21">
        <v>10</v>
      </c>
      <c r="C743" s="1" t="s">
        <v>2591</v>
      </c>
      <c r="D743" s="21">
        <v>57</v>
      </c>
      <c r="E743" s="1" t="s">
        <v>3014</v>
      </c>
      <c r="F743" s="23">
        <v>18</v>
      </c>
      <c r="G743" s="2" t="s">
        <v>3079</v>
      </c>
      <c r="H743" s="2" t="s">
        <v>3080</v>
      </c>
      <c r="I743" s="2" t="s">
        <v>3081</v>
      </c>
      <c r="J743" s="2" t="s">
        <v>3082</v>
      </c>
      <c r="K743" s="2"/>
      <c r="L743" s="1" t="s">
        <v>7</v>
      </c>
    </row>
    <row r="744" spans="1:12" ht="15.75" customHeight="1" x14ac:dyDescent="0.25">
      <c r="A744" s="1" t="s">
        <v>2590</v>
      </c>
      <c r="B744" s="21">
        <v>10</v>
      </c>
      <c r="C744" s="1" t="s">
        <v>2591</v>
      </c>
      <c r="D744" s="21">
        <v>57</v>
      </c>
      <c r="E744" s="1" t="s">
        <v>3014</v>
      </c>
      <c r="F744" s="23">
        <v>19</v>
      </c>
      <c r="G744" s="2" t="s">
        <v>3083</v>
      </c>
      <c r="H744" s="2" t="s">
        <v>3084</v>
      </c>
      <c r="I744" s="2" t="s">
        <v>3085</v>
      </c>
      <c r="J744" s="2" t="s">
        <v>3086</v>
      </c>
      <c r="K744" s="2"/>
      <c r="L744" s="1" t="s">
        <v>8</v>
      </c>
    </row>
    <row r="745" spans="1:12" ht="15.75" customHeight="1" x14ac:dyDescent="0.25">
      <c r="A745" s="1" t="s">
        <v>2590</v>
      </c>
      <c r="B745" s="21">
        <v>10</v>
      </c>
      <c r="C745" s="1" t="s">
        <v>2591</v>
      </c>
      <c r="D745" s="21">
        <v>57</v>
      </c>
      <c r="E745" s="1" t="s">
        <v>3014</v>
      </c>
      <c r="F745" s="23">
        <v>20</v>
      </c>
      <c r="G745" s="2" t="s">
        <v>3087</v>
      </c>
      <c r="H745" s="2" t="s">
        <v>3088</v>
      </c>
      <c r="I745" s="2" t="s">
        <v>3089</v>
      </c>
      <c r="J745" s="2" t="s">
        <v>3090</v>
      </c>
      <c r="K745" s="2"/>
      <c r="L745" s="1" t="s">
        <v>9</v>
      </c>
    </row>
    <row r="746" spans="1:12" ht="15.75" customHeight="1" x14ac:dyDescent="0.25">
      <c r="A746" s="1" t="s">
        <v>2590</v>
      </c>
      <c r="B746" s="21">
        <v>10</v>
      </c>
      <c r="C746" s="1" t="s">
        <v>2591</v>
      </c>
      <c r="D746" s="21">
        <v>57</v>
      </c>
      <c r="E746" s="1" t="s">
        <v>3014</v>
      </c>
      <c r="F746" s="23">
        <v>21</v>
      </c>
      <c r="G746" s="2" t="s">
        <v>3091</v>
      </c>
      <c r="H746" s="4" t="s">
        <v>6148</v>
      </c>
      <c r="I746" s="4" t="s">
        <v>6149</v>
      </c>
      <c r="J746" s="4" t="s">
        <v>6150</v>
      </c>
      <c r="K746" s="2"/>
      <c r="L746" s="1" t="s">
        <v>7</v>
      </c>
    </row>
    <row r="747" spans="1:12" ht="15.75" customHeight="1" x14ac:dyDescent="0.25">
      <c r="A747" s="1" t="s">
        <v>2590</v>
      </c>
      <c r="B747" s="21">
        <v>10</v>
      </c>
      <c r="C747" s="1" t="s">
        <v>2591</v>
      </c>
      <c r="D747" s="21">
        <v>57</v>
      </c>
      <c r="E747" s="1" t="s">
        <v>3014</v>
      </c>
      <c r="F747" s="23">
        <v>22</v>
      </c>
      <c r="G747" s="2" t="s">
        <v>3092</v>
      </c>
      <c r="H747" s="2" t="s">
        <v>3093</v>
      </c>
      <c r="I747" s="2" t="s">
        <v>3094</v>
      </c>
      <c r="J747" s="2" t="s">
        <v>3095</v>
      </c>
      <c r="K747" s="2"/>
      <c r="L747" s="1" t="s">
        <v>9</v>
      </c>
    </row>
    <row r="748" spans="1:12" ht="15.75" customHeight="1" x14ac:dyDescent="0.25">
      <c r="A748" s="1" t="s">
        <v>2590</v>
      </c>
      <c r="B748" s="21">
        <v>10</v>
      </c>
      <c r="C748" s="1" t="s">
        <v>2591</v>
      </c>
      <c r="D748" s="21">
        <v>57</v>
      </c>
      <c r="E748" s="1" t="s">
        <v>3014</v>
      </c>
      <c r="F748" s="23">
        <v>23</v>
      </c>
      <c r="G748" s="2" t="s">
        <v>3096</v>
      </c>
      <c r="H748" s="2" t="s">
        <v>3097</v>
      </c>
      <c r="I748" s="2" t="s">
        <v>2945</v>
      </c>
      <c r="J748" s="2" t="s">
        <v>3098</v>
      </c>
      <c r="K748" s="2"/>
      <c r="L748" s="1" t="s">
        <v>8</v>
      </c>
    </row>
    <row r="749" spans="1:12" ht="15.75" customHeight="1" x14ac:dyDescent="0.25">
      <c r="A749" s="1" t="s">
        <v>2590</v>
      </c>
      <c r="B749" s="21">
        <v>10</v>
      </c>
      <c r="C749" s="1" t="s">
        <v>2591</v>
      </c>
      <c r="D749" s="21">
        <v>57</v>
      </c>
      <c r="E749" s="1" t="s">
        <v>3014</v>
      </c>
      <c r="F749" s="23">
        <v>24</v>
      </c>
      <c r="G749" s="2" t="s">
        <v>3099</v>
      </c>
      <c r="H749" s="2" t="s">
        <v>3100</v>
      </c>
      <c r="I749" s="2" t="s">
        <v>3101</v>
      </c>
      <c r="J749" s="2" t="s">
        <v>3102</v>
      </c>
      <c r="K749" s="2"/>
      <c r="L749" s="1" t="s">
        <v>7</v>
      </c>
    </row>
    <row r="750" spans="1:12" ht="15.75" customHeight="1" x14ac:dyDescent="0.25">
      <c r="A750" s="1" t="s">
        <v>2590</v>
      </c>
      <c r="B750" s="21">
        <v>10</v>
      </c>
      <c r="C750" s="1" t="s">
        <v>2591</v>
      </c>
      <c r="D750" s="21">
        <v>57</v>
      </c>
      <c r="E750" s="1" t="s">
        <v>3014</v>
      </c>
      <c r="F750" s="23">
        <v>25</v>
      </c>
      <c r="G750" s="2" t="s">
        <v>3103</v>
      </c>
      <c r="H750" s="2" t="s">
        <v>3104</v>
      </c>
      <c r="I750" s="2" t="s">
        <v>3105</v>
      </c>
      <c r="J750" s="2" t="s">
        <v>3106</v>
      </c>
      <c r="K750" s="2"/>
      <c r="L750" s="1" t="s">
        <v>8</v>
      </c>
    </row>
    <row r="751" spans="1:12" ht="15.75" customHeight="1" x14ac:dyDescent="0.25">
      <c r="A751" s="1" t="s">
        <v>2590</v>
      </c>
      <c r="B751" s="21">
        <v>10</v>
      </c>
      <c r="C751" s="1" t="s">
        <v>2591</v>
      </c>
      <c r="D751" s="21">
        <v>57</v>
      </c>
      <c r="E751" s="1" t="s">
        <v>3014</v>
      </c>
      <c r="F751" s="23">
        <v>26</v>
      </c>
      <c r="G751" s="2" t="s">
        <v>3107</v>
      </c>
      <c r="H751" s="2" t="s">
        <v>3108</v>
      </c>
      <c r="I751" s="2" t="s">
        <v>3109</v>
      </c>
      <c r="J751" s="2" t="s">
        <v>3110</v>
      </c>
      <c r="K751" s="2"/>
      <c r="L751" s="1" t="s">
        <v>8</v>
      </c>
    </row>
    <row r="752" spans="1:12" ht="15.75" customHeight="1" x14ac:dyDescent="0.25">
      <c r="A752" s="1" t="s">
        <v>2590</v>
      </c>
      <c r="B752" s="21">
        <v>10</v>
      </c>
      <c r="C752" s="1" t="s">
        <v>2591</v>
      </c>
      <c r="D752" s="21">
        <v>57</v>
      </c>
      <c r="E752" s="1" t="s">
        <v>3014</v>
      </c>
      <c r="F752" s="23">
        <v>27</v>
      </c>
      <c r="G752" s="2" t="s">
        <v>3111</v>
      </c>
      <c r="H752" s="2" t="s">
        <v>3112</v>
      </c>
      <c r="I752" s="2" t="s">
        <v>3113</v>
      </c>
      <c r="J752" s="2" t="s">
        <v>3114</v>
      </c>
      <c r="K752" s="2"/>
      <c r="L752" s="1" t="s">
        <v>7</v>
      </c>
    </row>
    <row r="753" spans="1:12" ht="15.75" customHeight="1" x14ac:dyDescent="0.25">
      <c r="A753" s="1" t="s">
        <v>2590</v>
      </c>
      <c r="B753" s="21">
        <v>10</v>
      </c>
      <c r="C753" s="1" t="s">
        <v>2591</v>
      </c>
      <c r="D753" s="21">
        <v>57</v>
      </c>
      <c r="E753" s="1" t="s">
        <v>3014</v>
      </c>
      <c r="F753" s="23">
        <v>28</v>
      </c>
      <c r="G753" s="2" t="s">
        <v>3103</v>
      </c>
      <c r="H753" s="2" t="s">
        <v>3115</v>
      </c>
      <c r="I753" s="2" t="s">
        <v>3116</v>
      </c>
      <c r="J753" s="2" t="s">
        <v>3117</v>
      </c>
      <c r="K753" s="2"/>
      <c r="L753" s="1" t="s">
        <v>9</v>
      </c>
    </row>
    <row r="754" spans="1:12" ht="15.75" customHeight="1" x14ac:dyDescent="0.25">
      <c r="A754" s="1" t="s">
        <v>2590</v>
      </c>
      <c r="B754" s="21">
        <v>10</v>
      </c>
      <c r="C754" s="1" t="s">
        <v>2591</v>
      </c>
      <c r="D754" s="21">
        <v>57</v>
      </c>
      <c r="E754" s="1" t="s">
        <v>3014</v>
      </c>
      <c r="F754" s="23">
        <v>29</v>
      </c>
      <c r="G754" s="2" t="s">
        <v>3118</v>
      </c>
      <c r="H754" s="2" t="s">
        <v>3119</v>
      </c>
      <c r="I754" s="2" t="s">
        <v>3120</v>
      </c>
      <c r="J754" s="2" t="s">
        <v>3121</v>
      </c>
      <c r="K754" s="2"/>
      <c r="L754" s="1" t="s">
        <v>8</v>
      </c>
    </row>
    <row r="755" spans="1:12" ht="15.75" customHeight="1" x14ac:dyDescent="0.25">
      <c r="A755" s="1" t="s">
        <v>2590</v>
      </c>
      <c r="B755" s="21">
        <v>10</v>
      </c>
      <c r="C755" s="1" t="s">
        <v>2591</v>
      </c>
      <c r="D755" s="21">
        <v>57</v>
      </c>
      <c r="E755" s="1" t="s">
        <v>3014</v>
      </c>
      <c r="F755" s="23">
        <v>30</v>
      </c>
      <c r="G755" s="2" t="s">
        <v>3122</v>
      </c>
      <c r="H755" s="2" t="s">
        <v>3123</v>
      </c>
      <c r="I755" s="2" t="s">
        <v>3124</v>
      </c>
      <c r="J755" s="2" t="s">
        <v>3125</v>
      </c>
      <c r="K755" s="2"/>
      <c r="L755" s="1" t="s">
        <v>9</v>
      </c>
    </row>
    <row r="756" spans="1:12" ht="15.75" customHeight="1" x14ac:dyDescent="0.25">
      <c r="A756" s="1" t="s">
        <v>2590</v>
      </c>
      <c r="B756" s="21">
        <v>10</v>
      </c>
      <c r="C756" s="1" t="s">
        <v>2591</v>
      </c>
      <c r="D756" s="21">
        <v>57</v>
      </c>
      <c r="E756" s="1" t="s">
        <v>3014</v>
      </c>
      <c r="F756" s="23">
        <v>31</v>
      </c>
      <c r="G756" s="2" t="s">
        <v>3126</v>
      </c>
      <c r="H756" s="2" t="s">
        <v>3127</v>
      </c>
      <c r="I756" s="2" t="s">
        <v>3128</v>
      </c>
      <c r="J756" s="2" t="s">
        <v>3129</v>
      </c>
      <c r="K756" s="2"/>
      <c r="L756" s="1" t="s">
        <v>9</v>
      </c>
    </row>
    <row r="757" spans="1:12" ht="15.75" customHeight="1" x14ac:dyDescent="0.25">
      <c r="A757" s="1" t="s">
        <v>2590</v>
      </c>
      <c r="B757" s="21">
        <v>10</v>
      </c>
      <c r="C757" s="1" t="s">
        <v>2591</v>
      </c>
      <c r="D757" s="21">
        <v>57</v>
      </c>
      <c r="E757" s="1" t="s">
        <v>3014</v>
      </c>
      <c r="F757" s="23">
        <v>32</v>
      </c>
      <c r="G757" s="2" t="s">
        <v>3130</v>
      </c>
      <c r="H757" s="2" t="s">
        <v>3131</v>
      </c>
      <c r="I757" s="2" t="s">
        <v>3132</v>
      </c>
      <c r="J757" s="2" t="s">
        <v>3133</v>
      </c>
      <c r="K757" s="2"/>
      <c r="L757" s="1" t="s">
        <v>7</v>
      </c>
    </row>
    <row r="758" spans="1:12" ht="15.75" customHeight="1" x14ac:dyDescent="0.25">
      <c r="A758" s="1" t="s">
        <v>2590</v>
      </c>
      <c r="B758" s="21">
        <v>10</v>
      </c>
      <c r="C758" s="1" t="s">
        <v>2591</v>
      </c>
      <c r="D758" s="21">
        <v>57</v>
      </c>
      <c r="E758" s="1" t="s">
        <v>3014</v>
      </c>
      <c r="F758" s="23">
        <v>33</v>
      </c>
      <c r="G758" s="2" t="s">
        <v>3134</v>
      </c>
      <c r="H758" s="2" t="s">
        <v>3135</v>
      </c>
      <c r="I758" s="2" t="s">
        <v>3136</v>
      </c>
      <c r="J758" s="2" t="s">
        <v>3066</v>
      </c>
      <c r="K758" s="2"/>
      <c r="L758" s="1" t="s">
        <v>9</v>
      </c>
    </row>
    <row r="759" spans="1:12" ht="15.75" customHeight="1" x14ac:dyDescent="0.25">
      <c r="A759" s="1" t="s">
        <v>2590</v>
      </c>
      <c r="B759" s="21">
        <v>10</v>
      </c>
      <c r="C759" s="1" t="s">
        <v>2591</v>
      </c>
      <c r="D759" s="21">
        <v>57</v>
      </c>
      <c r="E759" s="1" t="s">
        <v>3014</v>
      </c>
      <c r="F759" s="23">
        <v>34</v>
      </c>
      <c r="G759" s="2" t="s">
        <v>3137</v>
      </c>
      <c r="H759" s="2" t="s">
        <v>3138</v>
      </c>
      <c r="I759" s="2" t="s">
        <v>3139</v>
      </c>
      <c r="J759" s="2" t="s">
        <v>3140</v>
      </c>
      <c r="K759" s="2"/>
      <c r="L759" s="1" t="s">
        <v>8</v>
      </c>
    </row>
    <row r="760" spans="1:12" ht="15.75" customHeight="1" x14ac:dyDescent="0.25">
      <c r="A760" s="1" t="s">
        <v>2590</v>
      </c>
      <c r="B760" s="21">
        <v>10</v>
      </c>
      <c r="C760" s="1" t="s">
        <v>2591</v>
      </c>
      <c r="D760" s="21">
        <v>57</v>
      </c>
      <c r="E760" s="1" t="s">
        <v>3014</v>
      </c>
      <c r="F760" s="23">
        <v>35</v>
      </c>
      <c r="G760" s="2" t="s">
        <v>3141</v>
      </c>
      <c r="H760" s="2" t="s">
        <v>2988</v>
      </c>
      <c r="I760" s="2" t="s">
        <v>2989</v>
      </c>
      <c r="J760" s="2" t="s">
        <v>3142</v>
      </c>
      <c r="K760" s="2"/>
      <c r="L760" s="1" t="s">
        <v>8</v>
      </c>
    </row>
    <row r="761" spans="1:12" ht="15.75" customHeight="1" x14ac:dyDescent="0.25">
      <c r="A761" s="1" t="s">
        <v>2590</v>
      </c>
      <c r="B761" s="21">
        <v>10</v>
      </c>
      <c r="C761" s="1" t="s">
        <v>2591</v>
      </c>
      <c r="D761" s="21">
        <v>57</v>
      </c>
      <c r="E761" s="1" t="s">
        <v>3014</v>
      </c>
      <c r="F761" s="23">
        <v>36</v>
      </c>
      <c r="G761" s="2" t="s">
        <v>3143</v>
      </c>
      <c r="H761" s="2" t="s">
        <v>3144</v>
      </c>
      <c r="I761" s="2" t="s">
        <v>2943</v>
      </c>
      <c r="J761" s="2" t="s">
        <v>3145</v>
      </c>
      <c r="K761" s="2"/>
      <c r="L761" s="1" t="s">
        <v>9</v>
      </c>
    </row>
    <row r="762" spans="1:12" ht="15.75" customHeight="1" x14ac:dyDescent="0.25">
      <c r="A762" s="1" t="s">
        <v>2590</v>
      </c>
      <c r="B762" s="21">
        <v>10</v>
      </c>
      <c r="C762" s="1" t="s">
        <v>2591</v>
      </c>
      <c r="D762" s="21">
        <v>57</v>
      </c>
      <c r="E762" s="1" t="s">
        <v>3014</v>
      </c>
      <c r="F762" s="23">
        <v>37</v>
      </c>
      <c r="G762" s="2" t="s">
        <v>3146</v>
      </c>
      <c r="H762" s="2" t="s">
        <v>3147</v>
      </c>
      <c r="I762" s="2" t="s">
        <v>3148</v>
      </c>
      <c r="J762" s="2" t="s">
        <v>3066</v>
      </c>
      <c r="K762" s="2"/>
      <c r="L762" s="1" t="s">
        <v>7</v>
      </c>
    </row>
    <row r="763" spans="1:12" ht="15.75" customHeight="1" x14ac:dyDescent="0.25">
      <c r="A763" s="1" t="s">
        <v>2590</v>
      </c>
      <c r="B763" s="21">
        <v>10</v>
      </c>
      <c r="C763" s="1" t="s">
        <v>2591</v>
      </c>
      <c r="D763" s="21">
        <v>57</v>
      </c>
      <c r="E763" s="1" t="s">
        <v>3014</v>
      </c>
      <c r="F763" s="23">
        <v>38</v>
      </c>
      <c r="G763" s="2" t="s">
        <v>3149</v>
      </c>
      <c r="H763" s="2" t="s">
        <v>3150</v>
      </c>
      <c r="I763" s="2" t="s">
        <v>3151</v>
      </c>
      <c r="J763" s="2" t="s">
        <v>3152</v>
      </c>
      <c r="K763" s="2"/>
      <c r="L763" s="1" t="s">
        <v>8</v>
      </c>
    </row>
    <row r="764" spans="1:12" ht="15.75" customHeight="1" x14ac:dyDescent="0.25">
      <c r="A764" s="1" t="s">
        <v>2590</v>
      </c>
      <c r="B764" s="21">
        <v>10</v>
      </c>
      <c r="C764" s="1" t="s">
        <v>2591</v>
      </c>
      <c r="D764" s="21">
        <v>57</v>
      </c>
      <c r="E764" s="1" t="s">
        <v>3014</v>
      </c>
      <c r="F764" s="23">
        <v>39</v>
      </c>
      <c r="G764" s="2" t="s">
        <v>3153</v>
      </c>
      <c r="H764" s="2" t="s">
        <v>3154</v>
      </c>
      <c r="I764" s="2" t="s">
        <v>3155</v>
      </c>
      <c r="J764" s="2" t="s">
        <v>3156</v>
      </c>
      <c r="K764" s="2"/>
      <c r="L764" s="1" t="s">
        <v>8</v>
      </c>
    </row>
    <row r="765" spans="1:12" ht="15.75" customHeight="1" x14ac:dyDescent="0.25">
      <c r="A765" s="1" t="s">
        <v>2590</v>
      </c>
      <c r="B765" s="21">
        <v>10</v>
      </c>
      <c r="C765" s="1" t="s">
        <v>2591</v>
      </c>
      <c r="D765" s="21">
        <v>57</v>
      </c>
      <c r="E765" s="1" t="s">
        <v>3014</v>
      </c>
      <c r="F765" s="23">
        <v>40</v>
      </c>
      <c r="G765" s="2" t="s">
        <v>3157</v>
      </c>
      <c r="H765" s="2" t="s">
        <v>3158</v>
      </c>
      <c r="I765" s="2" t="s">
        <v>3101</v>
      </c>
      <c r="J765" s="2" t="s">
        <v>3159</v>
      </c>
      <c r="K765" s="2"/>
      <c r="L765" s="1" t="s">
        <v>7</v>
      </c>
    </row>
    <row r="766" spans="1:12" ht="15.75" customHeight="1" x14ac:dyDescent="0.25">
      <c r="A766" s="1" t="s">
        <v>2590</v>
      </c>
      <c r="B766" s="21">
        <v>10</v>
      </c>
      <c r="C766" s="1" t="s">
        <v>2591</v>
      </c>
      <c r="D766" s="21">
        <v>57</v>
      </c>
      <c r="E766" s="1" t="s">
        <v>3014</v>
      </c>
      <c r="F766" s="23">
        <v>41</v>
      </c>
      <c r="G766" s="2" t="s">
        <v>3160</v>
      </c>
      <c r="H766" s="2" t="s">
        <v>3161</v>
      </c>
      <c r="I766" s="2" t="s">
        <v>3162</v>
      </c>
      <c r="J766" s="2" t="s">
        <v>3066</v>
      </c>
      <c r="K766" s="2"/>
      <c r="L766" s="1" t="s">
        <v>9</v>
      </c>
    </row>
    <row r="767" spans="1:12" ht="15.75" customHeight="1" x14ac:dyDescent="0.25">
      <c r="A767" s="1" t="s">
        <v>2590</v>
      </c>
      <c r="B767" s="21">
        <v>10</v>
      </c>
      <c r="C767" s="1" t="s">
        <v>2591</v>
      </c>
      <c r="D767" s="21">
        <v>57</v>
      </c>
      <c r="E767" s="1" t="s">
        <v>3014</v>
      </c>
      <c r="F767" s="23">
        <v>42</v>
      </c>
      <c r="G767" s="2" t="s">
        <v>3163</v>
      </c>
      <c r="H767" s="2" t="s">
        <v>3164</v>
      </c>
      <c r="I767" s="2" t="s">
        <v>3165</v>
      </c>
      <c r="J767" s="2" t="s">
        <v>3066</v>
      </c>
      <c r="K767" s="2"/>
      <c r="L767" s="1" t="s">
        <v>8</v>
      </c>
    </row>
    <row r="768" spans="1:12" ht="15.75" customHeight="1" x14ac:dyDescent="0.25">
      <c r="A768" s="1" t="s">
        <v>2590</v>
      </c>
      <c r="B768" s="21">
        <v>10</v>
      </c>
      <c r="C768" s="1" t="s">
        <v>2591</v>
      </c>
      <c r="D768" s="21">
        <v>57</v>
      </c>
      <c r="E768" s="1" t="s">
        <v>3014</v>
      </c>
      <c r="F768" s="23">
        <v>43</v>
      </c>
      <c r="G768" s="2" t="s">
        <v>3166</v>
      </c>
      <c r="H768" s="2" t="s">
        <v>3167</v>
      </c>
      <c r="I768" s="2" t="s">
        <v>3161</v>
      </c>
      <c r="J768" s="2" t="s">
        <v>3066</v>
      </c>
      <c r="K768" s="2"/>
      <c r="L768" s="1" t="s">
        <v>7</v>
      </c>
    </row>
    <row r="769" spans="1:12" ht="15.75" customHeight="1" x14ac:dyDescent="0.25">
      <c r="A769" s="1" t="s">
        <v>2590</v>
      </c>
      <c r="B769" s="21">
        <v>10</v>
      </c>
      <c r="C769" s="1" t="s">
        <v>2591</v>
      </c>
      <c r="D769" s="21">
        <v>57</v>
      </c>
      <c r="E769" s="1" t="s">
        <v>3014</v>
      </c>
      <c r="F769" s="23">
        <v>44</v>
      </c>
      <c r="G769" s="2" t="s">
        <v>3168</v>
      </c>
      <c r="H769" s="2" t="s">
        <v>3169</v>
      </c>
      <c r="I769" s="2" t="s">
        <v>3170</v>
      </c>
      <c r="J769" s="2" t="s">
        <v>3066</v>
      </c>
      <c r="K769" s="2"/>
      <c r="L769" s="1" t="s">
        <v>9</v>
      </c>
    </row>
    <row r="770" spans="1:12" ht="15.75" customHeight="1" x14ac:dyDescent="0.25">
      <c r="A770" s="1" t="s">
        <v>2590</v>
      </c>
      <c r="B770" s="21">
        <v>10</v>
      </c>
      <c r="C770" s="1" t="s">
        <v>2591</v>
      </c>
      <c r="D770" s="21">
        <v>57</v>
      </c>
      <c r="E770" s="1" t="s">
        <v>3014</v>
      </c>
      <c r="F770" s="23">
        <v>45</v>
      </c>
      <c r="G770" s="2" t="s">
        <v>3171</v>
      </c>
      <c r="H770" s="2" t="s">
        <v>3172</v>
      </c>
      <c r="I770" s="2" t="s">
        <v>3173</v>
      </c>
      <c r="J770" s="2" t="s">
        <v>3174</v>
      </c>
      <c r="K770" s="2"/>
      <c r="L770" s="1" t="s">
        <v>9</v>
      </c>
    </row>
    <row r="771" spans="1:12" ht="15.75" customHeight="1" x14ac:dyDescent="0.25">
      <c r="A771" s="1" t="s">
        <v>2590</v>
      </c>
      <c r="B771" s="21">
        <v>10</v>
      </c>
      <c r="C771" s="1" t="s">
        <v>2591</v>
      </c>
      <c r="D771" s="21">
        <v>57</v>
      </c>
      <c r="E771" s="1" t="s">
        <v>3014</v>
      </c>
      <c r="F771" s="23">
        <v>46</v>
      </c>
      <c r="G771" s="2" t="s">
        <v>3175</v>
      </c>
      <c r="H771" s="2" t="s">
        <v>3176</v>
      </c>
      <c r="I771" s="2" t="s">
        <v>3177</v>
      </c>
      <c r="J771" s="2" t="s">
        <v>3066</v>
      </c>
      <c r="K771" s="2"/>
      <c r="L771" s="1" t="s">
        <v>8</v>
      </c>
    </row>
    <row r="772" spans="1:12" ht="15.75" customHeight="1" x14ac:dyDescent="0.25">
      <c r="A772" s="1" t="s">
        <v>2590</v>
      </c>
      <c r="B772" s="21">
        <v>10</v>
      </c>
      <c r="C772" s="1" t="s">
        <v>2591</v>
      </c>
      <c r="D772" s="21">
        <v>57</v>
      </c>
      <c r="E772" s="1" t="s">
        <v>3014</v>
      </c>
      <c r="F772" s="23">
        <v>47</v>
      </c>
      <c r="G772" s="2" t="s">
        <v>3178</v>
      </c>
      <c r="H772" s="2" t="s">
        <v>3179</v>
      </c>
      <c r="I772" s="2" t="s">
        <v>3180</v>
      </c>
      <c r="J772" s="2" t="s">
        <v>3181</v>
      </c>
      <c r="K772" s="2"/>
      <c r="L772" s="1" t="s">
        <v>9</v>
      </c>
    </row>
    <row r="773" spans="1:12" ht="15.75" customHeight="1" x14ac:dyDescent="0.25">
      <c r="A773" s="1" t="s">
        <v>2590</v>
      </c>
      <c r="B773" s="21">
        <v>10</v>
      </c>
      <c r="C773" s="1" t="s">
        <v>2591</v>
      </c>
      <c r="D773" s="21">
        <v>57</v>
      </c>
      <c r="E773" s="1" t="s">
        <v>3014</v>
      </c>
      <c r="F773" s="23">
        <v>48</v>
      </c>
      <c r="G773" s="2" t="s">
        <v>3182</v>
      </c>
      <c r="H773" s="2" t="s">
        <v>3183</v>
      </c>
      <c r="I773" s="2" t="s">
        <v>3184</v>
      </c>
      <c r="J773" s="2" t="s">
        <v>3066</v>
      </c>
      <c r="K773" s="2"/>
      <c r="L773" s="1" t="s">
        <v>8</v>
      </c>
    </row>
    <row r="774" spans="1:12" ht="15.75" customHeight="1" x14ac:dyDescent="0.25">
      <c r="A774" s="1" t="s">
        <v>2590</v>
      </c>
      <c r="B774" s="21">
        <v>10</v>
      </c>
      <c r="C774" s="1" t="s">
        <v>2591</v>
      </c>
      <c r="D774" s="21">
        <v>57</v>
      </c>
      <c r="E774" s="1" t="s">
        <v>3014</v>
      </c>
      <c r="F774" s="23">
        <v>49</v>
      </c>
      <c r="G774" s="2" t="s">
        <v>3185</v>
      </c>
      <c r="H774" s="2" t="s">
        <v>3044</v>
      </c>
      <c r="I774" s="2" t="s">
        <v>3045</v>
      </c>
      <c r="J774" s="2" t="s">
        <v>3046</v>
      </c>
      <c r="K774" s="2"/>
      <c r="L774" s="1" t="s">
        <v>7</v>
      </c>
    </row>
    <row r="775" spans="1:12" ht="15.75" customHeight="1" x14ac:dyDescent="0.25">
      <c r="A775" s="1" t="s">
        <v>2590</v>
      </c>
      <c r="B775" s="21">
        <v>10</v>
      </c>
      <c r="C775" s="1" t="s">
        <v>2591</v>
      </c>
      <c r="D775" s="21">
        <v>57</v>
      </c>
      <c r="E775" s="1" t="s">
        <v>3014</v>
      </c>
      <c r="F775" s="23">
        <v>50</v>
      </c>
      <c r="G775" s="2" t="s">
        <v>3186</v>
      </c>
      <c r="H775" s="2" t="s">
        <v>3056</v>
      </c>
      <c r="I775" s="2" t="s">
        <v>3057</v>
      </c>
      <c r="J775" s="2" t="s">
        <v>3058</v>
      </c>
      <c r="K775" s="2"/>
      <c r="L775" s="1" t="s">
        <v>8</v>
      </c>
    </row>
    <row r="776" spans="1:12" ht="15.75" customHeight="1" x14ac:dyDescent="0.25">
      <c r="A776" s="1" t="s">
        <v>2590</v>
      </c>
      <c r="B776" s="21">
        <v>11</v>
      </c>
      <c r="C776" s="1" t="s">
        <v>3187</v>
      </c>
      <c r="D776" s="21">
        <v>34</v>
      </c>
      <c r="E776" s="1" t="s">
        <v>3188</v>
      </c>
      <c r="F776" s="21">
        <v>1</v>
      </c>
      <c r="G776" s="1" t="s">
        <v>3189</v>
      </c>
      <c r="H776" s="1" t="s">
        <v>3190</v>
      </c>
      <c r="I776" s="1" t="s">
        <v>3191</v>
      </c>
      <c r="J776" s="1" t="s">
        <v>3066</v>
      </c>
      <c r="L776" s="1" t="s">
        <v>9</v>
      </c>
    </row>
    <row r="777" spans="1:12" ht="15.75" customHeight="1" x14ac:dyDescent="0.25">
      <c r="A777" s="1" t="s">
        <v>2590</v>
      </c>
      <c r="B777" s="21">
        <v>11</v>
      </c>
      <c r="C777" s="1" t="s">
        <v>3187</v>
      </c>
      <c r="D777" s="21">
        <v>34</v>
      </c>
      <c r="E777" s="1" t="s">
        <v>3188</v>
      </c>
      <c r="F777" s="21">
        <v>2</v>
      </c>
      <c r="G777" s="1" t="s">
        <v>3192</v>
      </c>
      <c r="H777" s="1" t="s">
        <v>3193</v>
      </c>
      <c r="I777" s="1" t="s">
        <v>3194</v>
      </c>
      <c r="J777" s="1" t="s">
        <v>3066</v>
      </c>
      <c r="L777" s="1" t="s">
        <v>8</v>
      </c>
    </row>
    <row r="778" spans="1:12" ht="15.75" customHeight="1" x14ac:dyDescent="0.25">
      <c r="A778" s="1" t="s">
        <v>2590</v>
      </c>
      <c r="B778" s="21">
        <v>11</v>
      </c>
      <c r="C778" s="1" t="s">
        <v>3187</v>
      </c>
      <c r="D778" s="21">
        <v>34</v>
      </c>
      <c r="E778" s="1" t="s">
        <v>3188</v>
      </c>
      <c r="F778" s="21">
        <v>3</v>
      </c>
      <c r="G778" s="1" t="s">
        <v>3195</v>
      </c>
      <c r="H778" s="1" t="s">
        <v>3196</v>
      </c>
      <c r="I778" s="1" t="s">
        <v>3197</v>
      </c>
      <c r="J778" s="1" t="s">
        <v>3198</v>
      </c>
      <c r="L778" s="1" t="s">
        <v>7</v>
      </c>
    </row>
    <row r="779" spans="1:12" ht="15.75" customHeight="1" x14ac:dyDescent="0.25">
      <c r="A779" s="1" t="s">
        <v>2590</v>
      </c>
      <c r="B779" s="21">
        <v>11</v>
      </c>
      <c r="C779" s="1" t="s">
        <v>3187</v>
      </c>
      <c r="D779" s="21">
        <v>34</v>
      </c>
      <c r="E779" s="1" t="s">
        <v>3188</v>
      </c>
      <c r="F779" s="21">
        <v>4</v>
      </c>
      <c r="G779" s="1" t="s">
        <v>3199</v>
      </c>
      <c r="H779" s="1" t="s">
        <v>3200</v>
      </c>
      <c r="I779" s="1" t="s">
        <v>3201</v>
      </c>
      <c r="J779" s="1" t="s">
        <v>3066</v>
      </c>
      <c r="L779" s="1" t="s">
        <v>9</v>
      </c>
    </row>
    <row r="780" spans="1:12" ht="15.75" customHeight="1" x14ac:dyDescent="0.25">
      <c r="A780" s="1" t="s">
        <v>2590</v>
      </c>
      <c r="B780" s="21">
        <v>11</v>
      </c>
      <c r="C780" s="1" t="s">
        <v>3187</v>
      </c>
      <c r="D780" s="21">
        <v>34</v>
      </c>
      <c r="E780" s="1" t="s">
        <v>3188</v>
      </c>
      <c r="F780" s="21">
        <v>5</v>
      </c>
      <c r="G780" s="1" t="s">
        <v>3202</v>
      </c>
      <c r="H780" s="1" t="s">
        <v>3203</v>
      </c>
      <c r="I780" s="1" t="s">
        <v>3204</v>
      </c>
      <c r="J780" s="1" t="s">
        <v>3205</v>
      </c>
      <c r="L780" s="1" t="s">
        <v>8</v>
      </c>
    </row>
    <row r="781" spans="1:12" ht="15.75" customHeight="1" x14ac:dyDescent="0.25">
      <c r="A781" s="1" t="s">
        <v>2590</v>
      </c>
      <c r="B781" s="21">
        <v>11</v>
      </c>
      <c r="C781" s="1" t="s">
        <v>3187</v>
      </c>
      <c r="D781" s="21">
        <v>34</v>
      </c>
      <c r="E781" s="1" t="s">
        <v>3188</v>
      </c>
      <c r="F781" s="21">
        <v>6</v>
      </c>
      <c r="G781" s="1" t="s">
        <v>3206</v>
      </c>
      <c r="H781" s="1" t="s">
        <v>3207</v>
      </c>
      <c r="I781" s="1" t="s">
        <v>3208</v>
      </c>
      <c r="J781" s="1" t="s">
        <v>28</v>
      </c>
      <c r="L781" s="1" t="s">
        <v>9</v>
      </c>
    </row>
    <row r="782" spans="1:12" ht="15.75" customHeight="1" x14ac:dyDescent="0.25">
      <c r="A782" s="1" t="s">
        <v>2590</v>
      </c>
      <c r="B782" s="21">
        <v>11</v>
      </c>
      <c r="C782" s="1" t="s">
        <v>3187</v>
      </c>
      <c r="D782" s="21">
        <v>34</v>
      </c>
      <c r="E782" s="1" t="s">
        <v>3188</v>
      </c>
      <c r="F782" s="21">
        <v>7</v>
      </c>
      <c r="G782" s="1" t="s">
        <v>3209</v>
      </c>
      <c r="H782" s="1" t="s">
        <v>3210</v>
      </c>
      <c r="I782" s="1" t="s">
        <v>3211</v>
      </c>
      <c r="J782" s="1" t="s">
        <v>3212</v>
      </c>
      <c r="L782" s="1" t="s">
        <v>7</v>
      </c>
    </row>
    <row r="783" spans="1:12" ht="15.75" customHeight="1" x14ac:dyDescent="0.25">
      <c r="A783" s="1" t="s">
        <v>2590</v>
      </c>
      <c r="B783" s="21">
        <v>11</v>
      </c>
      <c r="C783" s="1" t="s">
        <v>3187</v>
      </c>
      <c r="D783" s="21">
        <v>34</v>
      </c>
      <c r="E783" s="1" t="s">
        <v>3188</v>
      </c>
      <c r="F783" s="21">
        <v>8</v>
      </c>
      <c r="G783" s="1" t="s">
        <v>3213</v>
      </c>
      <c r="H783" s="1" t="s">
        <v>3214</v>
      </c>
      <c r="I783" s="1" t="s">
        <v>3215</v>
      </c>
      <c r="J783" s="1" t="s">
        <v>3216</v>
      </c>
      <c r="L783" s="1" t="s">
        <v>7</v>
      </c>
    </row>
    <row r="784" spans="1:12" ht="15.75" customHeight="1" x14ac:dyDescent="0.25">
      <c r="A784" s="1" t="s">
        <v>2590</v>
      </c>
      <c r="B784" s="21">
        <v>11</v>
      </c>
      <c r="C784" s="1" t="s">
        <v>3187</v>
      </c>
      <c r="D784" s="21">
        <v>34</v>
      </c>
      <c r="E784" s="1" t="s">
        <v>3188</v>
      </c>
      <c r="F784" s="21">
        <v>9</v>
      </c>
      <c r="G784" s="1" t="s">
        <v>3217</v>
      </c>
      <c r="H784" s="1" t="s">
        <v>3218</v>
      </c>
      <c r="I784" s="1" t="s">
        <v>3219</v>
      </c>
      <c r="J784" s="1" t="s">
        <v>3066</v>
      </c>
      <c r="L784" s="1" t="s">
        <v>7</v>
      </c>
    </row>
    <row r="785" spans="1:12" ht="15.75" customHeight="1" x14ac:dyDescent="0.25">
      <c r="A785" s="1" t="s">
        <v>2590</v>
      </c>
      <c r="B785" s="21">
        <v>11</v>
      </c>
      <c r="C785" s="1" t="s">
        <v>3187</v>
      </c>
      <c r="D785" s="21">
        <v>34</v>
      </c>
      <c r="E785" s="1" t="s">
        <v>3188</v>
      </c>
      <c r="F785" s="21">
        <v>10</v>
      </c>
      <c r="G785" s="1" t="s">
        <v>3220</v>
      </c>
      <c r="H785" s="1" t="s">
        <v>3221</v>
      </c>
      <c r="I785" s="1" t="s">
        <v>3222</v>
      </c>
      <c r="J785" s="1" t="s">
        <v>3223</v>
      </c>
      <c r="L785" s="1" t="s">
        <v>7</v>
      </c>
    </row>
    <row r="786" spans="1:12" ht="15.75" customHeight="1" x14ac:dyDescent="0.25">
      <c r="A786" s="1" t="s">
        <v>2590</v>
      </c>
      <c r="B786" s="21">
        <v>11</v>
      </c>
      <c r="C786" s="1" t="s">
        <v>3187</v>
      </c>
      <c r="D786" s="21">
        <v>34</v>
      </c>
      <c r="E786" s="1" t="s">
        <v>3188</v>
      </c>
      <c r="F786" s="21">
        <v>11</v>
      </c>
      <c r="G786" s="1" t="s">
        <v>3224</v>
      </c>
      <c r="H786" s="1" t="s">
        <v>3225</v>
      </c>
      <c r="I786" s="1" t="s">
        <v>3226</v>
      </c>
      <c r="J786" s="1" t="s">
        <v>3066</v>
      </c>
      <c r="L786" s="1" t="s">
        <v>9</v>
      </c>
    </row>
    <row r="787" spans="1:12" ht="15.75" customHeight="1" x14ac:dyDescent="0.25">
      <c r="A787" s="1" t="s">
        <v>2590</v>
      </c>
      <c r="B787" s="21">
        <v>11</v>
      </c>
      <c r="C787" s="1" t="s">
        <v>3187</v>
      </c>
      <c r="D787" s="21">
        <v>34</v>
      </c>
      <c r="E787" s="1" t="s">
        <v>3188</v>
      </c>
      <c r="F787" s="21">
        <v>12</v>
      </c>
      <c r="G787" s="1" t="s">
        <v>3227</v>
      </c>
      <c r="H787" s="1" t="s">
        <v>3228</v>
      </c>
      <c r="I787" s="1" t="s">
        <v>3229</v>
      </c>
      <c r="J787" s="1" t="s">
        <v>3230</v>
      </c>
      <c r="L787" s="1" t="s">
        <v>8</v>
      </c>
    </row>
    <row r="788" spans="1:12" ht="15.75" customHeight="1" x14ac:dyDescent="0.25">
      <c r="A788" s="1" t="s">
        <v>2590</v>
      </c>
      <c r="B788" s="21">
        <v>11</v>
      </c>
      <c r="C788" s="1" t="s">
        <v>3187</v>
      </c>
      <c r="D788" s="21">
        <v>34</v>
      </c>
      <c r="E788" s="1" t="s">
        <v>3188</v>
      </c>
      <c r="F788" s="21">
        <v>13</v>
      </c>
      <c r="G788" s="1" t="s">
        <v>3231</v>
      </c>
      <c r="H788" s="1" t="s">
        <v>3232</v>
      </c>
      <c r="I788" s="1" t="s">
        <v>3233</v>
      </c>
      <c r="J788" s="1" t="s">
        <v>3234</v>
      </c>
      <c r="L788" s="1" t="s">
        <v>9</v>
      </c>
    </row>
    <row r="789" spans="1:12" ht="15.75" customHeight="1" x14ac:dyDescent="0.25">
      <c r="A789" s="1" t="s">
        <v>2590</v>
      </c>
      <c r="B789" s="21">
        <v>11</v>
      </c>
      <c r="C789" s="1" t="s">
        <v>3187</v>
      </c>
      <c r="D789" s="21">
        <v>34</v>
      </c>
      <c r="E789" s="1" t="s">
        <v>3188</v>
      </c>
      <c r="F789" s="21">
        <v>14</v>
      </c>
      <c r="G789" s="1" t="s">
        <v>3235</v>
      </c>
      <c r="H789" s="1" t="s">
        <v>3236</v>
      </c>
      <c r="I789" s="1" t="s">
        <v>3237</v>
      </c>
      <c r="J789" s="1" t="s">
        <v>3238</v>
      </c>
      <c r="L789" s="1" t="s">
        <v>8</v>
      </c>
    </row>
    <row r="790" spans="1:12" ht="15.75" customHeight="1" x14ac:dyDescent="0.25">
      <c r="A790" s="1" t="s">
        <v>2590</v>
      </c>
      <c r="B790" s="21">
        <v>11</v>
      </c>
      <c r="C790" s="1" t="s">
        <v>3187</v>
      </c>
      <c r="D790" s="21">
        <v>34</v>
      </c>
      <c r="E790" s="1" t="s">
        <v>3188</v>
      </c>
      <c r="F790" s="21">
        <v>15</v>
      </c>
      <c r="G790" s="1" t="s">
        <v>3239</v>
      </c>
      <c r="H790" s="1" t="s">
        <v>3240</v>
      </c>
      <c r="I790" s="1" t="s">
        <v>3241</v>
      </c>
      <c r="J790" s="1" t="s">
        <v>3066</v>
      </c>
      <c r="L790" s="1" t="s">
        <v>9</v>
      </c>
    </row>
    <row r="791" spans="1:12" ht="15.75" customHeight="1" x14ac:dyDescent="0.25">
      <c r="A791" s="1" t="s">
        <v>2590</v>
      </c>
      <c r="B791" s="21">
        <v>11</v>
      </c>
      <c r="C791" s="1" t="s">
        <v>3187</v>
      </c>
      <c r="D791" s="21">
        <v>34</v>
      </c>
      <c r="E791" s="1" t="s">
        <v>3188</v>
      </c>
      <c r="F791" s="21">
        <v>16</v>
      </c>
      <c r="G791" s="1" t="s">
        <v>3242</v>
      </c>
      <c r="H791" s="1" t="s">
        <v>3243</v>
      </c>
      <c r="I791" s="1" t="s">
        <v>3244</v>
      </c>
      <c r="J791" s="1" t="s">
        <v>3066</v>
      </c>
      <c r="L791" s="1" t="s">
        <v>7</v>
      </c>
    </row>
    <row r="792" spans="1:12" ht="15.75" customHeight="1" x14ac:dyDescent="0.25">
      <c r="A792" s="1" t="s">
        <v>2590</v>
      </c>
      <c r="B792" s="21">
        <v>11</v>
      </c>
      <c r="C792" s="1" t="s">
        <v>3187</v>
      </c>
      <c r="D792" s="21">
        <v>34</v>
      </c>
      <c r="E792" s="1" t="s">
        <v>3188</v>
      </c>
      <c r="F792" s="21">
        <v>17</v>
      </c>
      <c r="G792" s="1" t="s">
        <v>3245</v>
      </c>
      <c r="H792" s="1" t="s">
        <v>3246</v>
      </c>
      <c r="I792" s="1" t="s">
        <v>3247</v>
      </c>
      <c r="J792" s="1" t="s">
        <v>3248</v>
      </c>
      <c r="L792" s="1" t="s">
        <v>7</v>
      </c>
    </row>
    <row r="793" spans="1:12" ht="15.75" customHeight="1" x14ac:dyDescent="0.25">
      <c r="A793" s="1" t="s">
        <v>2590</v>
      </c>
      <c r="B793" s="21">
        <v>11</v>
      </c>
      <c r="C793" s="1" t="s">
        <v>3187</v>
      </c>
      <c r="D793" s="21">
        <v>34</v>
      </c>
      <c r="E793" s="1" t="s">
        <v>3188</v>
      </c>
      <c r="F793" s="21">
        <v>18</v>
      </c>
      <c r="G793" s="1" t="s">
        <v>3249</v>
      </c>
      <c r="H793" s="1" t="s">
        <v>3250</v>
      </c>
      <c r="I793" s="1" t="s">
        <v>3251</v>
      </c>
      <c r="J793" s="1" t="s">
        <v>3252</v>
      </c>
      <c r="L793" s="1" t="s">
        <v>9</v>
      </c>
    </row>
    <row r="794" spans="1:12" ht="15.75" customHeight="1" x14ac:dyDescent="0.25">
      <c r="A794" s="1" t="s">
        <v>2590</v>
      </c>
      <c r="B794" s="21">
        <v>11</v>
      </c>
      <c r="C794" s="1" t="s">
        <v>3187</v>
      </c>
      <c r="D794" s="21">
        <v>34</v>
      </c>
      <c r="E794" s="1" t="s">
        <v>3188</v>
      </c>
      <c r="F794" s="21">
        <v>19</v>
      </c>
      <c r="G794" s="1" t="s">
        <v>3253</v>
      </c>
      <c r="H794" s="1" t="s">
        <v>3254</v>
      </c>
      <c r="I794" s="1" t="s">
        <v>3255</v>
      </c>
      <c r="J794" s="1" t="s">
        <v>3256</v>
      </c>
      <c r="L794" s="1" t="s">
        <v>8</v>
      </c>
    </row>
    <row r="795" spans="1:12" ht="15.75" customHeight="1" x14ac:dyDescent="0.25">
      <c r="A795" s="1" t="s">
        <v>2590</v>
      </c>
      <c r="B795" s="21">
        <v>11</v>
      </c>
      <c r="C795" s="1" t="s">
        <v>3187</v>
      </c>
      <c r="D795" s="21">
        <v>34</v>
      </c>
      <c r="E795" s="1" t="s">
        <v>3188</v>
      </c>
      <c r="F795" s="21">
        <v>20</v>
      </c>
      <c r="G795" s="1" t="s">
        <v>3257</v>
      </c>
      <c r="H795" s="1" t="s">
        <v>3258</v>
      </c>
      <c r="I795" s="1" t="s">
        <v>3259</v>
      </c>
      <c r="J795" s="1" t="s">
        <v>3260</v>
      </c>
      <c r="L795" s="1" t="s">
        <v>9</v>
      </c>
    </row>
    <row r="796" spans="1:12" ht="15.75" customHeight="1" x14ac:dyDescent="0.25">
      <c r="A796" s="1" t="s">
        <v>2590</v>
      </c>
      <c r="B796" s="21">
        <v>11</v>
      </c>
      <c r="C796" s="1" t="s">
        <v>3187</v>
      </c>
      <c r="D796" s="21">
        <v>34</v>
      </c>
      <c r="E796" s="1" t="s">
        <v>3188</v>
      </c>
      <c r="F796" s="21">
        <v>21</v>
      </c>
      <c r="G796" s="1" t="s">
        <v>3261</v>
      </c>
      <c r="H796" s="1" t="s">
        <v>3262</v>
      </c>
      <c r="I796" s="1" t="s">
        <v>3263</v>
      </c>
      <c r="J796" s="1" t="s">
        <v>3066</v>
      </c>
      <c r="L796" s="1" t="s">
        <v>7</v>
      </c>
    </row>
    <row r="797" spans="1:12" ht="15.75" customHeight="1" x14ac:dyDescent="0.25">
      <c r="A797" s="1" t="s">
        <v>2590</v>
      </c>
      <c r="B797" s="21">
        <v>11</v>
      </c>
      <c r="C797" s="1" t="s">
        <v>3187</v>
      </c>
      <c r="D797" s="21">
        <v>34</v>
      </c>
      <c r="E797" s="1" t="s">
        <v>3188</v>
      </c>
      <c r="F797" s="21">
        <v>22</v>
      </c>
      <c r="G797" s="1" t="s">
        <v>3264</v>
      </c>
      <c r="H797" s="1" t="s">
        <v>3265</v>
      </c>
      <c r="I797" s="1" t="s">
        <v>3266</v>
      </c>
      <c r="J797" s="1" t="s">
        <v>3267</v>
      </c>
      <c r="L797" s="1" t="s">
        <v>9</v>
      </c>
    </row>
    <row r="798" spans="1:12" ht="15.75" customHeight="1" x14ac:dyDescent="0.25">
      <c r="A798" s="1" t="s">
        <v>2590</v>
      </c>
      <c r="B798" s="21">
        <v>11</v>
      </c>
      <c r="C798" s="1" t="s">
        <v>3187</v>
      </c>
      <c r="D798" s="21">
        <v>34</v>
      </c>
      <c r="E798" s="1" t="s">
        <v>3188</v>
      </c>
      <c r="F798" s="21">
        <v>23</v>
      </c>
      <c r="G798" s="1" t="s">
        <v>3268</v>
      </c>
      <c r="H798" s="1" t="s">
        <v>3269</v>
      </c>
      <c r="I798" s="1" t="s">
        <v>3270</v>
      </c>
      <c r="J798" s="1" t="s">
        <v>3271</v>
      </c>
      <c r="L798" s="1" t="s">
        <v>9</v>
      </c>
    </row>
    <row r="799" spans="1:12" ht="15.75" customHeight="1" x14ac:dyDescent="0.25">
      <c r="A799" s="1" t="s">
        <v>2590</v>
      </c>
      <c r="B799" s="21">
        <v>11</v>
      </c>
      <c r="C799" s="1" t="s">
        <v>3187</v>
      </c>
      <c r="D799" s="21">
        <v>34</v>
      </c>
      <c r="E799" s="1" t="s">
        <v>3188</v>
      </c>
      <c r="F799" s="21">
        <v>24</v>
      </c>
      <c r="G799" s="1" t="s">
        <v>3272</v>
      </c>
      <c r="H799" s="1" t="s">
        <v>3273</v>
      </c>
      <c r="I799" s="1" t="s">
        <v>3274</v>
      </c>
      <c r="J799" s="1" t="s">
        <v>3275</v>
      </c>
      <c r="L799" s="1" t="s">
        <v>9</v>
      </c>
    </row>
    <row r="800" spans="1:12" ht="15.75" customHeight="1" x14ac:dyDescent="0.25">
      <c r="A800" s="1" t="s">
        <v>2590</v>
      </c>
      <c r="B800" s="21">
        <v>11</v>
      </c>
      <c r="C800" s="1" t="s">
        <v>3187</v>
      </c>
      <c r="D800" s="21">
        <v>34</v>
      </c>
      <c r="E800" s="1" t="s">
        <v>3188</v>
      </c>
      <c r="F800" s="21">
        <v>25</v>
      </c>
      <c r="G800" s="1" t="s">
        <v>3276</v>
      </c>
      <c r="H800" s="1" t="s">
        <v>3277</v>
      </c>
      <c r="I800" s="1" t="s">
        <v>3211</v>
      </c>
      <c r="J800" s="1" t="s">
        <v>3212</v>
      </c>
      <c r="L800" s="1" t="s">
        <v>8</v>
      </c>
    </row>
    <row r="801" spans="1:12" ht="15.75" customHeight="1" x14ac:dyDescent="0.25">
      <c r="A801" s="1" t="s">
        <v>2590</v>
      </c>
      <c r="B801" s="21">
        <v>11</v>
      </c>
      <c r="C801" s="1" t="s">
        <v>3187</v>
      </c>
      <c r="D801" s="21">
        <v>34</v>
      </c>
      <c r="E801" s="1" t="s">
        <v>3188</v>
      </c>
      <c r="F801" s="21">
        <v>26</v>
      </c>
      <c r="G801" s="1" t="s">
        <v>3278</v>
      </c>
      <c r="H801" s="1" t="s">
        <v>3237</v>
      </c>
      <c r="I801" s="1" t="s">
        <v>3236</v>
      </c>
      <c r="J801" s="1" t="s">
        <v>3279</v>
      </c>
      <c r="L801" s="1" t="s">
        <v>7</v>
      </c>
    </row>
    <row r="802" spans="1:12" ht="15.75" customHeight="1" x14ac:dyDescent="0.25">
      <c r="A802" s="1" t="s">
        <v>2590</v>
      </c>
      <c r="B802" s="21">
        <v>11</v>
      </c>
      <c r="C802" s="1" t="s">
        <v>3187</v>
      </c>
      <c r="D802" s="21">
        <v>34</v>
      </c>
      <c r="E802" s="1" t="s">
        <v>3188</v>
      </c>
      <c r="F802" s="21">
        <v>27</v>
      </c>
      <c r="G802" s="1" t="s">
        <v>3280</v>
      </c>
      <c r="H802" s="1" t="s">
        <v>3281</v>
      </c>
      <c r="I802" s="1" t="s">
        <v>3282</v>
      </c>
      <c r="J802" s="1" t="s">
        <v>28</v>
      </c>
      <c r="L802" s="1" t="s">
        <v>9</v>
      </c>
    </row>
    <row r="803" spans="1:12" ht="15.75" customHeight="1" x14ac:dyDescent="0.25">
      <c r="A803" s="1" t="s">
        <v>2590</v>
      </c>
      <c r="B803" s="21">
        <v>11</v>
      </c>
      <c r="C803" s="1" t="s">
        <v>3187</v>
      </c>
      <c r="D803" s="21">
        <v>34</v>
      </c>
      <c r="E803" s="1" t="s">
        <v>3188</v>
      </c>
      <c r="F803" s="21">
        <v>28</v>
      </c>
      <c r="G803" s="1" t="s">
        <v>3283</v>
      </c>
      <c r="H803" s="1" t="s">
        <v>3284</v>
      </c>
      <c r="I803" s="1" t="s">
        <v>3285</v>
      </c>
      <c r="J803" s="1" t="s">
        <v>3066</v>
      </c>
      <c r="L803" s="1" t="s">
        <v>7</v>
      </c>
    </row>
    <row r="804" spans="1:12" ht="15.75" customHeight="1" x14ac:dyDescent="0.25">
      <c r="A804" s="1" t="s">
        <v>2590</v>
      </c>
      <c r="B804" s="21">
        <v>11</v>
      </c>
      <c r="C804" s="1" t="s">
        <v>3187</v>
      </c>
      <c r="D804" s="21">
        <v>34</v>
      </c>
      <c r="E804" s="1" t="s">
        <v>3188</v>
      </c>
      <c r="F804" s="21">
        <v>29</v>
      </c>
      <c r="G804" s="1" t="s">
        <v>3286</v>
      </c>
      <c r="H804" s="1" t="s">
        <v>3287</v>
      </c>
      <c r="I804" s="1" t="s">
        <v>3288</v>
      </c>
      <c r="J804" s="1" t="s">
        <v>3289</v>
      </c>
      <c r="L804" s="1" t="s">
        <v>9</v>
      </c>
    </row>
    <row r="805" spans="1:12" ht="15.75" customHeight="1" x14ac:dyDescent="0.25">
      <c r="A805" s="1" t="s">
        <v>2590</v>
      </c>
      <c r="B805" s="21">
        <v>11</v>
      </c>
      <c r="C805" s="1" t="s">
        <v>3187</v>
      </c>
      <c r="D805" s="21">
        <v>34</v>
      </c>
      <c r="E805" s="1" t="s">
        <v>3188</v>
      </c>
      <c r="F805" s="21">
        <v>30</v>
      </c>
      <c r="G805" s="1" t="s">
        <v>3290</v>
      </c>
      <c r="H805" s="1" t="s">
        <v>3291</v>
      </c>
      <c r="I805" s="1" t="s">
        <v>3292</v>
      </c>
      <c r="J805" s="1" t="s">
        <v>3066</v>
      </c>
      <c r="L805" s="1" t="s">
        <v>8</v>
      </c>
    </row>
    <row r="806" spans="1:12" ht="15.75" customHeight="1" x14ac:dyDescent="0.25">
      <c r="A806" s="1" t="s">
        <v>2590</v>
      </c>
      <c r="B806" s="21">
        <v>11</v>
      </c>
      <c r="C806" s="1" t="s">
        <v>3187</v>
      </c>
      <c r="D806" s="21">
        <v>34</v>
      </c>
      <c r="E806" s="1" t="s">
        <v>3188</v>
      </c>
      <c r="F806" s="21">
        <v>31</v>
      </c>
      <c r="G806" s="1" t="s">
        <v>3293</v>
      </c>
      <c r="H806" s="1" t="s">
        <v>3210</v>
      </c>
      <c r="I806" s="1" t="s">
        <v>3211</v>
      </c>
      <c r="J806" s="1" t="s">
        <v>3212</v>
      </c>
      <c r="L806" s="1" t="s">
        <v>8</v>
      </c>
    </row>
    <row r="807" spans="1:12" ht="15.75" customHeight="1" x14ac:dyDescent="0.25">
      <c r="A807" s="1" t="s">
        <v>2590</v>
      </c>
      <c r="B807" s="21">
        <v>11</v>
      </c>
      <c r="C807" s="1" t="s">
        <v>3187</v>
      </c>
      <c r="D807" s="21">
        <v>34</v>
      </c>
      <c r="E807" s="1" t="s">
        <v>3188</v>
      </c>
      <c r="F807" s="21">
        <v>32</v>
      </c>
      <c r="G807" s="1" t="s">
        <v>3294</v>
      </c>
      <c r="H807" s="1" t="s">
        <v>3295</v>
      </c>
      <c r="I807" s="1" t="s">
        <v>3296</v>
      </c>
      <c r="J807" s="1" t="s">
        <v>3066</v>
      </c>
      <c r="L807" s="1" t="s">
        <v>7</v>
      </c>
    </row>
    <row r="808" spans="1:12" ht="15.75" customHeight="1" x14ac:dyDescent="0.25">
      <c r="A808" s="1" t="s">
        <v>2590</v>
      </c>
      <c r="B808" s="21">
        <v>11</v>
      </c>
      <c r="C808" s="1" t="s">
        <v>3187</v>
      </c>
      <c r="D808" s="21">
        <v>34</v>
      </c>
      <c r="E808" s="1" t="s">
        <v>3188</v>
      </c>
      <c r="F808" s="21">
        <v>33</v>
      </c>
      <c r="G808" s="1" t="s">
        <v>3297</v>
      </c>
      <c r="H808" s="1" t="s">
        <v>3298</v>
      </c>
      <c r="I808" s="1" t="s">
        <v>3299</v>
      </c>
      <c r="J808" s="1" t="s">
        <v>3300</v>
      </c>
      <c r="L808" s="1" t="s">
        <v>8</v>
      </c>
    </row>
    <row r="809" spans="1:12" ht="15.75" customHeight="1" x14ac:dyDescent="0.25">
      <c r="A809" s="1" t="s">
        <v>2590</v>
      </c>
      <c r="B809" s="21">
        <v>11</v>
      </c>
      <c r="C809" s="1" t="s">
        <v>3187</v>
      </c>
      <c r="D809" s="21">
        <v>34</v>
      </c>
      <c r="E809" s="1" t="s">
        <v>3188</v>
      </c>
      <c r="F809" s="21">
        <v>34</v>
      </c>
      <c r="G809" s="1" t="s">
        <v>3301</v>
      </c>
      <c r="H809" s="1" t="s">
        <v>3302</v>
      </c>
      <c r="I809" s="1" t="s">
        <v>3303</v>
      </c>
      <c r="J809" s="1" t="s">
        <v>3066</v>
      </c>
      <c r="L809" s="1" t="s">
        <v>7</v>
      </c>
    </row>
    <row r="810" spans="1:12" ht="15.75" customHeight="1" x14ac:dyDescent="0.25">
      <c r="A810" s="1" t="s">
        <v>2590</v>
      </c>
      <c r="B810" s="21">
        <v>11</v>
      </c>
      <c r="C810" s="1" t="s">
        <v>3187</v>
      </c>
      <c r="D810" s="21">
        <v>34</v>
      </c>
      <c r="E810" s="1" t="s">
        <v>3188</v>
      </c>
      <c r="F810" s="21">
        <v>35</v>
      </c>
      <c r="G810" s="1" t="s">
        <v>3304</v>
      </c>
      <c r="H810" s="1" t="s">
        <v>3305</v>
      </c>
      <c r="I810" s="1" t="s">
        <v>3306</v>
      </c>
      <c r="J810" s="1" t="s">
        <v>3307</v>
      </c>
      <c r="L810" s="1" t="s">
        <v>7</v>
      </c>
    </row>
    <row r="811" spans="1:12" ht="15.75" customHeight="1" x14ac:dyDescent="0.25">
      <c r="A811" s="1" t="s">
        <v>2590</v>
      </c>
      <c r="B811" s="21">
        <v>11</v>
      </c>
      <c r="C811" s="1" t="s">
        <v>3187</v>
      </c>
      <c r="D811" s="21">
        <v>34</v>
      </c>
      <c r="E811" s="1" t="s">
        <v>3188</v>
      </c>
      <c r="F811" s="21">
        <v>36</v>
      </c>
      <c r="G811" s="1" t="s">
        <v>3308</v>
      </c>
      <c r="H811" s="1" t="s">
        <v>3309</v>
      </c>
      <c r="I811" s="1" t="s">
        <v>3310</v>
      </c>
      <c r="J811" s="1" t="s">
        <v>3311</v>
      </c>
      <c r="L811" s="1" t="s">
        <v>7</v>
      </c>
    </row>
    <row r="812" spans="1:12" ht="15.75" customHeight="1" x14ac:dyDescent="0.25">
      <c r="A812" s="1" t="s">
        <v>2590</v>
      </c>
      <c r="B812" s="21">
        <v>11</v>
      </c>
      <c r="C812" s="1" t="s">
        <v>3187</v>
      </c>
      <c r="D812" s="21">
        <v>34</v>
      </c>
      <c r="E812" s="1" t="s">
        <v>3188</v>
      </c>
      <c r="F812" s="21">
        <v>37</v>
      </c>
      <c r="G812" s="1" t="s">
        <v>3312</v>
      </c>
      <c r="H812" s="1" t="s">
        <v>3313</v>
      </c>
      <c r="I812" s="1" t="s">
        <v>3314</v>
      </c>
      <c r="J812" s="1" t="s">
        <v>3066</v>
      </c>
      <c r="L812" s="1" t="s">
        <v>8</v>
      </c>
    </row>
    <row r="813" spans="1:12" ht="15.75" customHeight="1" x14ac:dyDescent="0.25">
      <c r="A813" s="1" t="s">
        <v>2590</v>
      </c>
      <c r="B813" s="21">
        <v>11</v>
      </c>
      <c r="C813" s="1" t="s">
        <v>3187</v>
      </c>
      <c r="D813" s="21">
        <v>34</v>
      </c>
      <c r="E813" s="1" t="s">
        <v>3188</v>
      </c>
      <c r="F813" s="21">
        <v>38</v>
      </c>
      <c r="G813" s="1" t="s">
        <v>3315</v>
      </c>
      <c r="H813" s="1" t="s">
        <v>3316</v>
      </c>
      <c r="I813" s="1" t="s">
        <v>3317</v>
      </c>
      <c r="J813" s="1" t="s">
        <v>3318</v>
      </c>
      <c r="L813" s="1" t="s">
        <v>7</v>
      </c>
    </row>
    <row r="814" spans="1:12" ht="15.75" customHeight="1" x14ac:dyDescent="0.25">
      <c r="A814" s="1" t="s">
        <v>2590</v>
      </c>
      <c r="B814" s="21">
        <v>11</v>
      </c>
      <c r="C814" s="1" t="s">
        <v>3187</v>
      </c>
      <c r="D814" s="21">
        <v>34</v>
      </c>
      <c r="E814" s="1" t="s">
        <v>3188</v>
      </c>
      <c r="F814" s="21">
        <v>39</v>
      </c>
      <c r="G814" s="1" t="s">
        <v>3319</v>
      </c>
      <c r="H814" s="1" t="s">
        <v>3203</v>
      </c>
      <c r="I814" s="1" t="s">
        <v>3204</v>
      </c>
      <c r="J814" s="1" t="s">
        <v>3205</v>
      </c>
      <c r="L814" s="1" t="s">
        <v>7</v>
      </c>
    </row>
    <row r="815" spans="1:12" ht="15.75" customHeight="1" x14ac:dyDescent="0.25">
      <c r="A815" s="1" t="s">
        <v>2590</v>
      </c>
      <c r="B815" s="21">
        <v>11</v>
      </c>
      <c r="C815" s="1" t="s">
        <v>3187</v>
      </c>
      <c r="D815" s="21">
        <v>34</v>
      </c>
      <c r="E815" s="1" t="s">
        <v>3188</v>
      </c>
      <c r="F815" s="21">
        <v>40</v>
      </c>
      <c r="G815" s="1" t="s">
        <v>3320</v>
      </c>
      <c r="H815" s="1" t="s">
        <v>3321</v>
      </c>
      <c r="I815" s="1" t="s">
        <v>3322</v>
      </c>
      <c r="J815" s="1" t="s">
        <v>3323</v>
      </c>
      <c r="L815" s="1" t="s">
        <v>7</v>
      </c>
    </row>
    <row r="816" spans="1:12" ht="15.75" customHeight="1" x14ac:dyDescent="0.25">
      <c r="A816" s="1" t="s">
        <v>2590</v>
      </c>
      <c r="B816" s="21">
        <v>11</v>
      </c>
      <c r="C816" s="1" t="s">
        <v>3187</v>
      </c>
      <c r="D816" s="21">
        <v>34</v>
      </c>
      <c r="E816" s="1" t="s">
        <v>3188</v>
      </c>
      <c r="F816" s="21">
        <v>41</v>
      </c>
      <c r="G816" s="1" t="s">
        <v>3324</v>
      </c>
      <c r="H816" s="1" t="s">
        <v>3325</v>
      </c>
      <c r="I816" s="1" t="s">
        <v>3326</v>
      </c>
      <c r="J816" s="1" t="s">
        <v>3327</v>
      </c>
      <c r="L816" s="1" t="s">
        <v>9</v>
      </c>
    </row>
    <row r="817" spans="1:12" ht="15.75" customHeight="1" x14ac:dyDescent="0.25">
      <c r="A817" s="1" t="s">
        <v>2590</v>
      </c>
      <c r="B817" s="21">
        <v>11</v>
      </c>
      <c r="C817" s="1" t="s">
        <v>3187</v>
      </c>
      <c r="D817" s="21">
        <v>34</v>
      </c>
      <c r="E817" s="1" t="s">
        <v>3188</v>
      </c>
      <c r="F817" s="21">
        <v>43</v>
      </c>
      <c r="G817" s="1" t="s">
        <v>3328</v>
      </c>
      <c r="H817" s="1" t="s">
        <v>3329</v>
      </c>
      <c r="I817" s="1" t="s">
        <v>3330</v>
      </c>
      <c r="J817" s="1" t="s">
        <v>3331</v>
      </c>
      <c r="L817" s="1" t="s">
        <v>9</v>
      </c>
    </row>
    <row r="818" spans="1:12" ht="15.75" customHeight="1" x14ac:dyDescent="0.25">
      <c r="A818" s="1" t="s">
        <v>2590</v>
      </c>
      <c r="B818" s="21">
        <v>11</v>
      </c>
      <c r="C818" s="1" t="s">
        <v>3187</v>
      </c>
      <c r="D818" s="21">
        <v>34</v>
      </c>
      <c r="E818" s="1" t="s">
        <v>3188</v>
      </c>
      <c r="F818" s="21">
        <v>45</v>
      </c>
      <c r="G818" s="1" t="s">
        <v>3332</v>
      </c>
      <c r="H818" s="1" t="s">
        <v>3333</v>
      </c>
      <c r="I818" s="1" t="s">
        <v>3334</v>
      </c>
      <c r="J818" s="1" t="s">
        <v>28</v>
      </c>
      <c r="L818" s="1" t="s">
        <v>9</v>
      </c>
    </row>
    <row r="819" spans="1:12" ht="15.75" customHeight="1" x14ac:dyDescent="0.25">
      <c r="A819" s="1" t="s">
        <v>2590</v>
      </c>
      <c r="B819" s="21">
        <v>11</v>
      </c>
      <c r="C819" s="1" t="s">
        <v>3187</v>
      </c>
      <c r="D819" s="21">
        <v>34</v>
      </c>
      <c r="E819" s="1" t="s">
        <v>3188</v>
      </c>
      <c r="F819" s="21">
        <v>46</v>
      </c>
      <c r="G819" s="1" t="s">
        <v>3335</v>
      </c>
      <c r="H819" s="1" t="s">
        <v>3336</v>
      </c>
      <c r="I819" s="1" t="s">
        <v>3337</v>
      </c>
      <c r="J819" s="1" t="s">
        <v>3066</v>
      </c>
      <c r="L819" s="1" t="s">
        <v>9</v>
      </c>
    </row>
    <row r="820" spans="1:12" ht="15.75" customHeight="1" x14ac:dyDescent="0.25">
      <c r="A820" s="1" t="s">
        <v>2590</v>
      </c>
      <c r="B820" s="21">
        <v>11</v>
      </c>
      <c r="C820" s="1" t="s">
        <v>3187</v>
      </c>
      <c r="D820" s="21">
        <v>34</v>
      </c>
      <c r="E820" s="1" t="s">
        <v>3188</v>
      </c>
      <c r="F820" s="21">
        <v>47</v>
      </c>
      <c r="G820" s="1" t="s">
        <v>3338</v>
      </c>
      <c r="H820" s="1" t="s">
        <v>3339</v>
      </c>
      <c r="I820" s="1" t="s">
        <v>3340</v>
      </c>
      <c r="J820" s="1" t="s">
        <v>28</v>
      </c>
      <c r="L820" s="1" t="s">
        <v>7</v>
      </c>
    </row>
    <row r="821" spans="1:12" ht="15.75" customHeight="1" x14ac:dyDescent="0.25">
      <c r="A821" s="1" t="s">
        <v>2590</v>
      </c>
      <c r="B821" s="21">
        <v>11</v>
      </c>
      <c r="C821" s="1" t="s">
        <v>3187</v>
      </c>
      <c r="D821" s="21">
        <v>34</v>
      </c>
      <c r="E821" s="1" t="s">
        <v>3188</v>
      </c>
      <c r="F821" s="21">
        <v>48</v>
      </c>
      <c r="G821" s="1" t="s">
        <v>3341</v>
      </c>
      <c r="H821" s="1" t="s">
        <v>3342</v>
      </c>
      <c r="I821" s="1" t="s">
        <v>3343</v>
      </c>
      <c r="J821" s="1" t="s">
        <v>3344</v>
      </c>
      <c r="L821" s="1" t="s">
        <v>8</v>
      </c>
    </row>
    <row r="822" spans="1:12" ht="15.75" customHeight="1" x14ac:dyDescent="0.25">
      <c r="A822" s="1" t="s">
        <v>2590</v>
      </c>
      <c r="B822" s="21">
        <v>11</v>
      </c>
      <c r="C822" s="1" t="s">
        <v>3187</v>
      </c>
      <c r="D822" s="21">
        <v>34</v>
      </c>
      <c r="E822" s="1" t="s">
        <v>3188</v>
      </c>
      <c r="F822" s="21">
        <v>49</v>
      </c>
      <c r="G822" s="1" t="s">
        <v>3345</v>
      </c>
      <c r="H822" s="1" t="s">
        <v>3346</v>
      </c>
      <c r="I822" s="1" t="s">
        <v>3347</v>
      </c>
      <c r="J822" s="1" t="s">
        <v>3348</v>
      </c>
      <c r="L822" s="1" t="s">
        <v>9</v>
      </c>
    </row>
    <row r="823" spans="1:12" ht="15.75" customHeight="1" x14ac:dyDescent="0.25">
      <c r="A823" s="1" t="s">
        <v>2590</v>
      </c>
      <c r="B823" s="21">
        <v>11</v>
      </c>
      <c r="C823" s="1" t="s">
        <v>3187</v>
      </c>
      <c r="D823" s="21">
        <v>34</v>
      </c>
      <c r="E823" s="1" t="s">
        <v>3188</v>
      </c>
      <c r="F823" s="21">
        <v>50</v>
      </c>
      <c r="G823" s="1" t="s">
        <v>3349</v>
      </c>
      <c r="H823" s="1" t="s">
        <v>3350</v>
      </c>
      <c r="I823" s="1" t="s">
        <v>3351</v>
      </c>
      <c r="J823" s="1" t="s">
        <v>3066</v>
      </c>
      <c r="L823" s="1" t="s">
        <v>9</v>
      </c>
    </row>
    <row r="824" spans="1:12" ht="15.75" customHeight="1" x14ac:dyDescent="0.25">
      <c r="A824" s="1" t="s">
        <v>2590</v>
      </c>
      <c r="B824" s="21">
        <v>12</v>
      </c>
      <c r="C824" s="1" t="s">
        <v>3352</v>
      </c>
      <c r="D824" s="21">
        <v>35</v>
      </c>
      <c r="E824" s="1" t="s">
        <v>3353</v>
      </c>
      <c r="F824" s="21">
        <v>1</v>
      </c>
      <c r="G824" s="1" t="s">
        <v>3354</v>
      </c>
      <c r="H824" s="1" t="s">
        <v>3355</v>
      </c>
      <c r="I824" s="1" t="s">
        <v>3356</v>
      </c>
      <c r="J824" s="1" t="s">
        <v>3357</v>
      </c>
      <c r="L824" s="1" t="s">
        <v>8</v>
      </c>
    </row>
    <row r="825" spans="1:12" ht="15.75" customHeight="1" x14ac:dyDescent="0.25">
      <c r="A825" s="1" t="s">
        <v>2590</v>
      </c>
      <c r="B825" s="21">
        <v>12</v>
      </c>
      <c r="C825" s="1" t="s">
        <v>3352</v>
      </c>
      <c r="D825" s="21">
        <v>35</v>
      </c>
      <c r="E825" s="1" t="s">
        <v>3353</v>
      </c>
      <c r="F825" s="21">
        <v>2</v>
      </c>
      <c r="G825" s="1" t="s">
        <v>3358</v>
      </c>
      <c r="H825" s="1" t="s">
        <v>3359</v>
      </c>
      <c r="I825" s="1" t="s">
        <v>3360</v>
      </c>
      <c r="J825" s="1" t="s">
        <v>3361</v>
      </c>
      <c r="L825" s="1" t="s">
        <v>9</v>
      </c>
    </row>
    <row r="826" spans="1:12" ht="15.75" customHeight="1" x14ac:dyDescent="0.25">
      <c r="A826" s="1" t="s">
        <v>2590</v>
      </c>
      <c r="B826" s="21">
        <v>12</v>
      </c>
      <c r="C826" s="1" t="s">
        <v>3352</v>
      </c>
      <c r="D826" s="21">
        <v>35</v>
      </c>
      <c r="E826" s="1" t="s">
        <v>3353</v>
      </c>
      <c r="F826" s="21">
        <v>3</v>
      </c>
      <c r="G826" s="1" t="s">
        <v>3362</v>
      </c>
      <c r="H826" s="1" t="s">
        <v>3363</v>
      </c>
      <c r="I826" s="1" t="s">
        <v>3364</v>
      </c>
      <c r="J826" s="1" t="s">
        <v>3365</v>
      </c>
      <c r="L826" s="1" t="s">
        <v>8</v>
      </c>
    </row>
    <row r="827" spans="1:12" ht="15.75" customHeight="1" x14ac:dyDescent="0.25">
      <c r="A827" s="1" t="s">
        <v>2590</v>
      </c>
      <c r="B827" s="21">
        <v>12</v>
      </c>
      <c r="C827" s="1" t="s">
        <v>3352</v>
      </c>
      <c r="D827" s="21">
        <v>35</v>
      </c>
      <c r="E827" s="1" t="s">
        <v>3353</v>
      </c>
      <c r="F827" s="21">
        <v>4</v>
      </c>
      <c r="G827" s="1" t="s">
        <v>3366</v>
      </c>
      <c r="H827" s="1" t="s">
        <v>3367</v>
      </c>
      <c r="I827" s="1" t="s">
        <v>3368</v>
      </c>
      <c r="J827" s="1" t="s">
        <v>3369</v>
      </c>
      <c r="L827" s="1" t="s">
        <v>8</v>
      </c>
    </row>
    <row r="828" spans="1:12" ht="15.75" customHeight="1" x14ac:dyDescent="0.25">
      <c r="A828" s="1" t="s">
        <v>2590</v>
      </c>
      <c r="B828" s="21">
        <v>12</v>
      </c>
      <c r="C828" s="1" t="s">
        <v>3352</v>
      </c>
      <c r="D828" s="21">
        <v>35</v>
      </c>
      <c r="E828" s="1" t="s">
        <v>3353</v>
      </c>
      <c r="F828" s="21">
        <v>5</v>
      </c>
      <c r="G828" s="1" t="s">
        <v>3370</v>
      </c>
      <c r="H828" s="1" t="s">
        <v>3371</v>
      </c>
      <c r="I828" s="1" t="s">
        <v>3372</v>
      </c>
      <c r="J828" s="1" t="s">
        <v>3373</v>
      </c>
      <c r="L828" s="1" t="s">
        <v>8</v>
      </c>
    </row>
    <row r="829" spans="1:12" ht="15.75" customHeight="1" x14ac:dyDescent="0.25">
      <c r="A829" s="1" t="s">
        <v>2590</v>
      </c>
      <c r="B829" s="21">
        <v>12</v>
      </c>
      <c r="C829" s="1" t="s">
        <v>3352</v>
      </c>
      <c r="D829" s="21">
        <v>35</v>
      </c>
      <c r="E829" s="1" t="s">
        <v>3353</v>
      </c>
      <c r="F829" s="21">
        <v>6</v>
      </c>
      <c r="G829" s="1" t="s">
        <v>3374</v>
      </c>
      <c r="H829" s="1" t="s">
        <v>3375</v>
      </c>
      <c r="I829" s="1" t="s">
        <v>3376</v>
      </c>
      <c r="J829" s="1" t="s">
        <v>3377</v>
      </c>
      <c r="L829" s="1" t="s">
        <v>7</v>
      </c>
    </row>
    <row r="830" spans="1:12" ht="15.75" customHeight="1" x14ac:dyDescent="0.25">
      <c r="A830" s="1" t="s">
        <v>2590</v>
      </c>
      <c r="B830" s="21">
        <v>12</v>
      </c>
      <c r="C830" s="1" t="s">
        <v>3352</v>
      </c>
      <c r="D830" s="21">
        <v>35</v>
      </c>
      <c r="E830" s="1" t="s">
        <v>3353</v>
      </c>
      <c r="F830" s="21">
        <v>7</v>
      </c>
      <c r="G830" s="1" t="s">
        <v>3378</v>
      </c>
      <c r="H830" s="1" t="s">
        <v>3379</v>
      </c>
      <c r="I830" s="1" t="s">
        <v>3380</v>
      </c>
      <c r="J830" s="1" t="s">
        <v>3381</v>
      </c>
      <c r="L830" s="1" t="s">
        <v>9</v>
      </c>
    </row>
    <row r="831" spans="1:12" ht="15.75" customHeight="1" x14ac:dyDescent="0.25">
      <c r="A831" s="1" t="s">
        <v>2590</v>
      </c>
      <c r="B831" s="21">
        <v>12</v>
      </c>
      <c r="C831" s="1" t="s">
        <v>3352</v>
      </c>
      <c r="D831" s="21">
        <v>35</v>
      </c>
      <c r="E831" s="1" t="s">
        <v>3353</v>
      </c>
      <c r="F831" s="21">
        <v>8</v>
      </c>
      <c r="G831" s="1" t="s">
        <v>3382</v>
      </c>
      <c r="H831" s="1" t="s">
        <v>3383</v>
      </c>
      <c r="I831" s="1" t="s">
        <v>3384</v>
      </c>
      <c r="J831" s="1" t="s">
        <v>3385</v>
      </c>
      <c r="L831" s="1" t="s">
        <v>9</v>
      </c>
    </row>
    <row r="832" spans="1:12" ht="15.75" customHeight="1" x14ac:dyDescent="0.25">
      <c r="A832" s="1" t="s">
        <v>2590</v>
      </c>
      <c r="B832" s="21">
        <v>12</v>
      </c>
      <c r="C832" s="1" t="s">
        <v>3352</v>
      </c>
      <c r="D832" s="21">
        <v>35</v>
      </c>
      <c r="E832" s="1" t="s">
        <v>3353</v>
      </c>
      <c r="F832" s="21">
        <v>9</v>
      </c>
      <c r="G832" s="1" t="s">
        <v>3386</v>
      </c>
      <c r="H832" s="1" t="s">
        <v>3387</v>
      </c>
      <c r="I832" s="1" t="s">
        <v>3388</v>
      </c>
      <c r="J832" s="1" t="s">
        <v>3389</v>
      </c>
      <c r="L832" s="1" t="s">
        <v>7</v>
      </c>
    </row>
    <row r="833" spans="1:12" ht="15.75" customHeight="1" x14ac:dyDescent="0.25">
      <c r="A833" s="1" t="s">
        <v>2590</v>
      </c>
      <c r="B833" s="21">
        <v>12</v>
      </c>
      <c r="C833" s="1" t="s">
        <v>3352</v>
      </c>
      <c r="D833" s="21">
        <v>35</v>
      </c>
      <c r="E833" s="1" t="s">
        <v>3353</v>
      </c>
      <c r="F833" s="21">
        <v>10</v>
      </c>
      <c r="G833" s="1" t="s">
        <v>3390</v>
      </c>
      <c r="H833" s="1" t="s">
        <v>3391</v>
      </c>
      <c r="I833" s="1" t="s">
        <v>3392</v>
      </c>
      <c r="J833" s="1" t="s">
        <v>3393</v>
      </c>
      <c r="L833" s="1" t="s">
        <v>8</v>
      </c>
    </row>
    <row r="834" spans="1:12" ht="15.75" customHeight="1" x14ac:dyDescent="0.25">
      <c r="A834" s="1" t="s">
        <v>2590</v>
      </c>
      <c r="B834" s="21">
        <v>12</v>
      </c>
      <c r="C834" s="1" t="s">
        <v>3352</v>
      </c>
      <c r="D834" s="21">
        <v>35</v>
      </c>
      <c r="E834" s="1" t="s">
        <v>3353</v>
      </c>
      <c r="F834" s="21">
        <v>11</v>
      </c>
      <c r="G834" s="1" t="s">
        <v>3394</v>
      </c>
      <c r="H834" s="1" t="s">
        <v>3395</v>
      </c>
      <c r="I834" s="1" t="s">
        <v>3396</v>
      </c>
      <c r="J834" s="1" t="s">
        <v>3397</v>
      </c>
      <c r="L834" s="1" t="s">
        <v>7</v>
      </c>
    </row>
    <row r="835" spans="1:12" ht="15.75" customHeight="1" x14ac:dyDescent="0.25">
      <c r="A835" s="1" t="s">
        <v>2590</v>
      </c>
      <c r="B835" s="21">
        <v>12</v>
      </c>
      <c r="C835" s="1" t="s">
        <v>3352</v>
      </c>
      <c r="D835" s="21">
        <v>35</v>
      </c>
      <c r="E835" s="1" t="s">
        <v>3353</v>
      </c>
      <c r="F835" s="21">
        <v>12</v>
      </c>
      <c r="G835" s="1" t="s">
        <v>3398</v>
      </c>
      <c r="H835" s="1" t="s">
        <v>3381</v>
      </c>
      <c r="I835" s="1" t="s">
        <v>3399</v>
      </c>
      <c r="J835" s="1" t="s">
        <v>3400</v>
      </c>
      <c r="L835" s="1" t="s">
        <v>7</v>
      </c>
    </row>
    <row r="836" spans="1:12" ht="15.75" customHeight="1" x14ac:dyDescent="0.25">
      <c r="A836" s="1" t="s">
        <v>2590</v>
      </c>
      <c r="B836" s="21">
        <v>12</v>
      </c>
      <c r="C836" s="1" t="s">
        <v>3352</v>
      </c>
      <c r="D836" s="21">
        <v>35</v>
      </c>
      <c r="E836" s="1" t="s">
        <v>3353</v>
      </c>
      <c r="F836" s="21">
        <v>13</v>
      </c>
      <c r="G836" s="1" t="s">
        <v>3401</v>
      </c>
      <c r="H836" s="1" t="s">
        <v>3402</v>
      </c>
      <c r="I836" s="1" t="s">
        <v>3403</v>
      </c>
      <c r="J836" s="1" t="s">
        <v>3404</v>
      </c>
      <c r="L836" s="1" t="s">
        <v>8</v>
      </c>
    </row>
    <row r="837" spans="1:12" ht="15.75" customHeight="1" x14ac:dyDescent="0.25">
      <c r="A837" s="1" t="s">
        <v>2590</v>
      </c>
      <c r="B837" s="21">
        <v>12</v>
      </c>
      <c r="C837" s="1" t="s">
        <v>3352</v>
      </c>
      <c r="D837" s="21">
        <v>35</v>
      </c>
      <c r="E837" s="1" t="s">
        <v>3353</v>
      </c>
      <c r="F837" s="21">
        <v>14</v>
      </c>
      <c r="G837" s="1" t="s">
        <v>3405</v>
      </c>
      <c r="H837" s="1" t="s">
        <v>3406</v>
      </c>
      <c r="I837" s="1" t="s">
        <v>3407</v>
      </c>
      <c r="J837" s="1" t="s">
        <v>3408</v>
      </c>
      <c r="L837" s="1" t="s">
        <v>9</v>
      </c>
    </row>
    <row r="838" spans="1:12" ht="15.75" customHeight="1" x14ac:dyDescent="0.25">
      <c r="A838" s="1" t="s">
        <v>2590</v>
      </c>
      <c r="B838" s="21">
        <v>12</v>
      </c>
      <c r="C838" s="1" t="s">
        <v>3352</v>
      </c>
      <c r="D838" s="21">
        <v>35</v>
      </c>
      <c r="E838" s="1" t="s">
        <v>3353</v>
      </c>
      <c r="F838" s="21">
        <v>15</v>
      </c>
      <c r="G838" s="1" t="s">
        <v>3409</v>
      </c>
      <c r="H838" s="1" t="s">
        <v>3410</v>
      </c>
      <c r="I838" s="1" t="s">
        <v>3411</v>
      </c>
      <c r="J838" s="1" t="s">
        <v>3412</v>
      </c>
      <c r="L838" s="1" t="s">
        <v>7</v>
      </c>
    </row>
    <row r="839" spans="1:12" ht="15.75" customHeight="1" x14ac:dyDescent="0.25">
      <c r="A839" s="1" t="s">
        <v>2590</v>
      </c>
      <c r="B839" s="21">
        <v>12</v>
      </c>
      <c r="C839" s="1" t="s">
        <v>3352</v>
      </c>
      <c r="D839" s="21">
        <v>35</v>
      </c>
      <c r="E839" s="1" t="s">
        <v>3353</v>
      </c>
      <c r="F839" s="21">
        <v>16</v>
      </c>
      <c r="G839" s="1" t="s">
        <v>3413</v>
      </c>
      <c r="H839" s="1" t="s">
        <v>2985</v>
      </c>
      <c r="I839" s="1" t="s">
        <v>3414</v>
      </c>
      <c r="J839" s="1" t="s">
        <v>3415</v>
      </c>
      <c r="L839" s="1" t="s">
        <v>9</v>
      </c>
    </row>
    <row r="840" spans="1:12" ht="15.75" customHeight="1" x14ac:dyDescent="0.25">
      <c r="A840" s="1" t="s">
        <v>2590</v>
      </c>
      <c r="B840" s="21">
        <v>12</v>
      </c>
      <c r="C840" s="1" t="s">
        <v>3352</v>
      </c>
      <c r="D840" s="21">
        <v>35</v>
      </c>
      <c r="E840" s="1" t="s">
        <v>3353</v>
      </c>
      <c r="F840" s="21">
        <v>17</v>
      </c>
      <c r="G840" s="1" t="s">
        <v>3416</v>
      </c>
      <c r="H840" s="1" t="s">
        <v>3417</v>
      </c>
      <c r="I840" s="1" t="s">
        <v>3418</v>
      </c>
      <c r="J840" s="1" t="s">
        <v>3419</v>
      </c>
      <c r="L840" s="1" t="s">
        <v>9</v>
      </c>
    </row>
    <row r="841" spans="1:12" ht="15.75" customHeight="1" x14ac:dyDescent="0.25">
      <c r="A841" s="1" t="s">
        <v>2590</v>
      </c>
      <c r="B841" s="21">
        <v>12</v>
      </c>
      <c r="C841" s="1" t="s">
        <v>3352</v>
      </c>
      <c r="D841" s="21">
        <v>35</v>
      </c>
      <c r="E841" s="1" t="s">
        <v>3353</v>
      </c>
      <c r="F841" s="21">
        <v>18</v>
      </c>
      <c r="G841" s="1" t="s">
        <v>3420</v>
      </c>
      <c r="H841" s="1" t="s">
        <v>3421</v>
      </c>
      <c r="I841" s="1" t="s">
        <v>3422</v>
      </c>
      <c r="J841" s="1" t="s">
        <v>3423</v>
      </c>
      <c r="L841" s="1" t="s">
        <v>9</v>
      </c>
    </row>
    <row r="842" spans="1:12" ht="15.75" customHeight="1" x14ac:dyDescent="0.25">
      <c r="A842" s="1" t="s">
        <v>2590</v>
      </c>
      <c r="B842" s="21">
        <v>12</v>
      </c>
      <c r="C842" s="1" t="s">
        <v>3352</v>
      </c>
      <c r="D842" s="21">
        <v>35</v>
      </c>
      <c r="E842" s="1" t="s">
        <v>3353</v>
      </c>
      <c r="F842" s="21">
        <v>19</v>
      </c>
      <c r="G842" s="1" t="s">
        <v>3424</v>
      </c>
      <c r="H842" s="1" t="s">
        <v>3425</v>
      </c>
      <c r="I842" s="1" t="s">
        <v>3426</v>
      </c>
      <c r="J842" s="1" t="s">
        <v>3427</v>
      </c>
      <c r="L842" s="1" t="s">
        <v>8</v>
      </c>
    </row>
    <row r="843" spans="1:12" ht="15.75" customHeight="1" x14ac:dyDescent="0.25">
      <c r="A843" s="1" t="s">
        <v>2590</v>
      </c>
      <c r="B843" s="21">
        <v>12</v>
      </c>
      <c r="C843" s="1" t="s">
        <v>3352</v>
      </c>
      <c r="D843" s="21">
        <v>35</v>
      </c>
      <c r="E843" s="1" t="s">
        <v>3353</v>
      </c>
      <c r="F843" s="21">
        <v>20</v>
      </c>
      <c r="G843" s="1" t="s">
        <v>3428</v>
      </c>
      <c r="H843" s="1" t="s">
        <v>3429</v>
      </c>
      <c r="I843" s="1" t="s">
        <v>3430</v>
      </c>
      <c r="J843" s="1" t="s">
        <v>3066</v>
      </c>
      <c r="L843" s="1" t="s">
        <v>9</v>
      </c>
    </row>
    <row r="844" spans="1:12" ht="15.75" customHeight="1" x14ac:dyDescent="0.25">
      <c r="A844" s="1" t="s">
        <v>2590</v>
      </c>
      <c r="B844" s="21">
        <v>12</v>
      </c>
      <c r="C844" s="1" t="s">
        <v>3352</v>
      </c>
      <c r="D844" s="21">
        <v>35</v>
      </c>
      <c r="E844" s="1" t="s">
        <v>3353</v>
      </c>
      <c r="F844" s="21">
        <v>21</v>
      </c>
      <c r="G844" s="1" t="s">
        <v>3431</v>
      </c>
      <c r="H844" s="1" t="s">
        <v>3432</v>
      </c>
      <c r="I844" s="1" t="s">
        <v>3433</v>
      </c>
      <c r="J844" s="1" t="s">
        <v>3434</v>
      </c>
      <c r="L844" s="1" t="s">
        <v>9</v>
      </c>
    </row>
    <row r="845" spans="1:12" ht="15.75" customHeight="1" x14ac:dyDescent="0.25">
      <c r="A845" s="1" t="s">
        <v>2590</v>
      </c>
      <c r="B845" s="21">
        <v>12</v>
      </c>
      <c r="C845" s="1" t="s">
        <v>3352</v>
      </c>
      <c r="D845" s="21">
        <v>35</v>
      </c>
      <c r="E845" s="1" t="s">
        <v>3353</v>
      </c>
      <c r="F845" s="21">
        <v>22</v>
      </c>
      <c r="G845" s="1" t="s">
        <v>3435</v>
      </c>
      <c r="H845" s="1" t="s">
        <v>3436</v>
      </c>
      <c r="I845" s="1" t="s">
        <v>3437</v>
      </c>
      <c r="J845" s="1" t="s">
        <v>3438</v>
      </c>
      <c r="L845" s="1" t="s">
        <v>8</v>
      </c>
    </row>
    <row r="846" spans="1:12" ht="15.75" customHeight="1" x14ac:dyDescent="0.25">
      <c r="A846" s="1" t="s">
        <v>2590</v>
      </c>
      <c r="B846" s="21">
        <v>12</v>
      </c>
      <c r="C846" s="1" t="s">
        <v>3352</v>
      </c>
      <c r="D846" s="21">
        <v>35</v>
      </c>
      <c r="E846" s="1" t="s">
        <v>3353</v>
      </c>
      <c r="F846" s="21">
        <v>23</v>
      </c>
      <c r="G846" s="1" t="s">
        <v>3439</v>
      </c>
      <c r="H846" s="1" t="s">
        <v>3440</v>
      </c>
      <c r="I846" s="1" t="s">
        <v>3441</v>
      </c>
      <c r="J846" s="1" t="s">
        <v>3442</v>
      </c>
      <c r="L846" s="1" t="s">
        <v>7</v>
      </c>
    </row>
    <row r="847" spans="1:12" ht="15.75" customHeight="1" x14ac:dyDescent="0.25">
      <c r="A847" s="1" t="s">
        <v>2590</v>
      </c>
      <c r="B847" s="21">
        <v>12</v>
      </c>
      <c r="C847" s="1" t="s">
        <v>3352</v>
      </c>
      <c r="D847" s="21">
        <v>35</v>
      </c>
      <c r="E847" s="1" t="s">
        <v>3353</v>
      </c>
      <c r="F847" s="21">
        <v>24</v>
      </c>
      <c r="G847" s="1" t="s">
        <v>3443</v>
      </c>
      <c r="H847" s="1" t="s">
        <v>3444</v>
      </c>
      <c r="I847" s="1" t="s">
        <v>3445</v>
      </c>
      <c r="J847" s="1" t="s">
        <v>3446</v>
      </c>
      <c r="L847" s="1" t="s">
        <v>9</v>
      </c>
    </row>
    <row r="848" spans="1:12" ht="15.75" customHeight="1" x14ac:dyDescent="0.25">
      <c r="A848" s="1" t="s">
        <v>2590</v>
      </c>
      <c r="B848" s="21">
        <v>12</v>
      </c>
      <c r="C848" s="1" t="s">
        <v>3352</v>
      </c>
      <c r="D848" s="21">
        <v>35</v>
      </c>
      <c r="E848" s="1" t="s">
        <v>3353</v>
      </c>
      <c r="F848" s="21">
        <v>25</v>
      </c>
      <c r="G848" s="1" t="s">
        <v>3447</v>
      </c>
      <c r="H848" s="1" t="s">
        <v>3448</v>
      </c>
      <c r="I848" s="1" t="s">
        <v>3449</v>
      </c>
      <c r="J848" s="1" t="s">
        <v>3450</v>
      </c>
      <c r="L848" s="1" t="s">
        <v>7</v>
      </c>
    </row>
    <row r="849" spans="1:12" ht="15.75" customHeight="1" x14ac:dyDescent="0.25">
      <c r="A849" s="1" t="s">
        <v>2590</v>
      </c>
      <c r="B849" s="21">
        <v>12</v>
      </c>
      <c r="C849" s="1" t="s">
        <v>3352</v>
      </c>
      <c r="D849" s="21">
        <v>35</v>
      </c>
      <c r="E849" s="1" t="s">
        <v>3353</v>
      </c>
      <c r="F849" s="21">
        <v>26</v>
      </c>
      <c r="G849" s="1" t="s">
        <v>3451</v>
      </c>
      <c r="H849" s="1" t="s">
        <v>3452</v>
      </c>
      <c r="I849" s="1" t="s">
        <v>3453</v>
      </c>
      <c r="J849" s="1" t="s">
        <v>3454</v>
      </c>
      <c r="L849" s="1" t="s">
        <v>9</v>
      </c>
    </row>
    <row r="850" spans="1:12" ht="15.75" customHeight="1" x14ac:dyDescent="0.25">
      <c r="A850" s="1" t="s">
        <v>2590</v>
      </c>
      <c r="B850" s="21">
        <v>12</v>
      </c>
      <c r="C850" s="1" t="s">
        <v>3352</v>
      </c>
      <c r="D850" s="21">
        <v>35</v>
      </c>
      <c r="E850" s="1" t="s">
        <v>3353</v>
      </c>
      <c r="F850" s="21">
        <v>27</v>
      </c>
      <c r="G850" s="1" t="s">
        <v>3455</v>
      </c>
      <c r="H850" s="1" t="s">
        <v>3456</v>
      </c>
      <c r="I850" s="1" t="s">
        <v>3457</v>
      </c>
      <c r="J850" s="1" t="s">
        <v>3458</v>
      </c>
      <c r="L850" s="1" t="s">
        <v>8</v>
      </c>
    </row>
    <row r="851" spans="1:12" ht="15.75" customHeight="1" x14ac:dyDescent="0.25">
      <c r="A851" s="1" t="s">
        <v>2590</v>
      </c>
      <c r="B851" s="21">
        <v>12</v>
      </c>
      <c r="C851" s="1" t="s">
        <v>3352</v>
      </c>
      <c r="D851" s="21">
        <v>35</v>
      </c>
      <c r="E851" s="1" t="s">
        <v>3353</v>
      </c>
      <c r="F851" s="21">
        <v>28</v>
      </c>
      <c r="G851" s="1" t="s">
        <v>3459</v>
      </c>
      <c r="H851" s="1" t="s">
        <v>3460</v>
      </c>
      <c r="I851" s="1" t="s">
        <v>3461</v>
      </c>
      <c r="J851" s="1" t="s">
        <v>3462</v>
      </c>
      <c r="L851" s="1" t="s">
        <v>8</v>
      </c>
    </row>
    <row r="852" spans="1:12" ht="15.75" customHeight="1" x14ac:dyDescent="0.25">
      <c r="A852" s="1" t="s">
        <v>2590</v>
      </c>
      <c r="B852" s="21">
        <v>12</v>
      </c>
      <c r="C852" s="1" t="s">
        <v>3352</v>
      </c>
      <c r="D852" s="21">
        <v>35</v>
      </c>
      <c r="E852" s="1" t="s">
        <v>3353</v>
      </c>
      <c r="F852" s="21">
        <v>29</v>
      </c>
      <c r="G852" s="1" t="s">
        <v>3463</v>
      </c>
      <c r="H852" s="1" t="s">
        <v>3464</v>
      </c>
      <c r="I852" s="1" t="s">
        <v>3465</v>
      </c>
      <c r="J852" s="1" t="s">
        <v>3466</v>
      </c>
      <c r="L852" s="1" t="s">
        <v>9</v>
      </c>
    </row>
    <row r="853" spans="1:12" ht="15.75" customHeight="1" x14ac:dyDescent="0.25">
      <c r="A853" s="1" t="s">
        <v>2590</v>
      </c>
      <c r="B853" s="21">
        <v>12</v>
      </c>
      <c r="C853" s="1" t="s">
        <v>3352</v>
      </c>
      <c r="D853" s="21">
        <v>35</v>
      </c>
      <c r="E853" s="1" t="s">
        <v>3353</v>
      </c>
      <c r="F853" s="21">
        <v>30</v>
      </c>
      <c r="G853" s="1" t="s">
        <v>3467</v>
      </c>
      <c r="H853" s="1" t="s">
        <v>3468</v>
      </c>
      <c r="I853" s="1" t="s">
        <v>3469</v>
      </c>
      <c r="J853" s="1" t="s">
        <v>130</v>
      </c>
      <c r="L853" s="1" t="s">
        <v>8</v>
      </c>
    </row>
    <row r="854" spans="1:12" ht="15.75" customHeight="1" x14ac:dyDescent="0.25">
      <c r="A854" s="1" t="s">
        <v>2590</v>
      </c>
      <c r="B854" s="21">
        <v>12</v>
      </c>
      <c r="C854" s="1" t="s">
        <v>3352</v>
      </c>
      <c r="D854" s="21">
        <v>36</v>
      </c>
      <c r="E854" s="1" t="s">
        <v>3470</v>
      </c>
      <c r="F854" s="21">
        <v>1</v>
      </c>
      <c r="G854" s="1" t="s">
        <v>3471</v>
      </c>
      <c r="H854" s="1" t="s">
        <v>3472</v>
      </c>
      <c r="I854" s="1" t="s">
        <v>3473</v>
      </c>
      <c r="J854" s="1" t="s">
        <v>3474</v>
      </c>
      <c r="L854" s="1" t="s">
        <v>7</v>
      </c>
    </row>
    <row r="855" spans="1:12" ht="15.75" customHeight="1" x14ac:dyDescent="0.25">
      <c r="A855" s="1" t="s">
        <v>2590</v>
      </c>
      <c r="B855" s="21">
        <v>12</v>
      </c>
      <c r="C855" s="1" t="s">
        <v>3352</v>
      </c>
      <c r="D855" s="21">
        <v>36</v>
      </c>
      <c r="E855" s="1" t="s">
        <v>3470</v>
      </c>
      <c r="F855" s="21">
        <v>2</v>
      </c>
      <c r="G855" s="1" t="s">
        <v>3475</v>
      </c>
      <c r="H855" s="1" t="s">
        <v>3476</v>
      </c>
      <c r="I855" s="1" t="s">
        <v>3477</v>
      </c>
      <c r="J855" s="1" t="s">
        <v>3478</v>
      </c>
      <c r="L855" s="1" t="s">
        <v>8</v>
      </c>
    </row>
    <row r="856" spans="1:12" ht="15.75" customHeight="1" x14ac:dyDescent="0.25">
      <c r="A856" s="1" t="s">
        <v>2590</v>
      </c>
      <c r="B856" s="21">
        <v>12</v>
      </c>
      <c r="C856" s="1" t="s">
        <v>3352</v>
      </c>
      <c r="D856" s="21">
        <v>36</v>
      </c>
      <c r="E856" s="1" t="s">
        <v>3470</v>
      </c>
      <c r="F856" s="21">
        <v>3</v>
      </c>
      <c r="G856" s="1" t="s">
        <v>3479</v>
      </c>
      <c r="H856" s="1" t="s">
        <v>3480</v>
      </c>
      <c r="I856" s="1" t="s">
        <v>3481</v>
      </c>
      <c r="J856" s="1" t="s">
        <v>3482</v>
      </c>
      <c r="L856" s="1" t="s">
        <v>7</v>
      </c>
    </row>
    <row r="857" spans="1:12" ht="15.75" customHeight="1" x14ac:dyDescent="0.25">
      <c r="A857" s="1" t="s">
        <v>2590</v>
      </c>
      <c r="B857" s="21">
        <v>12</v>
      </c>
      <c r="C857" s="1" t="s">
        <v>3352</v>
      </c>
      <c r="D857" s="21">
        <v>36</v>
      </c>
      <c r="E857" s="1" t="s">
        <v>3470</v>
      </c>
      <c r="F857" s="21">
        <v>4</v>
      </c>
      <c r="G857" s="1" t="s">
        <v>3483</v>
      </c>
      <c r="H857" s="1" t="s">
        <v>3484</v>
      </c>
      <c r="I857" s="1" t="s">
        <v>3485</v>
      </c>
      <c r="J857" s="1" t="s">
        <v>3486</v>
      </c>
      <c r="L857" s="1" t="s">
        <v>8</v>
      </c>
    </row>
    <row r="858" spans="1:12" ht="15.75" customHeight="1" x14ac:dyDescent="0.25">
      <c r="A858" s="1" t="s">
        <v>2590</v>
      </c>
      <c r="B858" s="21">
        <v>12</v>
      </c>
      <c r="C858" s="1" t="s">
        <v>3352</v>
      </c>
      <c r="D858" s="21">
        <v>36</v>
      </c>
      <c r="E858" s="1" t="s">
        <v>3470</v>
      </c>
      <c r="F858" s="21">
        <v>5</v>
      </c>
      <c r="G858" s="1" t="s">
        <v>3487</v>
      </c>
      <c r="H858" s="1" t="s">
        <v>3488</v>
      </c>
      <c r="I858" s="1" t="s">
        <v>3489</v>
      </c>
      <c r="J858" s="1" t="s">
        <v>3490</v>
      </c>
      <c r="L858" s="1" t="s">
        <v>8</v>
      </c>
    </row>
    <row r="859" spans="1:12" ht="15.75" customHeight="1" x14ac:dyDescent="0.25">
      <c r="A859" s="1" t="s">
        <v>2590</v>
      </c>
      <c r="B859" s="21">
        <v>12</v>
      </c>
      <c r="C859" s="1" t="s">
        <v>3352</v>
      </c>
      <c r="D859" s="21">
        <v>36</v>
      </c>
      <c r="E859" s="1" t="s">
        <v>3470</v>
      </c>
      <c r="F859" s="21">
        <v>6</v>
      </c>
      <c r="G859" s="1" t="s">
        <v>3491</v>
      </c>
      <c r="H859" s="1" t="s">
        <v>3492</v>
      </c>
      <c r="I859" s="1" t="s">
        <v>3493</v>
      </c>
      <c r="J859" s="1" t="s">
        <v>3494</v>
      </c>
      <c r="L859" s="1" t="s">
        <v>9</v>
      </c>
    </row>
    <row r="860" spans="1:12" ht="15.75" customHeight="1" x14ac:dyDescent="0.25">
      <c r="A860" s="1" t="s">
        <v>2590</v>
      </c>
      <c r="B860" s="21">
        <v>12</v>
      </c>
      <c r="C860" s="1" t="s">
        <v>3352</v>
      </c>
      <c r="D860" s="21">
        <v>36</v>
      </c>
      <c r="E860" s="1" t="s">
        <v>3470</v>
      </c>
      <c r="F860" s="21">
        <v>7</v>
      </c>
      <c r="G860" s="1" t="s">
        <v>3495</v>
      </c>
      <c r="H860" s="1" t="s">
        <v>3496</v>
      </c>
      <c r="I860" s="1" t="s">
        <v>3497</v>
      </c>
      <c r="J860" s="1" t="s">
        <v>3057</v>
      </c>
      <c r="L860" s="1" t="s">
        <v>9</v>
      </c>
    </row>
    <row r="861" spans="1:12" ht="15.75" customHeight="1" x14ac:dyDescent="0.25">
      <c r="A861" s="1" t="s">
        <v>2590</v>
      </c>
      <c r="B861" s="21">
        <v>12</v>
      </c>
      <c r="C861" s="1" t="s">
        <v>3352</v>
      </c>
      <c r="D861" s="21">
        <v>36</v>
      </c>
      <c r="E861" s="1" t="s">
        <v>3470</v>
      </c>
      <c r="F861" s="21">
        <v>8</v>
      </c>
      <c r="G861" s="1" t="s">
        <v>3498</v>
      </c>
      <c r="H861" s="1" t="s">
        <v>3499</v>
      </c>
      <c r="I861" s="1" t="s">
        <v>3500</v>
      </c>
      <c r="J861" s="1" t="s">
        <v>3501</v>
      </c>
      <c r="L861" s="1" t="s">
        <v>7</v>
      </c>
    </row>
    <row r="862" spans="1:12" ht="15.75" customHeight="1" x14ac:dyDescent="0.25">
      <c r="A862" s="1" t="s">
        <v>2590</v>
      </c>
      <c r="B862" s="21">
        <v>12</v>
      </c>
      <c r="C862" s="1" t="s">
        <v>3352</v>
      </c>
      <c r="D862" s="21">
        <v>36</v>
      </c>
      <c r="E862" s="1" t="s">
        <v>3470</v>
      </c>
      <c r="F862" s="21">
        <v>9</v>
      </c>
      <c r="G862" s="1" t="s">
        <v>3502</v>
      </c>
      <c r="H862" s="1" t="s">
        <v>2979</v>
      </c>
      <c r="I862" s="1" t="s">
        <v>3503</v>
      </c>
      <c r="J862" s="1" t="s">
        <v>3504</v>
      </c>
      <c r="L862" s="1" t="s">
        <v>7</v>
      </c>
    </row>
    <row r="863" spans="1:12" ht="15.75" customHeight="1" x14ac:dyDescent="0.25">
      <c r="A863" s="1" t="s">
        <v>2590</v>
      </c>
      <c r="B863" s="21">
        <v>12</v>
      </c>
      <c r="C863" s="1" t="s">
        <v>3352</v>
      </c>
      <c r="D863" s="21">
        <v>36</v>
      </c>
      <c r="E863" s="1" t="s">
        <v>3470</v>
      </c>
      <c r="F863" s="21">
        <v>10</v>
      </c>
      <c r="G863" s="1" t="s">
        <v>3505</v>
      </c>
      <c r="H863" s="1" t="s">
        <v>3506</v>
      </c>
      <c r="I863" s="1" t="s">
        <v>3507</v>
      </c>
      <c r="J863" s="1" t="s">
        <v>3508</v>
      </c>
      <c r="L863" s="1" t="s">
        <v>9</v>
      </c>
    </row>
    <row r="864" spans="1:12" ht="15.75" customHeight="1" x14ac:dyDescent="0.25">
      <c r="A864" s="1" t="s">
        <v>2590</v>
      </c>
      <c r="B864" s="21">
        <v>12</v>
      </c>
      <c r="C864" s="1" t="s">
        <v>3352</v>
      </c>
      <c r="D864" s="21">
        <v>36</v>
      </c>
      <c r="E864" s="1" t="s">
        <v>3470</v>
      </c>
      <c r="F864" s="21">
        <v>11</v>
      </c>
      <c r="G864" s="1" t="s">
        <v>3509</v>
      </c>
      <c r="H864" s="1" t="s">
        <v>3510</v>
      </c>
      <c r="I864" s="1" t="s">
        <v>3511</v>
      </c>
      <c r="J864" s="1" t="s">
        <v>3512</v>
      </c>
      <c r="L864" s="1" t="s">
        <v>9</v>
      </c>
    </row>
    <row r="865" spans="1:12" ht="15.75" customHeight="1" x14ac:dyDescent="0.25">
      <c r="A865" s="1" t="s">
        <v>2590</v>
      </c>
      <c r="B865" s="21">
        <v>12</v>
      </c>
      <c r="C865" s="1" t="s">
        <v>3352</v>
      </c>
      <c r="D865" s="21">
        <v>36</v>
      </c>
      <c r="E865" s="1" t="s">
        <v>3470</v>
      </c>
      <c r="F865" s="21">
        <v>12</v>
      </c>
      <c r="G865" s="1" t="s">
        <v>3513</v>
      </c>
      <c r="H865" s="1" t="s">
        <v>3419</v>
      </c>
      <c r="I865" s="1" t="s">
        <v>3418</v>
      </c>
      <c r="J865" s="1" t="s">
        <v>3514</v>
      </c>
      <c r="L865" s="1" t="s">
        <v>8</v>
      </c>
    </row>
    <row r="866" spans="1:12" ht="15.75" customHeight="1" x14ac:dyDescent="0.25">
      <c r="A866" s="1" t="s">
        <v>2590</v>
      </c>
      <c r="B866" s="21">
        <v>12</v>
      </c>
      <c r="C866" s="1" t="s">
        <v>3352</v>
      </c>
      <c r="D866" s="21">
        <v>36</v>
      </c>
      <c r="E866" s="1" t="s">
        <v>3470</v>
      </c>
      <c r="F866" s="21">
        <v>13</v>
      </c>
      <c r="G866" s="1" t="s">
        <v>3515</v>
      </c>
      <c r="H866" s="1" t="s">
        <v>3516</v>
      </c>
      <c r="I866" s="1" t="s">
        <v>3517</v>
      </c>
      <c r="J866" s="1" t="s">
        <v>3518</v>
      </c>
      <c r="L866" s="1" t="s">
        <v>7</v>
      </c>
    </row>
    <row r="867" spans="1:12" ht="15.75" customHeight="1" x14ac:dyDescent="0.25">
      <c r="A867" s="1" t="s">
        <v>2590</v>
      </c>
      <c r="B867" s="21">
        <v>12</v>
      </c>
      <c r="C867" s="1" t="s">
        <v>3352</v>
      </c>
      <c r="D867" s="21">
        <v>36</v>
      </c>
      <c r="E867" s="1" t="s">
        <v>3470</v>
      </c>
      <c r="F867" s="21">
        <v>14</v>
      </c>
      <c r="G867" s="1" t="s">
        <v>3519</v>
      </c>
      <c r="H867" s="1" t="s">
        <v>3520</v>
      </c>
      <c r="I867" s="1" t="s">
        <v>3521</v>
      </c>
      <c r="J867" s="1" t="s">
        <v>3522</v>
      </c>
      <c r="L867" s="1" t="s">
        <v>9</v>
      </c>
    </row>
    <row r="868" spans="1:12" ht="15.75" customHeight="1" x14ac:dyDescent="0.25">
      <c r="A868" s="1" t="s">
        <v>2590</v>
      </c>
      <c r="B868" s="21">
        <v>12</v>
      </c>
      <c r="C868" s="1" t="s">
        <v>3352</v>
      </c>
      <c r="D868" s="21">
        <v>36</v>
      </c>
      <c r="E868" s="1" t="s">
        <v>3470</v>
      </c>
      <c r="F868" s="21">
        <v>15</v>
      </c>
      <c r="G868" s="1" t="s">
        <v>3523</v>
      </c>
      <c r="H868" s="1" t="s">
        <v>3524</v>
      </c>
      <c r="I868" s="1" t="s">
        <v>3525</v>
      </c>
      <c r="J868" s="1" t="s">
        <v>3526</v>
      </c>
      <c r="L868" s="1" t="s">
        <v>9</v>
      </c>
    </row>
    <row r="869" spans="1:12" ht="15.75" customHeight="1" x14ac:dyDescent="0.25">
      <c r="A869" s="1" t="s">
        <v>2590</v>
      </c>
      <c r="B869" s="21">
        <v>12</v>
      </c>
      <c r="C869" s="1" t="s">
        <v>3352</v>
      </c>
      <c r="D869" s="21">
        <v>36</v>
      </c>
      <c r="E869" s="1" t="s">
        <v>3470</v>
      </c>
      <c r="F869" s="21">
        <v>16</v>
      </c>
      <c r="G869" s="1" t="s">
        <v>3527</v>
      </c>
      <c r="H869" s="1" t="s">
        <v>3528</v>
      </c>
      <c r="I869" s="1" t="s">
        <v>3529</v>
      </c>
      <c r="J869" s="1" t="s">
        <v>3530</v>
      </c>
      <c r="L869" s="1" t="s">
        <v>8</v>
      </c>
    </row>
    <row r="870" spans="1:12" ht="15.75" customHeight="1" x14ac:dyDescent="0.25">
      <c r="A870" s="1" t="s">
        <v>2590</v>
      </c>
      <c r="B870" s="21">
        <v>12</v>
      </c>
      <c r="C870" s="1" t="s">
        <v>3352</v>
      </c>
      <c r="D870" s="21">
        <v>36</v>
      </c>
      <c r="E870" s="1" t="s">
        <v>3470</v>
      </c>
      <c r="F870" s="21">
        <v>17</v>
      </c>
      <c r="G870" s="1" t="s">
        <v>3531</v>
      </c>
      <c r="H870" s="1" t="s">
        <v>3532</v>
      </c>
      <c r="I870" s="1" t="s">
        <v>3533</v>
      </c>
      <c r="J870" s="1" t="s">
        <v>3534</v>
      </c>
      <c r="L870" s="1" t="s">
        <v>7</v>
      </c>
    </row>
    <row r="871" spans="1:12" ht="15.75" customHeight="1" x14ac:dyDescent="0.25">
      <c r="A871" s="1" t="s">
        <v>2590</v>
      </c>
      <c r="B871" s="21">
        <v>12</v>
      </c>
      <c r="C871" s="1" t="s">
        <v>3352</v>
      </c>
      <c r="D871" s="21">
        <v>36</v>
      </c>
      <c r="E871" s="1" t="s">
        <v>3470</v>
      </c>
      <c r="F871" s="21">
        <v>18</v>
      </c>
      <c r="G871" s="1" t="s">
        <v>3535</v>
      </c>
      <c r="H871" s="1" t="s">
        <v>3536</v>
      </c>
      <c r="I871" s="1" t="s">
        <v>3537</v>
      </c>
      <c r="J871" s="1" t="s">
        <v>3538</v>
      </c>
      <c r="L871" s="1" t="s">
        <v>9</v>
      </c>
    </row>
    <row r="872" spans="1:12" ht="15.75" customHeight="1" x14ac:dyDescent="0.25">
      <c r="A872" s="1" t="s">
        <v>2590</v>
      </c>
      <c r="B872" s="21">
        <v>12</v>
      </c>
      <c r="C872" s="1" t="s">
        <v>3352</v>
      </c>
      <c r="D872" s="21">
        <v>36</v>
      </c>
      <c r="E872" s="1" t="s">
        <v>3470</v>
      </c>
      <c r="F872" s="21">
        <v>19</v>
      </c>
      <c r="G872" s="1" t="s">
        <v>3539</v>
      </c>
      <c r="H872" s="1" t="s">
        <v>3540</v>
      </c>
      <c r="I872" s="1" t="s">
        <v>3541</v>
      </c>
      <c r="J872" s="1" t="s">
        <v>3542</v>
      </c>
      <c r="L872" s="1" t="s">
        <v>8</v>
      </c>
    </row>
    <row r="873" spans="1:12" ht="15.75" customHeight="1" x14ac:dyDescent="0.25">
      <c r="A873" s="1" t="s">
        <v>2590</v>
      </c>
      <c r="B873" s="21">
        <v>12</v>
      </c>
      <c r="C873" s="1" t="s">
        <v>3352</v>
      </c>
      <c r="D873" s="21">
        <v>36</v>
      </c>
      <c r="E873" s="1" t="s">
        <v>3470</v>
      </c>
      <c r="F873" s="21">
        <v>20</v>
      </c>
      <c r="G873" s="1" t="s">
        <v>3543</v>
      </c>
      <c r="H873" s="1" t="s">
        <v>3544</v>
      </c>
      <c r="I873" s="1" t="s">
        <v>3545</v>
      </c>
      <c r="J873" s="1" t="s">
        <v>3546</v>
      </c>
      <c r="L873" s="1" t="s">
        <v>7</v>
      </c>
    </row>
    <row r="874" spans="1:12" ht="15.75" customHeight="1" x14ac:dyDescent="0.25">
      <c r="A874" s="1" t="s">
        <v>2590</v>
      </c>
      <c r="B874" s="21">
        <v>12</v>
      </c>
      <c r="C874" s="1" t="s">
        <v>3352</v>
      </c>
      <c r="D874" s="21">
        <v>36</v>
      </c>
      <c r="E874" s="1" t="s">
        <v>3470</v>
      </c>
      <c r="F874" s="21">
        <v>21</v>
      </c>
      <c r="G874" s="1" t="s">
        <v>3547</v>
      </c>
      <c r="H874" s="1" t="s">
        <v>3548</v>
      </c>
      <c r="I874" s="1" t="s">
        <v>3549</v>
      </c>
      <c r="J874" s="1" t="s">
        <v>3550</v>
      </c>
      <c r="L874" s="1" t="s">
        <v>7</v>
      </c>
    </row>
    <row r="875" spans="1:12" ht="15.75" customHeight="1" x14ac:dyDescent="0.25">
      <c r="A875" s="1" t="s">
        <v>2590</v>
      </c>
      <c r="B875" s="21">
        <v>12</v>
      </c>
      <c r="C875" s="1" t="s">
        <v>3352</v>
      </c>
      <c r="D875" s="21">
        <v>36</v>
      </c>
      <c r="E875" s="1" t="s">
        <v>3470</v>
      </c>
      <c r="F875" s="21">
        <v>23</v>
      </c>
      <c r="G875" s="1" t="s">
        <v>3551</v>
      </c>
      <c r="H875" s="1" t="s">
        <v>3552</v>
      </c>
      <c r="I875" s="1" t="s">
        <v>3553</v>
      </c>
      <c r="J875" s="1" t="s">
        <v>3554</v>
      </c>
      <c r="L875" s="1" t="s">
        <v>7</v>
      </c>
    </row>
    <row r="876" spans="1:12" ht="15.75" customHeight="1" x14ac:dyDescent="0.25">
      <c r="A876" s="1" t="s">
        <v>2590</v>
      </c>
      <c r="B876" s="21">
        <v>12</v>
      </c>
      <c r="C876" s="1" t="s">
        <v>3352</v>
      </c>
      <c r="D876" s="21">
        <v>36</v>
      </c>
      <c r="E876" s="1" t="s">
        <v>3470</v>
      </c>
      <c r="F876" s="21">
        <v>24</v>
      </c>
      <c r="G876" s="1" t="s">
        <v>3555</v>
      </c>
      <c r="H876" s="1" t="s">
        <v>3556</v>
      </c>
      <c r="I876" s="1" t="s">
        <v>3557</v>
      </c>
      <c r="J876" s="1" t="s">
        <v>3558</v>
      </c>
      <c r="L876" s="1" t="s">
        <v>8</v>
      </c>
    </row>
    <row r="877" spans="1:12" ht="15.75" customHeight="1" x14ac:dyDescent="0.25">
      <c r="A877" s="1" t="s">
        <v>2590</v>
      </c>
      <c r="B877" s="21">
        <v>12</v>
      </c>
      <c r="C877" s="1" t="s">
        <v>3352</v>
      </c>
      <c r="D877" s="21">
        <v>36</v>
      </c>
      <c r="E877" s="1" t="s">
        <v>3470</v>
      </c>
      <c r="F877" s="21">
        <v>25</v>
      </c>
      <c r="G877" s="1" t="s">
        <v>3559</v>
      </c>
      <c r="H877" s="1" t="s">
        <v>3560</v>
      </c>
      <c r="I877" s="1" t="s">
        <v>3561</v>
      </c>
      <c r="J877" s="1" t="s">
        <v>3562</v>
      </c>
      <c r="L877" s="1" t="s">
        <v>9</v>
      </c>
    </row>
    <row r="878" spans="1:12" ht="15.75" customHeight="1" x14ac:dyDescent="0.25">
      <c r="A878" s="1" t="s">
        <v>2590</v>
      </c>
      <c r="B878" s="21">
        <v>12</v>
      </c>
      <c r="C878" s="1" t="s">
        <v>3352</v>
      </c>
      <c r="D878" s="21">
        <v>36</v>
      </c>
      <c r="E878" s="1" t="s">
        <v>3470</v>
      </c>
      <c r="F878" s="21">
        <v>26</v>
      </c>
      <c r="G878" s="1" t="s">
        <v>3563</v>
      </c>
      <c r="H878" s="1" t="s">
        <v>3564</v>
      </c>
      <c r="I878" s="1" t="s">
        <v>3565</v>
      </c>
      <c r="J878" s="1" t="s">
        <v>3566</v>
      </c>
      <c r="L878" s="1" t="s">
        <v>7</v>
      </c>
    </row>
    <row r="879" spans="1:12" ht="15.75" customHeight="1" x14ac:dyDescent="0.25">
      <c r="A879" s="1" t="s">
        <v>2590</v>
      </c>
      <c r="B879" s="21">
        <v>12</v>
      </c>
      <c r="C879" s="1" t="s">
        <v>3352</v>
      </c>
      <c r="D879" s="21">
        <v>36</v>
      </c>
      <c r="E879" s="1" t="s">
        <v>3470</v>
      </c>
      <c r="F879" s="21">
        <v>27</v>
      </c>
      <c r="G879" s="1" t="s">
        <v>3567</v>
      </c>
      <c r="H879" s="1" t="s">
        <v>3568</v>
      </c>
      <c r="I879" s="1" t="s">
        <v>3569</v>
      </c>
      <c r="J879" s="1" t="s">
        <v>692</v>
      </c>
      <c r="L879" s="1" t="s">
        <v>7</v>
      </c>
    </row>
    <row r="880" spans="1:12" ht="15.75" customHeight="1" x14ac:dyDescent="0.25">
      <c r="A880" s="1" t="s">
        <v>2590</v>
      </c>
      <c r="B880" s="21">
        <v>12</v>
      </c>
      <c r="C880" s="1" t="s">
        <v>3352</v>
      </c>
      <c r="D880" s="21">
        <v>36</v>
      </c>
      <c r="E880" s="1" t="s">
        <v>3470</v>
      </c>
      <c r="F880" s="21">
        <v>29</v>
      </c>
      <c r="G880" s="1" t="s">
        <v>3570</v>
      </c>
      <c r="H880" s="1" t="s">
        <v>3571</v>
      </c>
      <c r="I880" s="1" t="s">
        <v>3572</v>
      </c>
      <c r="J880" s="1" t="s">
        <v>3573</v>
      </c>
      <c r="L880" s="1" t="s">
        <v>7</v>
      </c>
    </row>
    <row r="881" spans="1:12" ht="15.75" customHeight="1" x14ac:dyDescent="0.25">
      <c r="A881" s="1" t="s">
        <v>2590</v>
      </c>
      <c r="B881" s="21">
        <v>12</v>
      </c>
      <c r="C881" s="1" t="s">
        <v>3352</v>
      </c>
      <c r="D881" s="21">
        <v>36</v>
      </c>
      <c r="E881" s="1" t="s">
        <v>3470</v>
      </c>
      <c r="F881" s="21">
        <v>30</v>
      </c>
      <c r="G881" s="1" t="s">
        <v>3574</v>
      </c>
      <c r="H881" s="1" t="s">
        <v>3575</v>
      </c>
      <c r="I881" s="1" t="s">
        <v>3576</v>
      </c>
      <c r="J881" s="1" t="s">
        <v>3577</v>
      </c>
      <c r="L881" s="1" t="s">
        <v>8</v>
      </c>
    </row>
    <row r="882" spans="1:12" ht="15.75" customHeight="1" x14ac:dyDescent="0.25">
      <c r="A882" s="1" t="s">
        <v>2590</v>
      </c>
      <c r="B882" s="21">
        <v>12</v>
      </c>
      <c r="C882" s="1" t="s">
        <v>3352</v>
      </c>
      <c r="D882" s="21">
        <v>36</v>
      </c>
      <c r="E882" s="1" t="s">
        <v>3470</v>
      </c>
      <c r="F882" s="21">
        <v>31</v>
      </c>
      <c r="G882" s="1" t="s">
        <v>3578</v>
      </c>
      <c r="H882" s="1" t="s">
        <v>3579</v>
      </c>
      <c r="I882" s="1" t="s">
        <v>3580</v>
      </c>
      <c r="J882" s="1" t="s">
        <v>3581</v>
      </c>
      <c r="L882" s="1" t="s">
        <v>7</v>
      </c>
    </row>
    <row r="883" spans="1:12" ht="15.75" customHeight="1" x14ac:dyDescent="0.25">
      <c r="A883" s="1" t="s">
        <v>2590</v>
      </c>
      <c r="B883" s="21">
        <v>12</v>
      </c>
      <c r="C883" s="1" t="s">
        <v>3352</v>
      </c>
      <c r="D883" s="21">
        <v>36</v>
      </c>
      <c r="E883" s="1" t="s">
        <v>3470</v>
      </c>
      <c r="F883" s="21">
        <v>32</v>
      </c>
      <c r="G883" s="1" t="s">
        <v>3582</v>
      </c>
      <c r="H883" s="1" t="s">
        <v>3583</v>
      </c>
      <c r="I883" s="1" t="s">
        <v>3584</v>
      </c>
      <c r="J883" s="1" t="s">
        <v>3585</v>
      </c>
      <c r="L883" s="1" t="s">
        <v>9</v>
      </c>
    </row>
    <row r="884" spans="1:12" ht="15.75" customHeight="1" x14ac:dyDescent="0.25">
      <c r="A884" s="1" t="s">
        <v>2590</v>
      </c>
      <c r="B884" s="21">
        <v>12</v>
      </c>
      <c r="C884" s="1" t="s">
        <v>3352</v>
      </c>
      <c r="D884" s="21">
        <v>36</v>
      </c>
      <c r="E884" s="1" t="s">
        <v>3470</v>
      </c>
      <c r="F884" s="21">
        <v>33</v>
      </c>
      <c r="G884" s="1" t="s">
        <v>3586</v>
      </c>
      <c r="H884" s="1" t="s">
        <v>3587</v>
      </c>
      <c r="I884" s="1" t="s">
        <v>3588</v>
      </c>
      <c r="J884" s="1" t="s">
        <v>3589</v>
      </c>
      <c r="L884" s="1" t="s">
        <v>9</v>
      </c>
    </row>
    <row r="885" spans="1:12" ht="15.75" customHeight="1" x14ac:dyDescent="0.25">
      <c r="A885" s="1" t="s">
        <v>2590</v>
      </c>
      <c r="B885" s="21">
        <v>12</v>
      </c>
      <c r="C885" s="1" t="s">
        <v>3352</v>
      </c>
      <c r="D885" s="21">
        <v>36</v>
      </c>
      <c r="E885" s="1" t="s">
        <v>3470</v>
      </c>
      <c r="F885" s="21">
        <v>34</v>
      </c>
      <c r="G885" s="1" t="s">
        <v>3590</v>
      </c>
      <c r="H885" s="1" t="s">
        <v>3591</v>
      </c>
      <c r="I885" s="1" t="s">
        <v>3592</v>
      </c>
      <c r="J885" s="1" t="s">
        <v>3593</v>
      </c>
      <c r="L885" s="1" t="s">
        <v>9</v>
      </c>
    </row>
    <row r="886" spans="1:12" ht="15.75" customHeight="1" x14ac:dyDescent="0.25">
      <c r="A886" s="1" t="s">
        <v>2590</v>
      </c>
      <c r="B886" s="21">
        <v>12</v>
      </c>
      <c r="C886" s="1" t="s">
        <v>3352</v>
      </c>
      <c r="D886" s="21">
        <v>36</v>
      </c>
      <c r="E886" s="1" t="s">
        <v>3470</v>
      </c>
      <c r="F886" s="21">
        <v>35</v>
      </c>
      <c r="G886" s="1" t="s">
        <v>3594</v>
      </c>
      <c r="H886" s="1" t="s">
        <v>3595</v>
      </c>
      <c r="I886" s="1" t="s">
        <v>3596</v>
      </c>
      <c r="J886" s="1" t="s">
        <v>3597</v>
      </c>
      <c r="L886" s="1" t="s">
        <v>9</v>
      </c>
    </row>
    <row r="887" spans="1:12" ht="15.75" customHeight="1" x14ac:dyDescent="0.25">
      <c r="A887" s="1" t="s">
        <v>2590</v>
      </c>
      <c r="B887" s="21">
        <v>12</v>
      </c>
      <c r="C887" s="1" t="s">
        <v>3352</v>
      </c>
      <c r="D887" s="21">
        <v>36</v>
      </c>
      <c r="E887" s="1" t="s">
        <v>3470</v>
      </c>
      <c r="F887" s="21">
        <v>36</v>
      </c>
      <c r="G887" s="1" t="s">
        <v>3598</v>
      </c>
      <c r="H887" s="1" t="s">
        <v>3599</v>
      </c>
      <c r="I887" s="1" t="s">
        <v>3600</v>
      </c>
      <c r="J887" s="1" t="s">
        <v>3601</v>
      </c>
      <c r="L887" s="1" t="s">
        <v>9</v>
      </c>
    </row>
    <row r="888" spans="1:12" ht="15.75" customHeight="1" x14ac:dyDescent="0.25">
      <c r="A888" s="1" t="s">
        <v>2590</v>
      </c>
      <c r="B888" s="21">
        <v>12</v>
      </c>
      <c r="C888" s="1" t="s">
        <v>3352</v>
      </c>
      <c r="D888" s="21">
        <v>36</v>
      </c>
      <c r="E888" s="1" t="s">
        <v>3470</v>
      </c>
      <c r="F888" s="21">
        <v>37</v>
      </c>
      <c r="G888" s="1" t="s">
        <v>3602</v>
      </c>
      <c r="H888" s="1" t="s">
        <v>3603</v>
      </c>
      <c r="I888" s="1" t="s">
        <v>3604</v>
      </c>
      <c r="J888" s="1" t="s">
        <v>3605</v>
      </c>
      <c r="L888" s="1" t="s">
        <v>9</v>
      </c>
    </row>
    <row r="889" spans="1:12" ht="15.75" customHeight="1" x14ac:dyDescent="0.25">
      <c r="A889" s="1" t="s">
        <v>2590</v>
      </c>
      <c r="B889" s="21">
        <v>12</v>
      </c>
      <c r="C889" s="1" t="s">
        <v>3352</v>
      </c>
      <c r="D889" s="21">
        <v>36</v>
      </c>
      <c r="E889" s="1" t="s">
        <v>3470</v>
      </c>
      <c r="F889" s="21">
        <v>38</v>
      </c>
      <c r="G889" s="1" t="s">
        <v>3606</v>
      </c>
      <c r="H889" s="1" t="s">
        <v>3607</v>
      </c>
      <c r="I889" s="1" t="s">
        <v>3608</v>
      </c>
      <c r="J889" s="1" t="s">
        <v>3609</v>
      </c>
      <c r="L889" s="1" t="s">
        <v>9</v>
      </c>
    </row>
    <row r="890" spans="1:12" ht="15.75" customHeight="1" x14ac:dyDescent="0.25">
      <c r="A890" s="1" t="s">
        <v>2590</v>
      </c>
      <c r="B890" s="21">
        <v>12</v>
      </c>
      <c r="C890" s="1" t="s">
        <v>3352</v>
      </c>
      <c r="D890" s="21">
        <v>36</v>
      </c>
      <c r="E890" s="1" t="s">
        <v>3470</v>
      </c>
      <c r="F890" s="21">
        <v>39</v>
      </c>
      <c r="G890" s="1" t="s">
        <v>3610</v>
      </c>
      <c r="H890" s="1" t="s">
        <v>3611</v>
      </c>
      <c r="I890" s="1" t="s">
        <v>3612</v>
      </c>
      <c r="J890" s="1" t="s">
        <v>3613</v>
      </c>
      <c r="L890" s="1" t="s">
        <v>9</v>
      </c>
    </row>
    <row r="891" spans="1:12" ht="15.75" customHeight="1" x14ac:dyDescent="0.25">
      <c r="A891" s="1" t="s">
        <v>2590</v>
      </c>
      <c r="B891" s="21">
        <v>12</v>
      </c>
      <c r="C891" s="1" t="s">
        <v>3352</v>
      </c>
      <c r="D891" s="21">
        <v>36</v>
      </c>
      <c r="E891" s="1" t="s">
        <v>3470</v>
      </c>
      <c r="F891" s="21">
        <v>40</v>
      </c>
      <c r="G891" s="1" t="s">
        <v>3614</v>
      </c>
      <c r="H891" s="1" t="s">
        <v>3615</v>
      </c>
      <c r="I891" s="1" t="s">
        <v>3616</v>
      </c>
      <c r="J891" s="1" t="s">
        <v>3617</v>
      </c>
      <c r="L891" s="1" t="s">
        <v>8</v>
      </c>
    </row>
    <row r="892" spans="1:12" ht="15.75" customHeight="1" x14ac:dyDescent="0.25">
      <c r="A892" s="1" t="s">
        <v>2590</v>
      </c>
      <c r="B892" s="21">
        <v>12</v>
      </c>
      <c r="C892" s="1" t="s">
        <v>3352</v>
      </c>
      <c r="D892" s="21">
        <v>36</v>
      </c>
      <c r="E892" s="1" t="s">
        <v>3470</v>
      </c>
      <c r="F892" s="21">
        <v>41</v>
      </c>
      <c r="G892" s="1" t="s">
        <v>3618</v>
      </c>
      <c r="H892" s="1" t="s">
        <v>3619</v>
      </c>
      <c r="I892" s="1" t="s">
        <v>3620</v>
      </c>
      <c r="J892" s="1" t="s">
        <v>3621</v>
      </c>
      <c r="L892" s="1" t="s">
        <v>9</v>
      </c>
    </row>
    <row r="893" spans="1:12" ht="15.75" customHeight="1" x14ac:dyDescent="0.25">
      <c r="A893" s="1" t="s">
        <v>2590</v>
      </c>
      <c r="B893" s="21">
        <v>12</v>
      </c>
      <c r="C893" s="1" t="s">
        <v>3352</v>
      </c>
      <c r="D893" s="21">
        <v>36</v>
      </c>
      <c r="E893" s="1" t="s">
        <v>3470</v>
      </c>
      <c r="F893" s="21">
        <v>42</v>
      </c>
      <c r="G893" s="1" t="s">
        <v>3622</v>
      </c>
      <c r="H893" s="1" t="s">
        <v>3623</v>
      </c>
      <c r="I893" s="1" t="s">
        <v>3624</v>
      </c>
      <c r="J893" s="1" t="s">
        <v>3625</v>
      </c>
      <c r="L893" s="1" t="s">
        <v>9</v>
      </c>
    </row>
    <row r="894" spans="1:12" ht="15.75" customHeight="1" x14ac:dyDescent="0.25">
      <c r="A894" s="1" t="s">
        <v>2590</v>
      </c>
      <c r="B894" s="21">
        <v>12</v>
      </c>
      <c r="C894" s="1" t="s">
        <v>3352</v>
      </c>
      <c r="D894" s="21">
        <v>36</v>
      </c>
      <c r="E894" s="1" t="s">
        <v>3470</v>
      </c>
      <c r="F894" s="21">
        <v>43</v>
      </c>
      <c r="G894" s="1" t="s">
        <v>3626</v>
      </c>
      <c r="H894" s="1" t="s">
        <v>3627</v>
      </c>
      <c r="I894" s="1" t="s">
        <v>3628</v>
      </c>
      <c r="J894" s="1" t="s">
        <v>3629</v>
      </c>
      <c r="L894" s="1" t="s">
        <v>7</v>
      </c>
    </row>
    <row r="895" spans="1:12" ht="15.75" customHeight="1" x14ac:dyDescent="0.25">
      <c r="A895" s="1" t="s">
        <v>2590</v>
      </c>
      <c r="B895" s="21">
        <v>12</v>
      </c>
      <c r="C895" s="1" t="s">
        <v>3352</v>
      </c>
      <c r="D895" s="21">
        <v>36</v>
      </c>
      <c r="E895" s="1" t="s">
        <v>3470</v>
      </c>
      <c r="F895" s="21">
        <v>44</v>
      </c>
      <c r="G895" s="1" t="s">
        <v>3630</v>
      </c>
      <c r="H895" s="1" t="s">
        <v>3631</v>
      </c>
      <c r="I895" s="1" t="s">
        <v>3632</v>
      </c>
      <c r="J895" s="1" t="s">
        <v>3633</v>
      </c>
      <c r="L895" s="1" t="s">
        <v>8</v>
      </c>
    </row>
    <row r="896" spans="1:12" ht="15.75" customHeight="1" x14ac:dyDescent="0.25">
      <c r="A896" s="1" t="s">
        <v>2590</v>
      </c>
      <c r="B896" s="21">
        <v>12</v>
      </c>
      <c r="C896" s="1" t="s">
        <v>3352</v>
      </c>
      <c r="D896" s="21">
        <v>36</v>
      </c>
      <c r="E896" s="1" t="s">
        <v>3470</v>
      </c>
      <c r="F896" s="21">
        <v>45</v>
      </c>
      <c r="G896" s="1" t="s">
        <v>3634</v>
      </c>
      <c r="H896" s="1" t="s">
        <v>3635</v>
      </c>
      <c r="I896" s="1" t="s">
        <v>3636</v>
      </c>
      <c r="J896" s="1" t="s">
        <v>3637</v>
      </c>
      <c r="L896" s="1" t="s">
        <v>9</v>
      </c>
    </row>
    <row r="897" spans="1:12" ht="15.75" customHeight="1" x14ac:dyDescent="0.25">
      <c r="A897" s="1" t="s">
        <v>2590</v>
      </c>
      <c r="B897" s="21">
        <v>12</v>
      </c>
      <c r="C897" s="1" t="s">
        <v>3352</v>
      </c>
      <c r="D897" s="21">
        <v>36</v>
      </c>
      <c r="E897" s="1" t="s">
        <v>3470</v>
      </c>
      <c r="F897" s="21">
        <v>46</v>
      </c>
      <c r="G897" s="1" t="s">
        <v>3638</v>
      </c>
      <c r="H897" s="1" t="s">
        <v>3639</v>
      </c>
      <c r="I897" s="1" t="s">
        <v>3640</v>
      </c>
      <c r="J897" s="1" t="s">
        <v>3641</v>
      </c>
      <c r="L897" s="1" t="s">
        <v>7</v>
      </c>
    </row>
    <row r="898" spans="1:12" ht="15.75" customHeight="1" x14ac:dyDescent="0.25">
      <c r="A898" s="1" t="s">
        <v>2590</v>
      </c>
      <c r="B898" s="21">
        <v>12</v>
      </c>
      <c r="C898" s="1" t="s">
        <v>3352</v>
      </c>
      <c r="D898" s="21">
        <v>36</v>
      </c>
      <c r="E898" s="1" t="s">
        <v>3470</v>
      </c>
      <c r="F898" s="21">
        <v>47</v>
      </c>
      <c r="G898" s="1" t="s">
        <v>3642</v>
      </c>
      <c r="H898" s="1" t="s">
        <v>3643</v>
      </c>
      <c r="I898" s="1" t="s">
        <v>3644</v>
      </c>
      <c r="J898" s="1" t="s">
        <v>3066</v>
      </c>
      <c r="L898" s="1" t="s">
        <v>9</v>
      </c>
    </row>
    <row r="899" spans="1:12" ht="15.75" customHeight="1" x14ac:dyDescent="0.25">
      <c r="A899" s="1" t="s">
        <v>2590</v>
      </c>
      <c r="B899" s="21">
        <v>12</v>
      </c>
      <c r="C899" s="1" t="s">
        <v>3352</v>
      </c>
      <c r="D899" s="21">
        <v>36</v>
      </c>
      <c r="E899" s="1" t="s">
        <v>3470</v>
      </c>
      <c r="F899" s="21">
        <v>48</v>
      </c>
      <c r="G899" s="1" t="s">
        <v>3645</v>
      </c>
      <c r="H899" s="1" t="s">
        <v>3646</v>
      </c>
      <c r="I899" s="1" t="s">
        <v>3647</v>
      </c>
      <c r="J899" s="1" t="s">
        <v>3648</v>
      </c>
      <c r="L899" s="1" t="s">
        <v>8</v>
      </c>
    </row>
    <row r="900" spans="1:12" ht="15.75" customHeight="1" x14ac:dyDescent="0.25">
      <c r="A900" s="1" t="s">
        <v>2590</v>
      </c>
      <c r="B900" s="21">
        <v>12</v>
      </c>
      <c r="C900" s="1" t="s">
        <v>3352</v>
      </c>
      <c r="D900" s="21">
        <v>36</v>
      </c>
      <c r="E900" s="1" t="s">
        <v>3470</v>
      </c>
      <c r="F900" s="21">
        <v>49</v>
      </c>
      <c r="G900" s="1" t="s">
        <v>3649</v>
      </c>
      <c r="H900" s="1" t="s">
        <v>3650</v>
      </c>
      <c r="I900" s="1" t="s">
        <v>3651</v>
      </c>
      <c r="J900" s="1" t="s">
        <v>3652</v>
      </c>
      <c r="L900" s="1" t="s">
        <v>8</v>
      </c>
    </row>
    <row r="901" spans="1:12" ht="15.75" customHeight="1" x14ac:dyDescent="0.25">
      <c r="A901" s="1" t="s">
        <v>2590</v>
      </c>
      <c r="B901" s="21">
        <v>12</v>
      </c>
      <c r="C901" s="1" t="s">
        <v>3352</v>
      </c>
      <c r="D901" s="21">
        <v>36</v>
      </c>
      <c r="E901" s="1" t="s">
        <v>3470</v>
      </c>
      <c r="F901" s="21">
        <v>50</v>
      </c>
      <c r="G901" s="1" t="s">
        <v>3653</v>
      </c>
      <c r="H901" s="1" t="s">
        <v>3654</v>
      </c>
      <c r="I901" s="1" t="s">
        <v>3655</v>
      </c>
      <c r="J901" s="1" t="s">
        <v>3656</v>
      </c>
      <c r="L901" s="1" t="s">
        <v>8</v>
      </c>
    </row>
    <row r="902" spans="1:12" ht="15.75" customHeight="1" x14ac:dyDescent="0.25">
      <c r="A902" s="1" t="s">
        <v>2590</v>
      </c>
      <c r="B902" s="21">
        <v>12</v>
      </c>
      <c r="C902" s="1" t="s">
        <v>3352</v>
      </c>
      <c r="D902" s="21">
        <v>36</v>
      </c>
      <c r="E902" s="1" t="s">
        <v>3470</v>
      </c>
      <c r="F902" s="21">
        <v>51</v>
      </c>
      <c r="G902" s="1" t="s">
        <v>3657</v>
      </c>
      <c r="H902" s="1" t="s">
        <v>3658</v>
      </c>
      <c r="I902" s="1" t="s">
        <v>3659</v>
      </c>
      <c r="J902" s="1" t="s">
        <v>3660</v>
      </c>
      <c r="L902" s="1" t="s">
        <v>7</v>
      </c>
    </row>
    <row r="903" spans="1:12" ht="15.75" customHeight="1" x14ac:dyDescent="0.25">
      <c r="A903" s="1" t="s">
        <v>2590</v>
      </c>
      <c r="B903" s="21">
        <v>12</v>
      </c>
      <c r="C903" s="1" t="s">
        <v>3352</v>
      </c>
      <c r="D903" s="21">
        <v>36</v>
      </c>
      <c r="E903" s="1" t="s">
        <v>3470</v>
      </c>
      <c r="F903" s="21">
        <v>52</v>
      </c>
      <c r="G903" s="1" t="s">
        <v>3661</v>
      </c>
      <c r="H903" s="1" t="s">
        <v>3662</v>
      </c>
      <c r="I903" s="1" t="s">
        <v>3663</v>
      </c>
      <c r="J903" s="1" t="s">
        <v>3664</v>
      </c>
      <c r="L903" s="1" t="s">
        <v>9</v>
      </c>
    </row>
    <row r="904" spans="1:12" ht="15.75" customHeight="1" x14ac:dyDescent="0.25">
      <c r="A904" s="1" t="s">
        <v>2590</v>
      </c>
      <c r="B904" s="21">
        <v>12</v>
      </c>
      <c r="C904" s="1" t="s">
        <v>3352</v>
      </c>
      <c r="D904" s="21">
        <v>36</v>
      </c>
      <c r="E904" s="1" t="s">
        <v>3470</v>
      </c>
      <c r="F904" s="21">
        <v>54</v>
      </c>
      <c r="G904" s="1" t="s">
        <v>3665</v>
      </c>
      <c r="H904" s="1" t="s">
        <v>3666</v>
      </c>
      <c r="I904" s="1" t="s">
        <v>3667</v>
      </c>
      <c r="J904" s="1" t="s">
        <v>3668</v>
      </c>
      <c r="L904" s="1" t="s">
        <v>9</v>
      </c>
    </row>
    <row r="905" spans="1:12" ht="15.75" customHeight="1" x14ac:dyDescent="0.25">
      <c r="A905" s="1" t="s">
        <v>2590</v>
      </c>
      <c r="B905" s="21">
        <v>12</v>
      </c>
      <c r="C905" s="1" t="s">
        <v>3352</v>
      </c>
      <c r="D905" s="21">
        <v>36</v>
      </c>
      <c r="E905" s="1" t="s">
        <v>3470</v>
      </c>
      <c r="F905" s="21">
        <v>55</v>
      </c>
      <c r="G905" s="1" t="s">
        <v>3669</v>
      </c>
      <c r="H905" s="1" t="s">
        <v>3670</v>
      </c>
      <c r="I905" s="1" t="s">
        <v>3671</v>
      </c>
      <c r="J905" s="1" t="s">
        <v>3672</v>
      </c>
      <c r="L905" s="1" t="s">
        <v>8</v>
      </c>
    </row>
    <row r="906" spans="1:12" ht="15.75" customHeight="1" x14ac:dyDescent="0.25">
      <c r="A906" s="1" t="s">
        <v>2590</v>
      </c>
      <c r="B906" s="21">
        <v>12</v>
      </c>
      <c r="C906" s="1" t="s">
        <v>3352</v>
      </c>
      <c r="D906" s="21">
        <v>36</v>
      </c>
      <c r="E906" s="1" t="s">
        <v>3470</v>
      </c>
      <c r="F906" s="21">
        <v>56</v>
      </c>
      <c r="G906" s="1" t="s">
        <v>3673</v>
      </c>
      <c r="H906" s="1" t="s">
        <v>3674</v>
      </c>
      <c r="I906" s="1" t="s">
        <v>3675</v>
      </c>
      <c r="J906" s="1" t="s">
        <v>3676</v>
      </c>
      <c r="L906" s="1" t="s">
        <v>8</v>
      </c>
    </row>
    <row r="907" spans="1:12" ht="15.75" customHeight="1" x14ac:dyDescent="0.25">
      <c r="A907" s="1" t="s">
        <v>2590</v>
      </c>
      <c r="B907" s="21">
        <v>12</v>
      </c>
      <c r="C907" s="1" t="s">
        <v>3352</v>
      </c>
      <c r="D907" s="21">
        <v>36</v>
      </c>
      <c r="E907" s="1" t="s">
        <v>3470</v>
      </c>
      <c r="F907" s="21">
        <v>57</v>
      </c>
      <c r="G907" s="1" t="s">
        <v>3677</v>
      </c>
      <c r="H907" s="1" t="s">
        <v>3678</v>
      </c>
      <c r="I907" s="1" t="s">
        <v>3679</v>
      </c>
      <c r="J907" s="1" t="s">
        <v>3680</v>
      </c>
      <c r="L907" s="1" t="s">
        <v>8</v>
      </c>
    </row>
    <row r="908" spans="1:12" ht="15.75" customHeight="1" x14ac:dyDescent="0.25">
      <c r="A908" s="1" t="s">
        <v>2590</v>
      </c>
      <c r="B908" s="21">
        <v>12</v>
      </c>
      <c r="C908" s="1" t="s">
        <v>3352</v>
      </c>
      <c r="D908" s="21">
        <v>36</v>
      </c>
      <c r="E908" s="1" t="s">
        <v>3470</v>
      </c>
      <c r="F908" s="21">
        <v>58</v>
      </c>
      <c r="G908" s="1" t="s">
        <v>3681</v>
      </c>
      <c r="H908" s="1" t="s">
        <v>3682</v>
      </c>
      <c r="I908" s="1" t="s">
        <v>3683</v>
      </c>
      <c r="J908" s="1" t="s">
        <v>3684</v>
      </c>
      <c r="L908" s="1" t="s">
        <v>7</v>
      </c>
    </row>
    <row r="909" spans="1:12" ht="15.75" customHeight="1" x14ac:dyDescent="0.25">
      <c r="A909" s="1" t="s">
        <v>2590</v>
      </c>
      <c r="B909" s="21">
        <v>12</v>
      </c>
      <c r="C909" s="1" t="s">
        <v>3352</v>
      </c>
      <c r="D909" s="21">
        <v>36</v>
      </c>
      <c r="E909" s="1" t="s">
        <v>3470</v>
      </c>
      <c r="F909" s="21">
        <v>59</v>
      </c>
      <c r="G909" s="1" t="s">
        <v>3685</v>
      </c>
      <c r="H909" s="1" t="s">
        <v>3686</v>
      </c>
      <c r="I909" s="1" t="s">
        <v>3687</v>
      </c>
      <c r="J909" s="1" t="s">
        <v>3688</v>
      </c>
      <c r="L909" s="1" t="s">
        <v>7</v>
      </c>
    </row>
    <row r="910" spans="1:12" ht="15.75" customHeight="1" x14ac:dyDescent="0.25">
      <c r="A910" s="1" t="s">
        <v>2590</v>
      </c>
      <c r="B910" s="21">
        <v>12</v>
      </c>
      <c r="C910" s="1" t="s">
        <v>3352</v>
      </c>
      <c r="D910" s="21">
        <v>36</v>
      </c>
      <c r="E910" s="1" t="s">
        <v>3470</v>
      </c>
      <c r="F910" s="21">
        <v>60</v>
      </c>
      <c r="G910" s="1" t="s">
        <v>3689</v>
      </c>
      <c r="H910" s="1" t="s">
        <v>3690</v>
      </c>
      <c r="I910" s="1" t="s">
        <v>3691</v>
      </c>
      <c r="J910" s="1" t="s">
        <v>3066</v>
      </c>
      <c r="L910" s="1" t="s">
        <v>9</v>
      </c>
    </row>
    <row r="911" spans="1:12" ht="15.75" customHeight="1" x14ac:dyDescent="0.25">
      <c r="A911" s="1" t="s">
        <v>2590</v>
      </c>
      <c r="B911" s="21">
        <v>12</v>
      </c>
      <c r="C911" s="1" t="s">
        <v>3352</v>
      </c>
      <c r="D911" s="21">
        <v>36</v>
      </c>
      <c r="E911" s="1" t="s">
        <v>3470</v>
      </c>
      <c r="F911" s="21">
        <v>61</v>
      </c>
      <c r="G911" s="1" t="s">
        <v>3692</v>
      </c>
      <c r="H911" s="1" t="s">
        <v>3693</v>
      </c>
      <c r="I911" s="1" t="s">
        <v>3694</v>
      </c>
      <c r="J911" s="1" t="s">
        <v>3695</v>
      </c>
      <c r="L911" s="1" t="s">
        <v>8</v>
      </c>
    </row>
    <row r="912" spans="1:12" ht="15.75" customHeight="1" x14ac:dyDescent="0.25">
      <c r="A912" s="1" t="s">
        <v>2590</v>
      </c>
      <c r="B912" s="21">
        <v>12</v>
      </c>
      <c r="C912" s="1" t="s">
        <v>3352</v>
      </c>
      <c r="D912" s="21">
        <v>36</v>
      </c>
      <c r="E912" s="1" t="s">
        <v>3470</v>
      </c>
      <c r="F912" s="21">
        <v>62</v>
      </c>
      <c r="G912" s="1" t="s">
        <v>3696</v>
      </c>
      <c r="H912" s="1" t="s">
        <v>3697</v>
      </c>
      <c r="I912" s="1" t="s">
        <v>3698</v>
      </c>
      <c r="J912" s="1" t="s">
        <v>3699</v>
      </c>
      <c r="L912" s="1" t="s">
        <v>9</v>
      </c>
    </row>
    <row r="913" spans="1:12" ht="15.75" customHeight="1" x14ac:dyDescent="0.25">
      <c r="A913" s="1" t="s">
        <v>2590</v>
      </c>
      <c r="B913" s="21">
        <v>12</v>
      </c>
      <c r="C913" s="1" t="s">
        <v>3352</v>
      </c>
      <c r="D913" s="21">
        <v>36</v>
      </c>
      <c r="E913" s="1" t="s">
        <v>3470</v>
      </c>
      <c r="F913" s="21">
        <v>63</v>
      </c>
      <c r="G913" s="1" t="s">
        <v>3700</v>
      </c>
      <c r="H913" s="1" t="s">
        <v>3701</v>
      </c>
      <c r="I913" s="1" t="s">
        <v>3702</v>
      </c>
      <c r="J913" s="1" t="s">
        <v>3066</v>
      </c>
      <c r="L913" s="1" t="s">
        <v>8</v>
      </c>
    </row>
    <row r="914" spans="1:12" ht="15.75" customHeight="1" x14ac:dyDescent="0.25">
      <c r="A914" s="1" t="s">
        <v>2590</v>
      </c>
      <c r="B914" s="21">
        <v>12</v>
      </c>
      <c r="C914" s="1" t="s">
        <v>3352</v>
      </c>
      <c r="D914" s="21">
        <v>36</v>
      </c>
      <c r="E914" s="1" t="s">
        <v>3470</v>
      </c>
      <c r="F914" s="21">
        <v>64</v>
      </c>
      <c r="G914" s="1" t="s">
        <v>3703</v>
      </c>
      <c r="H914" s="1" t="s">
        <v>3704</v>
      </c>
      <c r="I914" s="1" t="s">
        <v>3705</v>
      </c>
      <c r="J914" s="1" t="s">
        <v>3706</v>
      </c>
      <c r="L914" s="1" t="s">
        <v>9</v>
      </c>
    </row>
    <row r="915" spans="1:12" ht="15.75" customHeight="1" x14ac:dyDescent="0.25">
      <c r="A915" s="1" t="s">
        <v>2590</v>
      </c>
      <c r="B915" s="21">
        <v>12</v>
      </c>
      <c r="C915" s="1" t="s">
        <v>3352</v>
      </c>
      <c r="D915" s="21">
        <v>36</v>
      </c>
      <c r="E915" s="1" t="s">
        <v>3470</v>
      </c>
      <c r="F915" s="21">
        <v>65</v>
      </c>
      <c r="G915" s="1" t="s">
        <v>3707</v>
      </c>
      <c r="H915" s="1" t="s">
        <v>3708</v>
      </c>
      <c r="I915" s="1" t="s">
        <v>3709</v>
      </c>
      <c r="J915" s="1" t="s">
        <v>3710</v>
      </c>
      <c r="L915" s="1" t="s">
        <v>7</v>
      </c>
    </row>
    <row r="916" spans="1:12" ht="15.75" customHeight="1" x14ac:dyDescent="0.25">
      <c r="A916" s="1" t="s">
        <v>2590</v>
      </c>
      <c r="B916" s="21">
        <v>12</v>
      </c>
      <c r="C916" s="1" t="s">
        <v>3352</v>
      </c>
      <c r="D916" s="21">
        <v>36</v>
      </c>
      <c r="E916" s="1" t="s">
        <v>3470</v>
      </c>
      <c r="F916" s="21">
        <v>66</v>
      </c>
      <c r="G916" s="1" t="s">
        <v>3711</v>
      </c>
      <c r="H916" s="1" t="s">
        <v>3712</v>
      </c>
      <c r="I916" s="1" t="s">
        <v>3481</v>
      </c>
      <c r="J916" s="1" t="s">
        <v>3512</v>
      </c>
      <c r="L916" s="1" t="s">
        <v>9</v>
      </c>
    </row>
    <row r="917" spans="1:12" ht="15.75" customHeight="1" x14ac:dyDescent="0.25">
      <c r="A917" s="1" t="s">
        <v>2590</v>
      </c>
      <c r="B917" s="21">
        <v>12</v>
      </c>
      <c r="C917" s="1" t="s">
        <v>3352</v>
      </c>
      <c r="D917" s="21">
        <v>36</v>
      </c>
      <c r="E917" s="1" t="s">
        <v>3470</v>
      </c>
      <c r="F917" s="21">
        <v>67</v>
      </c>
      <c r="G917" s="1" t="s">
        <v>3713</v>
      </c>
      <c r="H917" s="1" t="s">
        <v>3714</v>
      </c>
      <c r="I917" s="1" t="s">
        <v>3715</v>
      </c>
      <c r="J917" s="1" t="s">
        <v>3716</v>
      </c>
      <c r="L917" s="1" t="s">
        <v>8</v>
      </c>
    </row>
    <row r="918" spans="1:12" ht="15.75" customHeight="1" x14ac:dyDescent="0.25">
      <c r="A918" s="1" t="s">
        <v>2590</v>
      </c>
      <c r="B918" s="21">
        <v>12</v>
      </c>
      <c r="C918" s="1" t="s">
        <v>3352</v>
      </c>
      <c r="D918" s="21">
        <v>36</v>
      </c>
      <c r="E918" s="1" t="s">
        <v>3470</v>
      </c>
      <c r="F918" s="21">
        <v>68</v>
      </c>
      <c r="G918" s="1" t="s">
        <v>3717</v>
      </c>
      <c r="H918" s="1" t="s">
        <v>3718</v>
      </c>
      <c r="I918" s="1" t="s">
        <v>3719</v>
      </c>
      <c r="J918" s="1" t="s">
        <v>3720</v>
      </c>
      <c r="L918" s="1" t="s">
        <v>8</v>
      </c>
    </row>
    <row r="919" spans="1:12" ht="15.75" customHeight="1" x14ac:dyDescent="0.25">
      <c r="A919" s="1" t="s">
        <v>2590</v>
      </c>
      <c r="B919" s="21">
        <v>12</v>
      </c>
      <c r="C919" s="1" t="s">
        <v>3352</v>
      </c>
      <c r="D919" s="21">
        <v>36</v>
      </c>
      <c r="E919" s="1" t="s">
        <v>3470</v>
      </c>
      <c r="F919" s="21">
        <v>69</v>
      </c>
      <c r="G919" s="1" t="s">
        <v>3721</v>
      </c>
      <c r="H919" s="1" t="s">
        <v>3722</v>
      </c>
      <c r="I919" s="1" t="s">
        <v>3723</v>
      </c>
      <c r="J919" s="1" t="s">
        <v>3724</v>
      </c>
      <c r="L919" s="1" t="s">
        <v>9</v>
      </c>
    </row>
    <row r="920" spans="1:12" ht="15.75" customHeight="1" x14ac:dyDescent="0.25">
      <c r="A920" s="1" t="s">
        <v>2590</v>
      </c>
      <c r="B920" s="21">
        <v>12</v>
      </c>
      <c r="C920" s="1" t="s">
        <v>3352</v>
      </c>
      <c r="D920" s="21">
        <v>36</v>
      </c>
      <c r="E920" s="1" t="s">
        <v>3470</v>
      </c>
      <c r="F920" s="21">
        <v>70</v>
      </c>
      <c r="G920" s="1" t="s">
        <v>3725</v>
      </c>
      <c r="H920" s="1" t="s">
        <v>3726</v>
      </c>
      <c r="I920" s="1" t="s">
        <v>3727</v>
      </c>
      <c r="J920" s="1" t="s">
        <v>3728</v>
      </c>
      <c r="L920" s="1" t="s">
        <v>8</v>
      </c>
    </row>
    <row r="921" spans="1:12" ht="15.75" customHeight="1" x14ac:dyDescent="0.25">
      <c r="A921" s="1" t="s">
        <v>2590</v>
      </c>
      <c r="B921" s="21">
        <v>12</v>
      </c>
      <c r="C921" s="1" t="s">
        <v>3352</v>
      </c>
      <c r="D921" s="21">
        <v>36</v>
      </c>
      <c r="E921" s="1" t="s">
        <v>3470</v>
      </c>
      <c r="F921" s="21">
        <v>71</v>
      </c>
      <c r="G921" s="1" t="s">
        <v>3729</v>
      </c>
      <c r="H921" s="1" t="s">
        <v>3730</v>
      </c>
      <c r="I921" s="1" t="s">
        <v>3731</v>
      </c>
      <c r="J921" s="1" t="s">
        <v>3732</v>
      </c>
      <c r="L921" s="1" t="s">
        <v>7</v>
      </c>
    </row>
    <row r="922" spans="1:12" ht="15.75" customHeight="1" x14ac:dyDescent="0.25">
      <c r="A922" s="1" t="s">
        <v>2590</v>
      </c>
      <c r="B922" s="21">
        <v>12</v>
      </c>
      <c r="C922" s="1" t="s">
        <v>3352</v>
      </c>
      <c r="D922" s="21">
        <v>36</v>
      </c>
      <c r="E922" s="1" t="s">
        <v>3470</v>
      </c>
      <c r="F922" s="21">
        <v>72</v>
      </c>
      <c r="G922" s="1" t="s">
        <v>3733</v>
      </c>
      <c r="H922" s="1" t="s">
        <v>3734</v>
      </c>
      <c r="I922" s="1" t="s">
        <v>3735</v>
      </c>
      <c r="J922" s="1" t="s">
        <v>3736</v>
      </c>
      <c r="L922" s="1" t="s">
        <v>9</v>
      </c>
    </row>
    <row r="923" spans="1:12" ht="15.75" customHeight="1" x14ac:dyDescent="0.25">
      <c r="A923" s="1" t="s">
        <v>2590</v>
      </c>
      <c r="B923" s="21">
        <v>12</v>
      </c>
      <c r="C923" s="1" t="s">
        <v>3352</v>
      </c>
      <c r="D923" s="21">
        <v>36</v>
      </c>
      <c r="E923" s="1" t="s">
        <v>3470</v>
      </c>
      <c r="F923" s="21">
        <v>73</v>
      </c>
      <c r="G923" s="1" t="s">
        <v>3737</v>
      </c>
      <c r="H923" s="1" t="s">
        <v>3738</v>
      </c>
      <c r="I923" s="1" t="s">
        <v>3739</v>
      </c>
      <c r="J923" s="1" t="s">
        <v>3740</v>
      </c>
      <c r="L923" s="1" t="s">
        <v>8</v>
      </c>
    </row>
    <row r="924" spans="1:12" ht="15.75" customHeight="1" x14ac:dyDescent="0.25">
      <c r="A924" s="1" t="s">
        <v>2590</v>
      </c>
      <c r="B924" s="21">
        <v>12</v>
      </c>
      <c r="C924" s="1" t="s">
        <v>3352</v>
      </c>
      <c r="D924" s="21">
        <v>36</v>
      </c>
      <c r="E924" s="1" t="s">
        <v>3470</v>
      </c>
      <c r="F924" s="21">
        <v>74</v>
      </c>
      <c r="G924" s="1" t="s">
        <v>3741</v>
      </c>
      <c r="H924" s="1" t="s">
        <v>3742</v>
      </c>
      <c r="I924" s="1" t="s">
        <v>3743</v>
      </c>
      <c r="J924" s="1" t="s">
        <v>3744</v>
      </c>
      <c r="L924" s="1" t="s">
        <v>9</v>
      </c>
    </row>
    <row r="925" spans="1:12" ht="15.75" customHeight="1" x14ac:dyDescent="0.25">
      <c r="A925" s="1" t="s">
        <v>2590</v>
      </c>
      <c r="B925" s="21">
        <v>12</v>
      </c>
      <c r="C925" s="1" t="s">
        <v>3352</v>
      </c>
      <c r="D925" s="21">
        <v>36</v>
      </c>
      <c r="E925" s="1" t="s">
        <v>3470</v>
      </c>
      <c r="F925" s="21">
        <v>75</v>
      </c>
      <c r="G925" s="1" t="s">
        <v>3745</v>
      </c>
      <c r="H925" s="1" t="s">
        <v>3746</v>
      </c>
      <c r="I925" s="1" t="s">
        <v>3747</v>
      </c>
      <c r="J925" s="1" t="s">
        <v>3748</v>
      </c>
      <c r="L925" s="1" t="s">
        <v>9</v>
      </c>
    </row>
    <row r="926" spans="1:12" ht="15.75" customHeight="1" x14ac:dyDescent="0.25">
      <c r="A926" s="1" t="s">
        <v>2590</v>
      </c>
      <c r="B926" s="21">
        <v>12</v>
      </c>
      <c r="C926" s="1" t="s">
        <v>3352</v>
      </c>
      <c r="D926" s="21">
        <v>36</v>
      </c>
      <c r="E926" s="1" t="s">
        <v>3470</v>
      </c>
      <c r="F926" s="21">
        <v>76</v>
      </c>
      <c r="G926" s="1" t="s">
        <v>3749</v>
      </c>
      <c r="H926" s="1" t="s">
        <v>3750</v>
      </c>
      <c r="I926" s="1" t="s">
        <v>3751</v>
      </c>
      <c r="J926" s="1" t="s">
        <v>3752</v>
      </c>
      <c r="L926" s="1" t="s">
        <v>7</v>
      </c>
    </row>
    <row r="927" spans="1:12" ht="15.75" customHeight="1" x14ac:dyDescent="0.25">
      <c r="A927" s="1" t="s">
        <v>2590</v>
      </c>
      <c r="B927" s="21">
        <v>12</v>
      </c>
      <c r="C927" s="1" t="s">
        <v>3352</v>
      </c>
      <c r="D927" s="21">
        <v>36</v>
      </c>
      <c r="E927" s="1" t="s">
        <v>3470</v>
      </c>
      <c r="F927" s="21">
        <v>77</v>
      </c>
      <c r="G927" s="1" t="s">
        <v>3753</v>
      </c>
      <c r="H927" s="1" t="s">
        <v>3754</v>
      </c>
      <c r="I927" s="1" t="s">
        <v>3755</v>
      </c>
      <c r="J927" s="1" t="s">
        <v>3756</v>
      </c>
      <c r="L927" s="1" t="s">
        <v>8</v>
      </c>
    </row>
    <row r="928" spans="1:12" ht="15.75" customHeight="1" x14ac:dyDescent="0.25">
      <c r="A928" s="1" t="s">
        <v>2590</v>
      </c>
      <c r="B928" s="21">
        <v>12</v>
      </c>
      <c r="C928" s="1" t="s">
        <v>3352</v>
      </c>
      <c r="D928" s="21">
        <v>36</v>
      </c>
      <c r="E928" s="1" t="s">
        <v>3470</v>
      </c>
      <c r="F928" s="21">
        <v>78</v>
      </c>
      <c r="G928" s="1" t="s">
        <v>3757</v>
      </c>
      <c r="H928" s="1" t="s">
        <v>3752</v>
      </c>
      <c r="I928" s="1" t="s">
        <v>3758</v>
      </c>
      <c r="J928" s="1" t="s">
        <v>3759</v>
      </c>
      <c r="L928" s="1" t="s">
        <v>7</v>
      </c>
    </row>
    <row r="929" spans="1:12" ht="15.75" customHeight="1" x14ac:dyDescent="0.25">
      <c r="A929" s="1" t="s">
        <v>2590</v>
      </c>
      <c r="B929" s="21">
        <v>12</v>
      </c>
      <c r="C929" s="1" t="s">
        <v>3352</v>
      </c>
      <c r="D929" s="21">
        <v>36</v>
      </c>
      <c r="E929" s="1" t="s">
        <v>3470</v>
      </c>
      <c r="F929" s="21">
        <v>79</v>
      </c>
      <c r="G929" s="1" t="s">
        <v>3760</v>
      </c>
      <c r="H929" s="1" t="s">
        <v>3587</v>
      </c>
      <c r="I929" s="1" t="s">
        <v>3761</v>
      </c>
      <c r="J929" s="1">
        <v>1000</v>
      </c>
      <c r="L929" s="1" t="s">
        <v>7</v>
      </c>
    </row>
    <row r="930" spans="1:12" ht="15.75" customHeight="1" x14ac:dyDescent="0.25">
      <c r="A930" s="1" t="s">
        <v>2590</v>
      </c>
      <c r="B930" s="21">
        <v>12</v>
      </c>
      <c r="C930" s="1" t="s">
        <v>3352</v>
      </c>
      <c r="D930" s="21">
        <v>36</v>
      </c>
      <c r="E930" s="1" t="s">
        <v>3470</v>
      </c>
      <c r="F930" s="21">
        <v>80</v>
      </c>
      <c r="G930" s="1" t="s">
        <v>3762</v>
      </c>
      <c r="H930" s="1" t="s">
        <v>3763</v>
      </c>
      <c r="I930" s="1" t="s">
        <v>3764</v>
      </c>
      <c r="J930" s="1" t="s">
        <v>3765</v>
      </c>
      <c r="L930" s="1" t="s">
        <v>9</v>
      </c>
    </row>
    <row r="931" spans="1:12" ht="15.75" customHeight="1" x14ac:dyDescent="0.25">
      <c r="A931" s="1" t="s">
        <v>2590</v>
      </c>
      <c r="B931" s="21">
        <v>12</v>
      </c>
      <c r="C931" s="1" t="s">
        <v>3352</v>
      </c>
      <c r="D931" s="21">
        <v>36</v>
      </c>
      <c r="E931" s="1" t="s">
        <v>3470</v>
      </c>
      <c r="F931" s="21">
        <v>81</v>
      </c>
      <c r="G931" s="1" t="s">
        <v>3766</v>
      </c>
      <c r="H931" s="1" t="s">
        <v>3767</v>
      </c>
      <c r="I931" s="1" t="s">
        <v>3768</v>
      </c>
      <c r="J931" s="1" t="s">
        <v>3769</v>
      </c>
      <c r="L931" s="1" t="s">
        <v>9</v>
      </c>
    </row>
    <row r="932" spans="1:12" ht="15.75" customHeight="1" x14ac:dyDescent="0.25">
      <c r="A932" s="1" t="s">
        <v>2590</v>
      </c>
      <c r="B932" s="21">
        <v>12</v>
      </c>
      <c r="C932" s="1" t="s">
        <v>3352</v>
      </c>
      <c r="D932" s="21">
        <v>36</v>
      </c>
      <c r="E932" s="1" t="s">
        <v>3470</v>
      </c>
      <c r="F932" s="21">
        <v>82</v>
      </c>
      <c r="G932" s="1" t="s">
        <v>3770</v>
      </c>
      <c r="H932" s="1" t="s">
        <v>3771</v>
      </c>
      <c r="I932" s="1" t="s">
        <v>3772</v>
      </c>
      <c r="J932" s="1" t="s">
        <v>3773</v>
      </c>
      <c r="L932" s="1" t="s">
        <v>7</v>
      </c>
    </row>
    <row r="933" spans="1:12" ht="15.75" customHeight="1" x14ac:dyDescent="0.25">
      <c r="A933" s="1" t="s">
        <v>2590</v>
      </c>
      <c r="B933" s="21">
        <v>12</v>
      </c>
      <c r="C933" s="1" t="s">
        <v>3352</v>
      </c>
      <c r="D933" s="21">
        <v>36</v>
      </c>
      <c r="E933" s="1" t="s">
        <v>3470</v>
      </c>
      <c r="F933" s="21">
        <v>83</v>
      </c>
      <c r="G933" s="1" t="s">
        <v>3774</v>
      </c>
      <c r="H933" s="1" t="s">
        <v>3775</v>
      </c>
      <c r="I933" s="1" t="s">
        <v>3776</v>
      </c>
      <c r="J933" s="1" t="s">
        <v>3777</v>
      </c>
      <c r="L933" s="1" t="s">
        <v>8</v>
      </c>
    </row>
    <row r="934" spans="1:12" ht="15.75" customHeight="1" x14ac:dyDescent="0.25">
      <c r="A934" s="1" t="s">
        <v>2590</v>
      </c>
      <c r="B934" s="21">
        <v>12</v>
      </c>
      <c r="C934" s="1" t="s">
        <v>3352</v>
      </c>
      <c r="D934" s="21">
        <v>36</v>
      </c>
      <c r="E934" s="1" t="s">
        <v>3470</v>
      </c>
      <c r="F934" s="21">
        <v>84</v>
      </c>
      <c r="G934" s="1" t="s">
        <v>3778</v>
      </c>
      <c r="H934" s="1" t="s">
        <v>3779</v>
      </c>
      <c r="I934" s="1" t="s">
        <v>3780</v>
      </c>
      <c r="J934" s="1" t="s">
        <v>3781</v>
      </c>
      <c r="L934" s="1" t="s">
        <v>9</v>
      </c>
    </row>
    <row r="935" spans="1:12" ht="15.75" customHeight="1" x14ac:dyDescent="0.25">
      <c r="A935" s="1" t="s">
        <v>2590</v>
      </c>
      <c r="B935" s="21">
        <v>12</v>
      </c>
      <c r="C935" s="1" t="s">
        <v>3352</v>
      </c>
      <c r="D935" s="21">
        <v>36</v>
      </c>
      <c r="E935" s="1" t="s">
        <v>3470</v>
      </c>
      <c r="F935" s="21">
        <v>85</v>
      </c>
      <c r="G935" s="1" t="s">
        <v>3782</v>
      </c>
      <c r="H935" s="1" t="s">
        <v>3783</v>
      </c>
      <c r="I935" s="1" t="s">
        <v>3784</v>
      </c>
      <c r="J935" s="1" t="s">
        <v>3785</v>
      </c>
      <c r="L935" s="1" t="s">
        <v>8</v>
      </c>
    </row>
    <row r="936" spans="1:12" ht="15.75" customHeight="1" x14ac:dyDescent="0.25">
      <c r="A936" s="1" t="s">
        <v>2590</v>
      </c>
      <c r="B936" s="21">
        <v>12</v>
      </c>
      <c r="C936" s="1" t="s">
        <v>3352</v>
      </c>
      <c r="D936" s="21">
        <v>36</v>
      </c>
      <c r="E936" s="1" t="s">
        <v>3470</v>
      </c>
      <c r="F936" s="21">
        <v>86</v>
      </c>
      <c r="G936" s="1" t="s">
        <v>3786</v>
      </c>
      <c r="H936" s="1" t="s">
        <v>3460</v>
      </c>
      <c r="I936" s="1" t="s">
        <v>2985</v>
      </c>
      <c r="J936" s="1" t="s">
        <v>3415</v>
      </c>
      <c r="L936" s="1" t="s">
        <v>7</v>
      </c>
    </row>
    <row r="937" spans="1:12" ht="15.75" customHeight="1" x14ac:dyDescent="0.25">
      <c r="A937" s="1" t="s">
        <v>2590</v>
      </c>
      <c r="B937" s="21">
        <v>12</v>
      </c>
      <c r="C937" s="1" t="s">
        <v>3352</v>
      </c>
      <c r="D937" s="21">
        <v>36</v>
      </c>
      <c r="E937" s="1" t="s">
        <v>3470</v>
      </c>
      <c r="F937" s="21">
        <v>87</v>
      </c>
      <c r="G937" s="1" t="s">
        <v>3787</v>
      </c>
      <c r="H937" s="1" t="s">
        <v>3788</v>
      </c>
      <c r="I937" s="1" t="s">
        <v>3789</v>
      </c>
      <c r="J937" s="1" t="s">
        <v>3790</v>
      </c>
      <c r="L937" s="1" t="s">
        <v>9</v>
      </c>
    </row>
    <row r="938" spans="1:12" ht="15.75" customHeight="1" x14ac:dyDescent="0.25">
      <c r="A938" s="1" t="s">
        <v>2590</v>
      </c>
      <c r="B938" s="21">
        <v>12</v>
      </c>
      <c r="C938" s="1" t="s">
        <v>3352</v>
      </c>
      <c r="D938" s="21">
        <v>36</v>
      </c>
      <c r="E938" s="1" t="s">
        <v>3470</v>
      </c>
      <c r="F938" s="21">
        <v>88</v>
      </c>
      <c r="G938" s="1" t="s">
        <v>3791</v>
      </c>
      <c r="H938" s="1" t="s">
        <v>3792</v>
      </c>
      <c r="I938" s="1" t="s">
        <v>3793</v>
      </c>
      <c r="J938" s="1" t="s">
        <v>3794</v>
      </c>
      <c r="L938" s="1" t="s">
        <v>7</v>
      </c>
    </row>
    <row r="939" spans="1:12" ht="15.75" customHeight="1" x14ac:dyDescent="0.25">
      <c r="A939" s="1" t="s">
        <v>2590</v>
      </c>
      <c r="B939" s="21">
        <v>12</v>
      </c>
      <c r="C939" s="1" t="s">
        <v>3352</v>
      </c>
      <c r="D939" s="21">
        <v>36</v>
      </c>
      <c r="E939" s="1" t="s">
        <v>3470</v>
      </c>
      <c r="F939" s="21">
        <v>89</v>
      </c>
      <c r="G939" s="1" t="s">
        <v>3795</v>
      </c>
      <c r="H939" s="1" t="s">
        <v>3796</v>
      </c>
      <c r="I939" s="1" t="s">
        <v>3797</v>
      </c>
      <c r="J939" s="1" t="s">
        <v>3798</v>
      </c>
      <c r="L939" s="1" t="s">
        <v>8</v>
      </c>
    </row>
    <row r="940" spans="1:12" ht="15.75" customHeight="1" x14ac:dyDescent="0.25">
      <c r="A940" s="1" t="s">
        <v>2590</v>
      </c>
      <c r="B940" s="21">
        <v>12</v>
      </c>
      <c r="C940" s="1" t="s">
        <v>3352</v>
      </c>
      <c r="D940" s="21">
        <v>36</v>
      </c>
      <c r="E940" s="1" t="s">
        <v>3470</v>
      </c>
      <c r="F940" s="21">
        <v>90</v>
      </c>
      <c r="G940" s="1" t="s">
        <v>3799</v>
      </c>
      <c r="H940" s="1" t="s">
        <v>3800</v>
      </c>
      <c r="I940" s="1" t="s">
        <v>3801</v>
      </c>
      <c r="J940" s="1" t="s">
        <v>3802</v>
      </c>
      <c r="L940" s="1" t="s">
        <v>7</v>
      </c>
    </row>
    <row r="941" spans="1:12" ht="15.75" customHeight="1" x14ac:dyDescent="0.25">
      <c r="A941" s="1" t="s">
        <v>2590</v>
      </c>
      <c r="B941" s="21">
        <v>12</v>
      </c>
      <c r="C941" s="1" t="s">
        <v>3352</v>
      </c>
      <c r="D941" s="21">
        <v>36</v>
      </c>
      <c r="E941" s="1" t="s">
        <v>3470</v>
      </c>
      <c r="F941" s="21">
        <v>91</v>
      </c>
      <c r="G941" s="1" t="s">
        <v>3803</v>
      </c>
      <c r="H941" s="1" t="s">
        <v>3804</v>
      </c>
      <c r="I941" s="1" t="s">
        <v>3805</v>
      </c>
      <c r="J941" s="1" t="s">
        <v>3806</v>
      </c>
      <c r="L941" s="1" t="s">
        <v>9</v>
      </c>
    </row>
    <row r="942" spans="1:12" ht="15.75" customHeight="1" x14ac:dyDescent="0.25">
      <c r="A942" s="1" t="s">
        <v>2590</v>
      </c>
      <c r="B942" s="21">
        <v>12</v>
      </c>
      <c r="C942" s="1" t="s">
        <v>3352</v>
      </c>
      <c r="D942" s="21">
        <v>36</v>
      </c>
      <c r="E942" s="1" t="s">
        <v>3470</v>
      </c>
      <c r="F942" s="21">
        <v>92</v>
      </c>
      <c r="G942" s="1" t="s">
        <v>3807</v>
      </c>
      <c r="H942" s="1" t="s">
        <v>3808</v>
      </c>
      <c r="I942" s="1" t="s">
        <v>3809</v>
      </c>
      <c r="J942" s="1" t="s">
        <v>3810</v>
      </c>
      <c r="L942" s="1" t="s">
        <v>8</v>
      </c>
    </row>
    <row r="943" spans="1:12" ht="15.75" customHeight="1" x14ac:dyDescent="0.25">
      <c r="A943" s="1" t="s">
        <v>2590</v>
      </c>
      <c r="B943" s="21">
        <v>12</v>
      </c>
      <c r="C943" s="1" t="s">
        <v>3352</v>
      </c>
      <c r="D943" s="21">
        <v>36</v>
      </c>
      <c r="E943" s="1" t="s">
        <v>3470</v>
      </c>
      <c r="F943" s="21">
        <v>93</v>
      </c>
      <c r="G943" s="1" t="s">
        <v>3811</v>
      </c>
      <c r="H943" s="1" t="s">
        <v>3812</v>
      </c>
      <c r="I943" s="1" t="s">
        <v>3813</v>
      </c>
      <c r="J943" s="1" t="s">
        <v>3814</v>
      </c>
      <c r="L943" s="1" t="s">
        <v>7</v>
      </c>
    </row>
    <row r="944" spans="1:12" ht="15.75" customHeight="1" x14ac:dyDescent="0.25">
      <c r="A944" s="1" t="s">
        <v>2590</v>
      </c>
      <c r="B944" s="21">
        <v>12</v>
      </c>
      <c r="C944" s="1" t="s">
        <v>3352</v>
      </c>
      <c r="D944" s="21">
        <v>36</v>
      </c>
      <c r="E944" s="1" t="s">
        <v>3470</v>
      </c>
      <c r="F944" s="21">
        <v>94</v>
      </c>
      <c r="G944" s="1" t="s">
        <v>3815</v>
      </c>
      <c r="H944" s="1" t="s">
        <v>3816</v>
      </c>
      <c r="I944" s="1" t="s">
        <v>3817</v>
      </c>
      <c r="J944" s="1" t="s">
        <v>3818</v>
      </c>
      <c r="L944" s="1" t="s">
        <v>8</v>
      </c>
    </row>
    <row r="945" spans="1:12" ht="15.75" customHeight="1" x14ac:dyDescent="0.25">
      <c r="A945" s="1" t="s">
        <v>2590</v>
      </c>
      <c r="B945" s="21">
        <v>12</v>
      </c>
      <c r="C945" s="1" t="s">
        <v>3352</v>
      </c>
      <c r="D945" s="21">
        <v>36</v>
      </c>
      <c r="E945" s="1" t="s">
        <v>3470</v>
      </c>
      <c r="F945" s="21">
        <v>95</v>
      </c>
      <c r="G945" s="1" t="s">
        <v>3819</v>
      </c>
      <c r="H945" s="1" t="s">
        <v>3445</v>
      </c>
      <c r="I945" s="1" t="s">
        <v>3820</v>
      </c>
      <c r="J945" s="1" t="s">
        <v>3821</v>
      </c>
      <c r="L945" s="1" t="s">
        <v>7</v>
      </c>
    </row>
    <row r="946" spans="1:12" ht="15.75" customHeight="1" x14ac:dyDescent="0.25">
      <c r="A946" s="1" t="s">
        <v>2590</v>
      </c>
      <c r="B946" s="21">
        <v>12</v>
      </c>
      <c r="C946" s="1" t="s">
        <v>3352</v>
      </c>
      <c r="D946" s="21">
        <v>36</v>
      </c>
      <c r="E946" s="1" t="s">
        <v>3470</v>
      </c>
      <c r="F946" s="21">
        <v>96</v>
      </c>
      <c r="G946" s="1" t="s">
        <v>3822</v>
      </c>
      <c r="H946" s="1" t="s">
        <v>3417</v>
      </c>
      <c r="I946" s="1" t="s">
        <v>3823</v>
      </c>
      <c r="J946" s="1" t="s">
        <v>3418</v>
      </c>
      <c r="L946" s="1" t="s">
        <v>9</v>
      </c>
    </row>
    <row r="947" spans="1:12" ht="15.75" customHeight="1" x14ac:dyDescent="0.25">
      <c r="A947" s="1" t="s">
        <v>2590</v>
      </c>
      <c r="B947" s="21">
        <v>12</v>
      </c>
      <c r="C947" s="1" t="s">
        <v>3352</v>
      </c>
      <c r="D947" s="21">
        <v>36</v>
      </c>
      <c r="E947" s="1" t="s">
        <v>3470</v>
      </c>
      <c r="F947" s="21">
        <v>97</v>
      </c>
      <c r="G947" s="1" t="s">
        <v>3824</v>
      </c>
      <c r="H947" s="1" t="s">
        <v>3825</v>
      </c>
      <c r="I947" s="1" t="s">
        <v>3826</v>
      </c>
      <c r="J947" s="1" t="s">
        <v>3827</v>
      </c>
      <c r="L947" s="1" t="s">
        <v>9</v>
      </c>
    </row>
    <row r="948" spans="1:12" ht="15.75" customHeight="1" x14ac:dyDescent="0.25">
      <c r="A948" s="1" t="s">
        <v>2590</v>
      </c>
      <c r="B948" s="21">
        <v>12</v>
      </c>
      <c r="C948" s="1" t="s">
        <v>3352</v>
      </c>
      <c r="D948" s="21">
        <v>36</v>
      </c>
      <c r="E948" s="1" t="s">
        <v>3470</v>
      </c>
      <c r="F948" s="21">
        <v>98</v>
      </c>
      <c r="G948" s="1" t="s">
        <v>3828</v>
      </c>
      <c r="H948" s="1" t="s">
        <v>3829</v>
      </c>
      <c r="I948" s="1" t="s">
        <v>3415</v>
      </c>
      <c r="J948" s="1" t="s">
        <v>3830</v>
      </c>
      <c r="L948" s="1" t="s">
        <v>9</v>
      </c>
    </row>
    <row r="949" spans="1:12" ht="15.75" customHeight="1" x14ac:dyDescent="0.25">
      <c r="A949" s="1" t="s">
        <v>2590</v>
      </c>
      <c r="B949" s="21">
        <v>12</v>
      </c>
      <c r="C949" s="1" t="s">
        <v>3352</v>
      </c>
      <c r="D949" s="21">
        <v>36</v>
      </c>
      <c r="E949" s="1" t="s">
        <v>3470</v>
      </c>
      <c r="F949" s="21">
        <v>99</v>
      </c>
      <c r="G949" s="1" t="s">
        <v>3831</v>
      </c>
      <c r="H949" s="1" t="s">
        <v>3832</v>
      </c>
      <c r="I949" s="1" t="s">
        <v>3534</v>
      </c>
      <c r="J949" s="1" t="s">
        <v>3833</v>
      </c>
      <c r="L949" s="1" t="s">
        <v>7</v>
      </c>
    </row>
    <row r="950" spans="1:12" ht="15.75" customHeight="1" x14ac:dyDescent="0.25">
      <c r="A950" s="1" t="s">
        <v>2590</v>
      </c>
      <c r="B950" s="21">
        <v>12</v>
      </c>
      <c r="C950" s="1" t="s">
        <v>3352</v>
      </c>
      <c r="D950" s="21">
        <v>36</v>
      </c>
      <c r="E950" s="1" t="s">
        <v>3470</v>
      </c>
      <c r="F950" s="21">
        <v>100</v>
      </c>
      <c r="G950" s="1" t="s">
        <v>3834</v>
      </c>
      <c r="H950" s="1" t="s">
        <v>3489</v>
      </c>
      <c r="I950" s="1" t="s">
        <v>3510</v>
      </c>
      <c r="J950" s="1" t="s">
        <v>2985</v>
      </c>
      <c r="L950" s="1" t="s">
        <v>9</v>
      </c>
    </row>
    <row r="951" spans="1:12" ht="15.75" customHeight="1" x14ac:dyDescent="0.25">
      <c r="A951" s="1" t="s">
        <v>2590</v>
      </c>
      <c r="B951" s="21">
        <v>12</v>
      </c>
      <c r="C951" s="1" t="s">
        <v>3352</v>
      </c>
      <c r="D951" s="21">
        <v>36</v>
      </c>
      <c r="E951" s="1" t="s">
        <v>3470</v>
      </c>
      <c r="F951" s="21">
        <v>101</v>
      </c>
      <c r="G951" s="1" t="s">
        <v>3835</v>
      </c>
      <c r="H951" s="1" t="s">
        <v>3836</v>
      </c>
      <c r="I951" s="1" t="s">
        <v>3837</v>
      </c>
      <c r="J951" s="1" t="s">
        <v>3066</v>
      </c>
      <c r="L951" s="1" t="s">
        <v>9</v>
      </c>
    </row>
    <row r="952" spans="1:12" ht="15.75" customHeight="1" x14ac:dyDescent="0.25">
      <c r="A952" s="1" t="s">
        <v>2590</v>
      </c>
      <c r="B952" s="21">
        <v>12</v>
      </c>
      <c r="C952" s="1" t="s">
        <v>3352</v>
      </c>
      <c r="D952" s="21">
        <v>36</v>
      </c>
      <c r="E952" s="1" t="s">
        <v>3470</v>
      </c>
      <c r="F952" s="21">
        <v>102</v>
      </c>
      <c r="G952" s="1" t="s">
        <v>3838</v>
      </c>
      <c r="H952" s="1" t="s">
        <v>3839</v>
      </c>
      <c r="I952" s="1" t="s">
        <v>3840</v>
      </c>
      <c r="J952" s="1" t="s">
        <v>3841</v>
      </c>
      <c r="L952" s="1" t="s">
        <v>8</v>
      </c>
    </row>
    <row r="953" spans="1:12" ht="15.75" customHeight="1" x14ac:dyDescent="0.25">
      <c r="A953" s="1" t="s">
        <v>2590</v>
      </c>
      <c r="B953" s="21">
        <v>12</v>
      </c>
      <c r="C953" s="1" t="s">
        <v>3352</v>
      </c>
      <c r="D953" s="21">
        <v>36</v>
      </c>
      <c r="E953" s="1" t="s">
        <v>3470</v>
      </c>
      <c r="F953" s="21">
        <v>103</v>
      </c>
      <c r="G953" s="1" t="s">
        <v>3842</v>
      </c>
      <c r="H953" s="1" t="s">
        <v>3843</v>
      </c>
      <c r="I953" s="1" t="s">
        <v>3844</v>
      </c>
      <c r="J953" s="1" t="s">
        <v>3845</v>
      </c>
      <c r="L953" s="1" t="s">
        <v>9</v>
      </c>
    </row>
    <row r="954" spans="1:12" ht="15.75" customHeight="1" x14ac:dyDescent="0.25">
      <c r="A954" s="1" t="s">
        <v>2590</v>
      </c>
      <c r="B954" s="21">
        <v>12</v>
      </c>
      <c r="C954" s="1" t="s">
        <v>3352</v>
      </c>
      <c r="D954" s="21">
        <v>36</v>
      </c>
      <c r="E954" s="1" t="s">
        <v>3470</v>
      </c>
      <c r="F954" s="21">
        <v>104</v>
      </c>
      <c r="G954" s="1" t="s">
        <v>3846</v>
      </c>
      <c r="H954" s="1" t="s">
        <v>3847</v>
      </c>
      <c r="I954" s="1" t="s">
        <v>3848</v>
      </c>
      <c r="J954" s="1" t="s">
        <v>3849</v>
      </c>
      <c r="L954" s="1" t="s">
        <v>9</v>
      </c>
    </row>
    <row r="955" spans="1:12" ht="15.75" customHeight="1" x14ac:dyDescent="0.25">
      <c r="A955" s="1" t="s">
        <v>2590</v>
      </c>
      <c r="B955" s="21">
        <v>12</v>
      </c>
      <c r="C955" s="1" t="s">
        <v>3352</v>
      </c>
      <c r="D955" s="21">
        <v>36</v>
      </c>
      <c r="E955" s="1" t="s">
        <v>3470</v>
      </c>
      <c r="F955" s="21">
        <v>105</v>
      </c>
      <c r="G955" s="1" t="s">
        <v>3850</v>
      </c>
      <c r="H955" s="1" t="s">
        <v>3851</v>
      </c>
      <c r="I955" s="1" t="s">
        <v>3852</v>
      </c>
      <c r="J955" s="1" t="s">
        <v>700</v>
      </c>
      <c r="L955" s="1" t="s">
        <v>8</v>
      </c>
    </row>
    <row r="956" spans="1:12" ht="15.75" customHeight="1" x14ac:dyDescent="0.25">
      <c r="A956" s="1" t="s">
        <v>2590</v>
      </c>
      <c r="B956" s="21">
        <v>12</v>
      </c>
      <c r="C956" s="1" t="s">
        <v>3352</v>
      </c>
      <c r="D956" s="21">
        <v>36</v>
      </c>
      <c r="E956" s="1" t="s">
        <v>3470</v>
      </c>
      <c r="F956" s="21">
        <v>106</v>
      </c>
      <c r="G956" s="1" t="s">
        <v>3853</v>
      </c>
      <c r="H956" s="1" t="s">
        <v>3854</v>
      </c>
      <c r="I956" s="1" t="s">
        <v>3855</v>
      </c>
      <c r="J956" s="1" t="s">
        <v>3856</v>
      </c>
      <c r="L956" s="1" t="s">
        <v>8</v>
      </c>
    </row>
    <row r="957" spans="1:12" ht="15.75" customHeight="1" x14ac:dyDescent="0.25">
      <c r="A957" s="1" t="s">
        <v>2590</v>
      </c>
      <c r="B957" s="21">
        <v>12</v>
      </c>
      <c r="C957" s="1" t="s">
        <v>3352</v>
      </c>
      <c r="D957" s="21">
        <v>36</v>
      </c>
      <c r="E957" s="1" t="s">
        <v>3470</v>
      </c>
      <c r="F957" s="21">
        <v>107</v>
      </c>
      <c r="G957" s="1" t="s">
        <v>3857</v>
      </c>
      <c r="H957" s="1" t="s">
        <v>3858</v>
      </c>
      <c r="I957" s="1" t="s">
        <v>3859</v>
      </c>
      <c r="J957" s="1" t="s">
        <v>3860</v>
      </c>
      <c r="L957" s="1" t="s">
        <v>9</v>
      </c>
    </row>
    <row r="958" spans="1:12" ht="15.75" customHeight="1" x14ac:dyDescent="0.25">
      <c r="A958" s="1" t="s">
        <v>2590</v>
      </c>
      <c r="B958" s="21">
        <v>12</v>
      </c>
      <c r="C958" s="1" t="s">
        <v>3352</v>
      </c>
      <c r="D958" s="21">
        <v>37</v>
      </c>
      <c r="E958" s="1" t="s">
        <v>3861</v>
      </c>
      <c r="F958" s="21">
        <v>1</v>
      </c>
      <c r="G958" s="2" t="s">
        <v>3479</v>
      </c>
      <c r="H958" s="2" t="s">
        <v>3480</v>
      </c>
      <c r="I958" s="2" t="s">
        <v>3482</v>
      </c>
      <c r="J958" s="2" t="s">
        <v>3481</v>
      </c>
      <c r="K958" s="2"/>
      <c r="L958" s="1" t="s">
        <v>7</v>
      </c>
    </row>
    <row r="959" spans="1:12" ht="15.75" customHeight="1" x14ac:dyDescent="0.25">
      <c r="A959" s="1" t="s">
        <v>2590</v>
      </c>
      <c r="B959" s="21">
        <v>12</v>
      </c>
      <c r="C959" s="1" t="s">
        <v>3352</v>
      </c>
      <c r="D959" s="21">
        <v>37</v>
      </c>
      <c r="E959" s="1" t="s">
        <v>3861</v>
      </c>
      <c r="F959" s="21">
        <v>2</v>
      </c>
      <c r="G959" s="2" t="s">
        <v>3495</v>
      </c>
      <c r="H959" s="2" t="s">
        <v>3057</v>
      </c>
      <c r="I959" s="2" t="s">
        <v>3497</v>
      </c>
      <c r="J959" s="2" t="s">
        <v>3496</v>
      </c>
      <c r="K959" s="2"/>
      <c r="L959" s="1" t="s">
        <v>7</v>
      </c>
    </row>
    <row r="960" spans="1:12" ht="15.75" customHeight="1" x14ac:dyDescent="0.25">
      <c r="A960" s="1" t="s">
        <v>2590</v>
      </c>
      <c r="B960" s="21">
        <v>12</v>
      </c>
      <c r="C960" s="1" t="s">
        <v>3352</v>
      </c>
      <c r="D960" s="21">
        <v>37</v>
      </c>
      <c r="E960" s="1" t="s">
        <v>3861</v>
      </c>
      <c r="F960" s="21">
        <v>3</v>
      </c>
      <c r="G960" s="2" t="s">
        <v>3498</v>
      </c>
      <c r="H960" s="2" t="s">
        <v>3500</v>
      </c>
      <c r="I960" s="2" t="s">
        <v>3501</v>
      </c>
      <c r="J960" s="2" t="s">
        <v>3499</v>
      </c>
      <c r="K960" s="2"/>
      <c r="L960" s="1" t="s">
        <v>9</v>
      </c>
    </row>
    <row r="961" spans="1:12" ht="15.75" customHeight="1" x14ac:dyDescent="0.25">
      <c r="A961" s="1" t="s">
        <v>2590</v>
      </c>
      <c r="B961" s="21">
        <v>12</v>
      </c>
      <c r="C961" s="1" t="s">
        <v>3352</v>
      </c>
      <c r="D961" s="21">
        <v>37</v>
      </c>
      <c r="E961" s="1" t="s">
        <v>3861</v>
      </c>
      <c r="F961" s="21">
        <v>4</v>
      </c>
      <c r="G961" s="2" t="s">
        <v>3862</v>
      </c>
      <c r="H961" s="2" t="s">
        <v>3863</v>
      </c>
      <c r="I961" s="2" t="s">
        <v>3864</v>
      </c>
      <c r="J961" s="2" t="s">
        <v>3865</v>
      </c>
      <c r="K961" s="2"/>
      <c r="L961" s="1" t="s">
        <v>8</v>
      </c>
    </row>
    <row r="962" spans="1:12" ht="15.75" customHeight="1" x14ac:dyDescent="0.25">
      <c r="A962" s="1" t="s">
        <v>2590</v>
      </c>
      <c r="B962" s="21">
        <v>12</v>
      </c>
      <c r="C962" s="1" t="s">
        <v>3352</v>
      </c>
      <c r="D962" s="21">
        <v>37</v>
      </c>
      <c r="E962" s="1" t="s">
        <v>3861</v>
      </c>
      <c r="F962" s="21">
        <v>6</v>
      </c>
      <c r="G962" s="2" t="s">
        <v>3431</v>
      </c>
      <c r="H962" s="2" t="s">
        <v>3432</v>
      </c>
      <c r="I962" s="2" t="s">
        <v>3434</v>
      </c>
      <c r="J962" s="2" t="s">
        <v>3433</v>
      </c>
      <c r="K962" s="2"/>
      <c r="L962" s="1" t="s">
        <v>8</v>
      </c>
    </row>
    <row r="963" spans="1:12" ht="15.75" customHeight="1" x14ac:dyDescent="0.25">
      <c r="A963" s="1" t="s">
        <v>2590</v>
      </c>
      <c r="B963" s="21">
        <v>12</v>
      </c>
      <c r="C963" s="1" t="s">
        <v>3352</v>
      </c>
      <c r="D963" s="21">
        <v>37</v>
      </c>
      <c r="E963" s="1" t="s">
        <v>3861</v>
      </c>
      <c r="F963" s="21">
        <v>7</v>
      </c>
      <c r="G963" s="2" t="s">
        <v>3866</v>
      </c>
      <c r="H963" s="2" t="s">
        <v>3867</v>
      </c>
      <c r="I963" s="2" t="s">
        <v>3868</v>
      </c>
      <c r="J963" s="2" t="s">
        <v>3869</v>
      </c>
      <c r="K963" s="2"/>
      <c r="L963" s="1" t="s">
        <v>7</v>
      </c>
    </row>
    <row r="964" spans="1:12" ht="15.75" customHeight="1" x14ac:dyDescent="0.25">
      <c r="A964" s="1" t="s">
        <v>2590</v>
      </c>
      <c r="B964" s="21">
        <v>12</v>
      </c>
      <c r="C964" s="1" t="s">
        <v>3352</v>
      </c>
      <c r="D964" s="21">
        <v>37</v>
      </c>
      <c r="E964" s="1" t="s">
        <v>3861</v>
      </c>
      <c r="F964" s="21">
        <v>8</v>
      </c>
      <c r="G964" s="2" t="s">
        <v>3870</v>
      </c>
      <c r="H964" s="2" t="s">
        <v>3466</v>
      </c>
      <c r="I964" s="2" t="s">
        <v>3464</v>
      </c>
      <c r="J964" s="2" t="s">
        <v>3465</v>
      </c>
      <c r="K964" s="2"/>
      <c r="L964" s="1" t="s">
        <v>9</v>
      </c>
    </row>
    <row r="965" spans="1:12" ht="15.75" customHeight="1" x14ac:dyDescent="0.25">
      <c r="A965" s="1" t="s">
        <v>2590</v>
      </c>
      <c r="B965" s="21">
        <v>12</v>
      </c>
      <c r="C965" s="1" t="s">
        <v>3352</v>
      </c>
      <c r="D965" s="21">
        <v>37</v>
      </c>
      <c r="E965" s="1" t="s">
        <v>3861</v>
      </c>
      <c r="F965" s="21">
        <v>9</v>
      </c>
      <c r="G965" s="2" t="s">
        <v>3519</v>
      </c>
      <c r="H965" s="2" t="s">
        <v>3521</v>
      </c>
      <c r="I965" s="2" t="s">
        <v>3522</v>
      </c>
      <c r="J965" s="2" t="s">
        <v>3520</v>
      </c>
      <c r="K965" s="2"/>
      <c r="L965" s="1" t="s">
        <v>8</v>
      </c>
    </row>
    <row r="966" spans="1:12" ht="15.75" customHeight="1" x14ac:dyDescent="0.25">
      <c r="A966" s="1" t="s">
        <v>2590</v>
      </c>
      <c r="B966" s="21">
        <v>12</v>
      </c>
      <c r="C966" s="1" t="s">
        <v>3352</v>
      </c>
      <c r="D966" s="21">
        <v>37</v>
      </c>
      <c r="E966" s="1" t="s">
        <v>3861</v>
      </c>
      <c r="F966" s="21">
        <v>1</v>
      </c>
      <c r="G966" s="2" t="s">
        <v>3509</v>
      </c>
      <c r="H966" s="2" t="s">
        <v>3512</v>
      </c>
      <c r="I966" s="2" t="s">
        <v>3510</v>
      </c>
      <c r="J966" s="2" t="s">
        <v>3511</v>
      </c>
      <c r="K966" s="2"/>
      <c r="L966" s="1" t="s">
        <v>7</v>
      </c>
    </row>
    <row r="967" spans="1:12" ht="15.75" customHeight="1" x14ac:dyDescent="0.25">
      <c r="A967" s="1" t="s">
        <v>2590</v>
      </c>
      <c r="B967" s="21">
        <v>12</v>
      </c>
      <c r="C967" s="1" t="s">
        <v>3352</v>
      </c>
      <c r="D967" s="21">
        <v>37</v>
      </c>
      <c r="E967" s="1" t="s">
        <v>3861</v>
      </c>
      <c r="F967" s="21">
        <v>2</v>
      </c>
      <c r="G967" s="2" t="s">
        <v>3871</v>
      </c>
      <c r="H967" s="2" t="s">
        <v>3872</v>
      </c>
      <c r="I967" s="2" t="s">
        <v>3376</v>
      </c>
      <c r="J967" s="2" t="s">
        <v>3873</v>
      </c>
      <c r="K967" s="2"/>
      <c r="L967" s="1" t="s">
        <v>7</v>
      </c>
    </row>
    <row r="968" spans="1:12" ht="15.75" customHeight="1" x14ac:dyDescent="0.25">
      <c r="A968" s="1" t="s">
        <v>2590</v>
      </c>
      <c r="B968" s="21">
        <v>12</v>
      </c>
      <c r="C968" s="1" t="s">
        <v>3352</v>
      </c>
      <c r="D968" s="21">
        <v>37</v>
      </c>
      <c r="E968" s="1" t="s">
        <v>3861</v>
      </c>
      <c r="F968" s="21">
        <v>3</v>
      </c>
      <c r="G968" s="2" t="s">
        <v>3874</v>
      </c>
      <c r="H968" s="2" t="s">
        <v>3875</v>
      </c>
      <c r="I968" s="2" t="s">
        <v>3876</v>
      </c>
      <c r="J968" s="2" t="s">
        <v>3877</v>
      </c>
      <c r="K968" s="2"/>
      <c r="L968" s="1" t="s">
        <v>7</v>
      </c>
    </row>
    <row r="969" spans="1:12" ht="15.75" customHeight="1" x14ac:dyDescent="0.25">
      <c r="A969" s="1" t="s">
        <v>2590</v>
      </c>
      <c r="B969" s="21">
        <v>12</v>
      </c>
      <c r="C969" s="1" t="s">
        <v>3352</v>
      </c>
      <c r="D969" s="21">
        <v>37</v>
      </c>
      <c r="E969" s="1" t="s">
        <v>3861</v>
      </c>
      <c r="F969" s="21">
        <v>4</v>
      </c>
      <c r="G969" s="2" t="s">
        <v>3502</v>
      </c>
      <c r="H969" s="2" t="s">
        <v>3503</v>
      </c>
      <c r="I969" s="2" t="s">
        <v>3504</v>
      </c>
      <c r="J969" s="2" t="s">
        <v>2979</v>
      </c>
      <c r="K969" s="2"/>
      <c r="L969" s="1" t="s">
        <v>9</v>
      </c>
    </row>
    <row r="970" spans="1:12" ht="15.75" customHeight="1" x14ac:dyDescent="0.25">
      <c r="A970" s="1" t="s">
        <v>2590</v>
      </c>
      <c r="B970" s="21">
        <v>12</v>
      </c>
      <c r="C970" s="1" t="s">
        <v>3352</v>
      </c>
      <c r="D970" s="21">
        <v>37</v>
      </c>
      <c r="E970" s="1" t="s">
        <v>3861</v>
      </c>
      <c r="F970" s="21">
        <v>5</v>
      </c>
      <c r="G970" s="2" t="s">
        <v>3878</v>
      </c>
      <c r="H970" s="2" t="s">
        <v>3461</v>
      </c>
      <c r="I970" s="2" t="s">
        <v>3462</v>
      </c>
      <c r="J970" s="2" t="s">
        <v>3460</v>
      </c>
      <c r="K970" s="2"/>
      <c r="L970" s="1" t="s">
        <v>7</v>
      </c>
    </row>
    <row r="971" spans="1:12" ht="15.75" customHeight="1" x14ac:dyDescent="0.25">
      <c r="A971" s="1" t="s">
        <v>2590</v>
      </c>
      <c r="B971" s="21">
        <v>12</v>
      </c>
      <c r="C971" s="1" t="s">
        <v>3352</v>
      </c>
      <c r="D971" s="21">
        <v>37</v>
      </c>
      <c r="E971" s="1" t="s">
        <v>3861</v>
      </c>
      <c r="F971" s="21">
        <v>6</v>
      </c>
      <c r="G971" s="2" t="s">
        <v>3879</v>
      </c>
      <c r="H971" s="2" t="s">
        <v>3380</v>
      </c>
      <c r="I971" s="2" t="s">
        <v>3381</v>
      </c>
      <c r="J971" s="2" t="s">
        <v>3379</v>
      </c>
      <c r="K971" s="2"/>
      <c r="L971" s="1" t="s">
        <v>8</v>
      </c>
    </row>
    <row r="972" spans="1:12" ht="15.75" customHeight="1" x14ac:dyDescent="0.25">
      <c r="A972" s="1" t="s">
        <v>2590</v>
      </c>
      <c r="B972" s="21">
        <v>12</v>
      </c>
      <c r="C972" s="1" t="s">
        <v>3352</v>
      </c>
      <c r="D972" s="21">
        <v>37</v>
      </c>
      <c r="E972" s="1" t="s">
        <v>3861</v>
      </c>
      <c r="F972" s="21">
        <v>7</v>
      </c>
      <c r="G972" s="2" t="s">
        <v>3880</v>
      </c>
      <c r="H972" s="2" t="s">
        <v>3751</v>
      </c>
      <c r="I972" s="2" t="s">
        <v>3881</v>
      </c>
      <c r="J972" s="2" t="s">
        <v>3882</v>
      </c>
      <c r="K972" s="2"/>
      <c r="L972" s="1" t="s">
        <v>8</v>
      </c>
    </row>
    <row r="973" spans="1:12" ht="15.75" customHeight="1" x14ac:dyDescent="0.25">
      <c r="A973" s="1" t="s">
        <v>2590</v>
      </c>
      <c r="B973" s="21">
        <v>12</v>
      </c>
      <c r="C973" s="1" t="s">
        <v>3352</v>
      </c>
      <c r="D973" s="21">
        <v>37</v>
      </c>
      <c r="E973" s="1" t="s">
        <v>3861</v>
      </c>
      <c r="F973" s="21">
        <v>8</v>
      </c>
      <c r="G973" s="2" t="s">
        <v>3515</v>
      </c>
      <c r="H973" s="2" t="s">
        <v>3516</v>
      </c>
      <c r="I973" s="2" t="s">
        <v>3518</v>
      </c>
      <c r="J973" s="2" t="s">
        <v>3517</v>
      </c>
      <c r="K973" s="2"/>
      <c r="L973" s="1" t="s">
        <v>7</v>
      </c>
    </row>
    <row r="974" spans="1:12" ht="15.75" customHeight="1" x14ac:dyDescent="0.25">
      <c r="A974" s="1" t="s">
        <v>2590</v>
      </c>
      <c r="B974" s="21">
        <v>12</v>
      </c>
      <c r="C974" s="1" t="s">
        <v>3352</v>
      </c>
      <c r="D974" s="21">
        <v>37</v>
      </c>
      <c r="E974" s="1" t="s">
        <v>3861</v>
      </c>
      <c r="F974" s="21">
        <v>9</v>
      </c>
      <c r="G974" s="2" t="s">
        <v>3883</v>
      </c>
      <c r="H974" s="2" t="s">
        <v>3363</v>
      </c>
      <c r="I974" s="2" t="s">
        <v>3884</v>
      </c>
      <c r="J974" s="2" t="s">
        <v>3365</v>
      </c>
      <c r="K974" s="2"/>
      <c r="L974" s="1" t="s">
        <v>8</v>
      </c>
    </row>
    <row r="975" spans="1:12" ht="15.75" customHeight="1" x14ac:dyDescent="0.25">
      <c r="A975" s="1" t="s">
        <v>2590</v>
      </c>
      <c r="B975" s="21">
        <v>12</v>
      </c>
      <c r="C975" s="1" t="s">
        <v>3352</v>
      </c>
      <c r="D975" s="21">
        <v>37</v>
      </c>
      <c r="E975" s="1" t="s">
        <v>3861</v>
      </c>
      <c r="F975" s="21">
        <v>1</v>
      </c>
      <c r="G975" s="2" t="s">
        <v>3523</v>
      </c>
      <c r="H975" s="2" t="s">
        <v>3526</v>
      </c>
      <c r="I975" s="2" t="s">
        <v>3525</v>
      </c>
      <c r="J975" s="2" t="s">
        <v>3524</v>
      </c>
      <c r="K975" s="2"/>
      <c r="L975" s="1" t="s">
        <v>7</v>
      </c>
    </row>
    <row r="976" spans="1:12" ht="15.75" customHeight="1" x14ac:dyDescent="0.25">
      <c r="A976" s="1" t="s">
        <v>2590</v>
      </c>
      <c r="B976" s="21">
        <v>12</v>
      </c>
      <c r="C976" s="1" t="s">
        <v>3352</v>
      </c>
      <c r="D976" s="21">
        <v>37</v>
      </c>
      <c r="E976" s="1" t="s">
        <v>3861</v>
      </c>
      <c r="F976" s="21">
        <v>2</v>
      </c>
      <c r="G976" s="2" t="s">
        <v>3885</v>
      </c>
      <c r="H976" s="2" t="s">
        <v>3886</v>
      </c>
      <c r="I976" s="2" t="s">
        <v>3357</v>
      </c>
      <c r="J976" s="2" t="s">
        <v>3355</v>
      </c>
      <c r="K976" s="2"/>
      <c r="L976" s="1" t="s">
        <v>7</v>
      </c>
    </row>
    <row r="977" spans="1:12" ht="15.75" customHeight="1" x14ac:dyDescent="0.25">
      <c r="A977" s="1" t="s">
        <v>2590</v>
      </c>
      <c r="B977" s="21">
        <v>12</v>
      </c>
      <c r="C977" s="1" t="s">
        <v>3352</v>
      </c>
      <c r="D977" s="21">
        <v>37</v>
      </c>
      <c r="E977" s="1" t="s">
        <v>3861</v>
      </c>
      <c r="F977" s="21">
        <v>3</v>
      </c>
      <c r="G977" s="2" t="s">
        <v>3491</v>
      </c>
      <c r="H977" s="2" t="s">
        <v>3493</v>
      </c>
      <c r="I977" s="2" t="s">
        <v>3492</v>
      </c>
      <c r="J977" s="2" t="s">
        <v>3494</v>
      </c>
      <c r="K977" s="2"/>
      <c r="L977" s="1" t="s">
        <v>9</v>
      </c>
    </row>
    <row r="978" spans="1:12" ht="15.75" customHeight="1" x14ac:dyDescent="0.25">
      <c r="A978" s="1" t="s">
        <v>2590</v>
      </c>
      <c r="B978" s="21">
        <v>12</v>
      </c>
      <c r="C978" s="1" t="s">
        <v>3352</v>
      </c>
      <c r="D978" s="21">
        <v>37</v>
      </c>
      <c r="E978" s="1" t="s">
        <v>3861</v>
      </c>
      <c r="F978" s="21">
        <v>4</v>
      </c>
      <c r="G978" s="2" t="s">
        <v>3887</v>
      </c>
      <c r="H978" s="2" t="s">
        <v>3541</v>
      </c>
      <c r="I978" s="2" t="s">
        <v>3542</v>
      </c>
      <c r="J978" s="2" t="s">
        <v>3540</v>
      </c>
      <c r="K978" s="2"/>
      <c r="L978" s="1" t="s">
        <v>7</v>
      </c>
    </row>
    <row r="979" spans="1:12" ht="15.75" customHeight="1" x14ac:dyDescent="0.25">
      <c r="A979" s="1" t="s">
        <v>2590</v>
      </c>
      <c r="B979" s="21">
        <v>12</v>
      </c>
      <c r="C979" s="1" t="s">
        <v>3352</v>
      </c>
      <c r="D979" s="21">
        <v>37</v>
      </c>
      <c r="E979" s="1" t="s">
        <v>3861</v>
      </c>
      <c r="F979" s="21">
        <v>5</v>
      </c>
      <c r="G979" s="2" t="s">
        <v>3888</v>
      </c>
      <c r="H979" s="2" t="s">
        <v>3417</v>
      </c>
      <c r="I979" s="2" t="s">
        <v>3418</v>
      </c>
      <c r="J979" s="2" t="s">
        <v>3419</v>
      </c>
      <c r="K979" s="2"/>
      <c r="L979" s="1" t="s">
        <v>9</v>
      </c>
    </row>
    <row r="980" spans="1:12" ht="15.75" customHeight="1" x14ac:dyDescent="0.25">
      <c r="A980" s="1" t="s">
        <v>2590</v>
      </c>
      <c r="B980" s="21">
        <v>12</v>
      </c>
      <c r="C980" s="1" t="s">
        <v>3352</v>
      </c>
      <c r="D980" s="21">
        <v>37</v>
      </c>
      <c r="E980" s="1" t="s">
        <v>3861</v>
      </c>
      <c r="F980" s="21">
        <v>6</v>
      </c>
      <c r="G980" s="2" t="s">
        <v>3889</v>
      </c>
      <c r="H980" s="2" t="s">
        <v>3890</v>
      </c>
      <c r="I980" s="2" t="s">
        <v>3891</v>
      </c>
      <c r="J980" s="2" t="s">
        <v>3892</v>
      </c>
      <c r="K980" s="2"/>
      <c r="L980" s="1" t="s">
        <v>7</v>
      </c>
    </row>
    <row r="981" spans="1:12" ht="15.75" customHeight="1" x14ac:dyDescent="0.25">
      <c r="A981" s="1" t="s">
        <v>2590</v>
      </c>
      <c r="B981" s="21">
        <v>12</v>
      </c>
      <c r="C981" s="1" t="s">
        <v>3352</v>
      </c>
      <c r="D981" s="21">
        <v>37</v>
      </c>
      <c r="E981" s="1" t="s">
        <v>3861</v>
      </c>
      <c r="F981" s="21">
        <v>9</v>
      </c>
      <c r="G981" s="2" t="s">
        <v>3893</v>
      </c>
      <c r="H981" s="2" t="s">
        <v>3894</v>
      </c>
      <c r="I981" s="2" t="s">
        <v>3895</v>
      </c>
      <c r="J981" s="2" t="s">
        <v>3896</v>
      </c>
      <c r="K981" s="2"/>
      <c r="L981" s="1" t="s">
        <v>8</v>
      </c>
    </row>
    <row r="982" spans="1:12" ht="15.75" customHeight="1" x14ac:dyDescent="0.25">
      <c r="A982" s="1" t="s">
        <v>2590</v>
      </c>
      <c r="B982" s="21">
        <v>12</v>
      </c>
      <c r="C982" s="1" t="s">
        <v>3352</v>
      </c>
      <c r="D982" s="21">
        <v>37</v>
      </c>
      <c r="E982" s="1" t="s">
        <v>3861</v>
      </c>
      <c r="F982" s="21">
        <v>1</v>
      </c>
      <c r="G982" s="2" t="s">
        <v>3897</v>
      </c>
      <c r="H982" s="2" t="s">
        <v>3898</v>
      </c>
      <c r="I982" s="2" t="s">
        <v>3899</v>
      </c>
      <c r="J982" s="2" t="s">
        <v>3900</v>
      </c>
      <c r="K982" s="2"/>
      <c r="L982" s="1" t="s">
        <v>9</v>
      </c>
    </row>
    <row r="983" spans="1:12" ht="15.75" customHeight="1" x14ac:dyDescent="0.25">
      <c r="A983" s="1" t="s">
        <v>2590</v>
      </c>
      <c r="B983" s="21">
        <v>12</v>
      </c>
      <c r="C983" s="1" t="s">
        <v>3352</v>
      </c>
      <c r="D983" s="21">
        <v>37</v>
      </c>
      <c r="E983" s="1" t="s">
        <v>3861</v>
      </c>
      <c r="F983" s="21">
        <v>2</v>
      </c>
      <c r="G983" s="2" t="s">
        <v>3901</v>
      </c>
      <c r="H983" s="2" t="s">
        <v>3361</v>
      </c>
      <c r="I983" s="2" t="s">
        <v>3360</v>
      </c>
      <c r="J983" s="2" t="s">
        <v>3359</v>
      </c>
      <c r="K983" s="2"/>
      <c r="L983" s="1" t="s">
        <v>7</v>
      </c>
    </row>
    <row r="984" spans="1:12" ht="15.75" customHeight="1" x14ac:dyDescent="0.25">
      <c r="A984" s="1" t="s">
        <v>2590</v>
      </c>
      <c r="B984" s="21">
        <v>12</v>
      </c>
      <c r="C984" s="1" t="s">
        <v>3352</v>
      </c>
      <c r="D984" s="21">
        <v>37</v>
      </c>
      <c r="E984" s="1" t="s">
        <v>3861</v>
      </c>
      <c r="F984" s="21">
        <v>3</v>
      </c>
      <c r="G984" s="2" t="s">
        <v>3902</v>
      </c>
      <c r="H984" s="2" t="s">
        <v>3903</v>
      </c>
      <c r="I984" s="2" t="s">
        <v>3904</v>
      </c>
      <c r="J984" s="2" t="s">
        <v>3905</v>
      </c>
      <c r="K984" s="2"/>
      <c r="L984" s="1" t="s">
        <v>7</v>
      </c>
    </row>
    <row r="985" spans="1:12" ht="15.75" customHeight="1" x14ac:dyDescent="0.25">
      <c r="A985" s="1" t="s">
        <v>2590</v>
      </c>
      <c r="B985" s="21">
        <v>12</v>
      </c>
      <c r="C985" s="1" t="s">
        <v>3352</v>
      </c>
      <c r="D985" s="21">
        <v>37</v>
      </c>
      <c r="E985" s="1" t="s">
        <v>3861</v>
      </c>
      <c r="F985" s="21">
        <v>4</v>
      </c>
      <c r="G985" s="2" t="s">
        <v>3906</v>
      </c>
      <c r="H985" s="2" t="s">
        <v>3425</v>
      </c>
      <c r="I985" s="2" t="s">
        <v>3907</v>
      </c>
      <c r="J985" s="2" t="s">
        <v>3426</v>
      </c>
      <c r="K985" s="2"/>
      <c r="L985" s="1" t="s">
        <v>9</v>
      </c>
    </row>
    <row r="986" spans="1:12" ht="15.75" customHeight="1" x14ac:dyDescent="0.25">
      <c r="A986" s="1" t="s">
        <v>2590</v>
      </c>
      <c r="B986" s="21">
        <v>12</v>
      </c>
      <c r="C986" s="1" t="s">
        <v>3352</v>
      </c>
      <c r="D986" s="21">
        <v>37</v>
      </c>
      <c r="E986" s="1" t="s">
        <v>3861</v>
      </c>
      <c r="F986" s="21">
        <v>5</v>
      </c>
      <c r="G986" s="2" t="s">
        <v>3471</v>
      </c>
      <c r="H986" s="2" t="s">
        <v>3474</v>
      </c>
      <c r="I986" s="2" t="s">
        <v>3473</v>
      </c>
      <c r="J986" s="2" t="s">
        <v>3472</v>
      </c>
      <c r="K986" s="2"/>
      <c r="L986" s="1" t="s">
        <v>9</v>
      </c>
    </row>
    <row r="987" spans="1:12" ht="15.75" customHeight="1" x14ac:dyDescent="0.25">
      <c r="A987" s="1" t="s">
        <v>2590</v>
      </c>
      <c r="B987" s="21">
        <v>12</v>
      </c>
      <c r="C987" s="1" t="s">
        <v>3352</v>
      </c>
      <c r="D987" s="21">
        <v>37</v>
      </c>
      <c r="E987" s="1" t="s">
        <v>3861</v>
      </c>
      <c r="F987" s="21">
        <v>6</v>
      </c>
      <c r="G987" s="2" t="s">
        <v>3908</v>
      </c>
      <c r="H987" s="2" t="s">
        <v>3909</v>
      </c>
      <c r="I987" s="2" t="s">
        <v>3910</v>
      </c>
      <c r="J987" s="2" t="s">
        <v>3911</v>
      </c>
      <c r="K987" s="2"/>
      <c r="L987" s="1" t="s">
        <v>8</v>
      </c>
    </row>
    <row r="988" spans="1:12" ht="15.75" customHeight="1" x14ac:dyDescent="0.25">
      <c r="A988" s="1" t="s">
        <v>2590</v>
      </c>
      <c r="B988" s="21">
        <v>12</v>
      </c>
      <c r="C988" s="1" t="s">
        <v>3352</v>
      </c>
      <c r="D988" s="21">
        <v>37</v>
      </c>
      <c r="E988" s="1" t="s">
        <v>3861</v>
      </c>
      <c r="F988" s="21">
        <v>8</v>
      </c>
      <c r="G988" s="2" t="s">
        <v>3912</v>
      </c>
      <c r="H988" s="2" t="s">
        <v>3913</v>
      </c>
      <c r="I988" s="2" t="s">
        <v>3430</v>
      </c>
      <c r="J988" s="2" t="s">
        <v>3429</v>
      </c>
      <c r="K988" s="2"/>
      <c r="L988" s="1" t="s">
        <v>9</v>
      </c>
    </row>
    <row r="989" spans="1:12" ht="15.75" customHeight="1" x14ac:dyDescent="0.25">
      <c r="A989" s="1" t="s">
        <v>2590</v>
      </c>
      <c r="B989" s="21">
        <v>12</v>
      </c>
      <c r="C989" s="1" t="s">
        <v>3352</v>
      </c>
      <c r="D989" s="21">
        <v>37</v>
      </c>
      <c r="E989" s="1" t="s">
        <v>3861</v>
      </c>
      <c r="F989" s="21">
        <v>9</v>
      </c>
      <c r="G989" s="2" t="s">
        <v>3914</v>
      </c>
      <c r="H989" s="2" t="s">
        <v>3915</v>
      </c>
      <c r="I989" s="2" t="s">
        <v>3916</v>
      </c>
      <c r="J989" s="2" t="s">
        <v>3066</v>
      </c>
      <c r="K989" s="2"/>
      <c r="L989" s="1" t="s">
        <v>8</v>
      </c>
    </row>
    <row r="990" spans="1:12" ht="15.75" customHeight="1" x14ac:dyDescent="0.25">
      <c r="A990" s="1" t="s">
        <v>2590</v>
      </c>
      <c r="B990" s="21">
        <v>12</v>
      </c>
      <c r="C990" s="1" t="s">
        <v>3352</v>
      </c>
      <c r="D990" s="21">
        <v>38</v>
      </c>
      <c r="E990" s="1" t="s">
        <v>3917</v>
      </c>
      <c r="F990" s="21">
        <v>1</v>
      </c>
      <c r="G990" s="1" t="s">
        <v>3918</v>
      </c>
      <c r="H990" s="1" t="s">
        <v>3919</v>
      </c>
      <c r="I990" s="1" t="s">
        <v>3920</v>
      </c>
      <c r="J990" s="1" t="s">
        <v>3921</v>
      </c>
      <c r="L990" s="1" t="s">
        <v>8</v>
      </c>
    </row>
    <row r="991" spans="1:12" ht="15.75" customHeight="1" x14ac:dyDescent="0.25">
      <c r="A991" s="1" t="s">
        <v>2590</v>
      </c>
      <c r="B991" s="21">
        <v>12</v>
      </c>
      <c r="C991" s="1" t="s">
        <v>3352</v>
      </c>
      <c r="D991" s="21">
        <v>38</v>
      </c>
      <c r="E991" s="1" t="s">
        <v>3917</v>
      </c>
      <c r="F991" s="21">
        <v>2</v>
      </c>
      <c r="G991" s="1" t="s">
        <v>3922</v>
      </c>
      <c r="H991" s="1" t="s">
        <v>3923</v>
      </c>
      <c r="I991" s="1" t="s">
        <v>3924</v>
      </c>
      <c r="J991" s="1" t="s">
        <v>3925</v>
      </c>
      <c r="L991" s="1" t="s">
        <v>7</v>
      </c>
    </row>
    <row r="992" spans="1:12" ht="15.75" customHeight="1" x14ac:dyDescent="0.25">
      <c r="A992" s="1" t="s">
        <v>2590</v>
      </c>
      <c r="B992" s="21">
        <v>12</v>
      </c>
      <c r="C992" s="1" t="s">
        <v>3352</v>
      </c>
      <c r="D992" s="21">
        <v>38</v>
      </c>
      <c r="E992" s="1" t="s">
        <v>3917</v>
      </c>
      <c r="F992" s="21">
        <v>3</v>
      </c>
      <c r="G992" s="1" t="s">
        <v>3926</v>
      </c>
      <c r="H992" s="1" t="s">
        <v>3927</v>
      </c>
      <c r="I992" s="1" t="s">
        <v>3928</v>
      </c>
      <c r="J992" s="1" t="s">
        <v>3929</v>
      </c>
      <c r="L992" s="1" t="s">
        <v>7</v>
      </c>
    </row>
    <row r="993" spans="1:12" ht="15.75" customHeight="1" x14ac:dyDescent="0.25">
      <c r="A993" s="1" t="s">
        <v>2590</v>
      </c>
      <c r="B993" s="21">
        <v>12</v>
      </c>
      <c r="C993" s="1" t="s">
        <v>3352</v>
      </c>
      <c r="D993" s="21">
        <v>38</v>
      </c>
      <c r="E993" s="1" t="s">
        <v>3917</v>
      </c>
      <c r="F993" s="21">
        <v>4</v>
      </c>
      <c r="G993" s="1" t="s">
        <v>3930</v>
      </c>
      <c r="H993" s="1" t="s">
        <v>3931</v>
      </c>
      <c r="I993" s="1" t="s">
        <v>3932</v>
      </c>
      <c r="J993" s="1" t="s">
        <v>3933</v>
      </c>
      <c r="L993" s="1" t="s">
        <v>8</v>
      </c>
    </row>
    <row r="994" spans="1:12" ht="15.75" customHeight="1" x14ac:dyDescent="0.25">
      <c r="A994" s="1" t="s">
        <v>2590</v>
      </c>
      <c r="B994" s="21">
        <v>12</v>
      </c>
      <c r="C994" s="1" t="s">
        <v>3352</v>
      </c>
      <c r="D994" s="21">
        <v>38</v>
      </c>
      <c r="E994" s="1" t="s">
        <v>3917</v>
      </c>
      <c r="F994" s="21">
        <v>5</v>
      </c>
      <c r="G994" s="1" t="s">
        <v>3934</v>
      </c>
      <c r="H994" s="1" t="s">
        <v>3935</v>
      </c>
      <c r="I994" s="1" t="s">
        <v>3936</v>
      </c>
      <c r="J994" s="1" t="s">
        <v>3937</v>
      </c>
      <c r="L994" s="1" t="s">
        <v>9</v>
      </c>
    </row>
    <row r="995" spans="1:12" ht="15.75" customHeight="1" x14ac:dyDescent="0.25">
      <c r="A995" s="1" t="s">
        <v>2590</v>
      </c>
      <c r="B995" s="21">
        <v>12</v>
      </c>
      <c r="C995" s="1" t="s">
        <v>3352</v>
      </c>
      <c r="D995" s="21">
        <v>38</v>
      </c>
      <c r="E995" s="1" t="s">
        <v>3917</v>
      </c>
      <c r="F995" s="21">
        <v>6</v>
      </c>
      <c r="G995" s="1" t="s">
        <v>3938</v>
      </c>
      <c r="H995" s="1" t="s">
        <v>3939</v>
      </c>
      <c r="I995" s="1" t="s">
        <v>3940</v>
      </c>
      <c r="J995" s="1" t="s">
        <v>3941</v>
      </c>
      <c r="L995" s="1" t="s">
        <v>8</v>
      </c>
    </row>
    <row r="996" spans="1:12" ht="15.75" customHeight="1" x14ac:dyDescent="0.25">
      <c r="A996" s="1" t="s">
        <v>2590</v>
      </c>
      <c r="B996" s="21">
        <v>12</v>
      </c>
      <c r="C996" s="1" t="s">
        <v>3352</v>
      </c>
      <c r="D996" s="21">
        <v>38</v>
      </c>
      <c r="E996" s="1" t="s">
        <v>3917</v>
      </c>
      <c r="F996" s="21">
        <v>7</v>
      </c>
      <c r="G996" s="1" t="s">
        <v>3942</v>
      </c>
      <c r="H996" s="1" t="s">
        <v>3943</v>
      </c>
      <c r="I996" s="1" t="s">
        <v>3944</v>
      </c>
      <c r="J996" s="1" t="s">
        <v>3945</v>
      </c>
      <c r="L996" s="1" t="s">
        <v>7</v>
      </c>
    </row>
    <row r="997" spans="1:12" ht="15.75" customHeight="1" x14ac:dyDescent="0.25">
      <c r="A997" s="1" t="s">
        <v>2590</v>
      </c>
      <c r="B997" s="21">
        <v>12</v>
      </c>
      <c r="C997" s="1" t="s">
        <v>3352</v>
      </c>
      <c r="D997" s="21">
        <v>38</v>
      </c>
      <c r="E997" s="1" t="s">
        <v>3917</v>
      </c>
      <c r="F997" s="21">
        <v>8</v>
      </c>
      <c r="G997" s="1" t="s">
        <v>3946</v>
      </c>
      <c r="H997" s="1" t="s">
        <v>3947</v>
      </c>
      <c r="I997" s="1" t="s">
        <v>3948</v>
      </c>
      <c r="J997" s="1" t="s">
        <v>3949</v>
      </c>
      <c r="L997" s="1" t="s">
        <v>7</v>
      </c>
    </row>
    <row r="998" spans="1:12" ht="15.75" customHeight="1" x14ac:dyDescent="0.25">
      <c r="A998" s="1" t="s">
        <v>2590</v>
      </c>
      <c r="B998" s="21">
        <v>12</v>
      </c>
      <c r="C998" s="1" t="s">
        <v>3352</v>
      </c>
      <c r="D998" s="21">
        <v>38</v>
      </c>
      <c r="E998" s="1" t="s">
        <v>3917</v>
      </c>
      <c r="F998" s="21">
        <v>9</v>
      </c>
      <c r="G998" s="1" t="s">
        <v>3950</v>
      </c>
      <c r="H998" s="1" t="s">
        <v>3951</v>
      </c>
      <c r="I998" s="1" t="s">
        <v>3952</v>
      </c>
      <c r="J998" s="1" t="s">
        <v>3953</v>
      </c>
      <c r="L998" s="1" t="s">
        <v>9</v>
      </c>
    </row>
    <row r="999" spans="1:12" ht="15.75" customHeight="1" x14ac:dyDescent="0.25">
      <c r="A999" s="1" t="s">
        <v>2590</v>
      </c>
      <c r="B999" s="21">
        <v>12</v>
      </c>
      <c r="C999" s="1" t="s">
        <v>3352</v>
      </c>
      <c r="D999" s="21">
        <v>38</v>
      </c>
      <c r="E999" s="1" t="s">
        <v>3917</v>
      </c>
      <c r="F999" s="21">
        <v>10</v>
      </c>
      <c r="G999" s="1" t="s">
        <v>3954</v>
      </c>
      <c r="H999" s="1" t="s">
        <v>3955</v>
      </c>
      <c r="I999" s="1" t="s">
        <v>3956</v>
      </c>
      <c r="J999" s="1" t="s">
        <v>739</v>
      </c>
      <c r="L999" s="1" t="s">
        <v>7</v>
      </c>
    </row>
    <row r="1000" spans="1:12" ht="15.75" customHeight="1" x14ac:dyDescent="0.25">
      <c r="A1000" s="1" t="s">
        <v>2590</v>
      </c>
      <c r="B1000" s="21">
        <v>12</v>
      </c>
      <c r="C1000" s="1" t="s">
        <v>3352</v>
      </c>
      <c r="D1000" s="21">
        <v>38</v>
      </c>
      <c r="E1000" s="1" t="s">
        <v>3917</v>
      </c>
      <c r="F1000" s="21">
        <v>11</v>
      </c>
      <c r="G1000" s="1" t="s">
        <v>3957</v>
      </c>
      <c r="H1000" s="1" t="s">
        <v>3958</v>
      </c>
      <c r="I1000" s="1" t="s">
        <v>3959</v>
      </c>
      <c r="J1000" s="1" t="s">
        <v>3960</v>
      </c>
      <c r="L1000" s="1" t="s">
        <v>8</v>
      </c>
    </row>
    <row r="1001" spans="1:12" ht="15.75" customHeight="1" x14ac:dyDescent="0.25">
      <c r="A1001" s="1" t="s">
        <v>2590</v>
      </c>
      <c r="B1001" s="21">
        <v>12</v>
      </c>
      <c r="C1001" s="1" t="s">
        <v>3352</v>
      </c>
      <c r="D1001" s="21">
        <v>38</v>
      </c>
      <c r="E1001" s="1" t="s">
        <v>3917</v>
      </c>
      <c r="F1001" s="21">
        <v>12</v>
      </c>
      <c r="G1001" s="1" t="s">
        <v>3961</v>
      </c>
      <c r="H1001" s="1" t="s">
        <v>3962</v>
      </c>
      <c r="I1001" s="1" t="s">
        <v>3963</v>
      </c>
      <c r="J1001" s="1" t="s">
        <v>3964</v>
      </c>
      <c r="L1001" s="1" t="s">
        <v>8</v>
      </c>
    </row>
    <row r="1002" spans="1:12" ht="15.75" customHeight="1" x14ac:dyDescent="0.25">
      <c r="A1002" s="1" t="s">
        <v>2590</v>
      </c>
      <c r="B1002" s="21">
        <v>12</v>
      </c>
      <c r="C1002" s="1" t="s">
        <v>3352</v>
      </c>
      <c r="D1002" s="21">
        <v>38</v>
      </c>
      <c r="E1002" s="1" t="s">
        <v>3917</v>
      </c>
      <c r="F1002" s="21">
        <v>13</v>
      </c>
      <c r="G1002" s="1" t="s">
        <v>3965</v>
      </c>
      <c r="H1002" s="1" t="s">
        <v>3966</v>
      </c>
      <c r="I1002" s="1" t="s">
        <v>3967</v>
      </c>
      <c r="J1002" s="1" t="s">
        <v>3968</v>
      </c>
      <c r="L1002" s="1" t="s">
        <v>7</v>
      </c>
    </row>
    <row r="1003" spans="1:12" ht="15.75" customHeight="1" x14ac:dyDescent="0.25">
      <c r="A1003" s="1" t="s">
        <v>2590</v>
      </c>
      <c r="B1003" s="21">
        <v>12</v>
      </c>
      <c r="C1003" s="1" t="s">
        <v>3352</v>
      </c>
      <c r="D1003" s="21">
        <v>38</v>
      </c>
      <c r="E1003" s="1" t="s">
        <v>3917</v>
      </c>
      <c r="F1003" s="21">
        <v>14</v>
      </c>
      <c r="G1003" s="1" t="s">
        <v>3969</v>
      </c>
      <c r="H1003" s="1" t="s">
        <v>3970</v>
      </c>
      <c r="I1003" s="1" t="s">
        <v>3971</v>
      </c>
      <c r="J1003" s="1" t="s">
        <v>3972</v>
      </c>
      <c r="L1003" s="1" t="s">
        <v>9</v>
      </c>
    </row>
    <row r="1004" spans="1:12" ht="15.75" customHeight="1" x14ac:dyDescent="0.25">
      <c r="A1004" s="1" t="s">
        <v>2590</v>
      </c>
      <c r="B1004" s="21">
        <v>12</v>
      </c>
      <c r="C1004" s="1" t="s">
        <v>3352</v>
      </c>
      <c r="D1004" s="21">
        <v>38</v>
      </c>
      <c r="E1004" s="1" t="s">
        <v>3917</v>
      </c>
      <c r="F1004" s="21">
        <v>15</v>
      </c>
      <c r="G1004" s="1" t="s">
        <v>3973</v>
      </c>
      <c r="H1004" s="1" t="s">
        <v>3974</v>
      </c>
      <c r="I1004" s="1" t="s">
        <v>3975</v>
      </c>
      <c r="J1004" s="1" t="s">
        <v>3976</v>
      </c>
      <c r="L1004" s="1" t="s">
        <v>8</v>
      </c>
    </row>
    <row r="1005" spans="1:12" ht="15.75" customHeight="1" x14ac:dyDescent="0.25">
      <c r="A1005" s="1" t="s">
        <v>2590</v>
      </c>
      <c r="B1005" s="21">
        <v>12</v>
      </c>
      <c r="C1005" s="1" t="s">
        <v>3352</v>
      </c>
      <c r="D1005" s="21">
        <v>38</v>
      </c>
      <c r="E1005" s="1" t="s">
        <v>3917</v>
      </c>
      <c r="F1005" s="21">
        <v>16</v>
      </c>
      <c r="G1005" s="1" t="s">
        <v>3977</v>
      </c>
      <c r="H1005" s="1" t="s">
        <v>3978</v>
      </c>
      <c r="I1005" s="1" t="s">
        <v>3979</v>
      </c>
      <c r="J1005" s="1" t="s">
        <v>3980</v>
      </c>
      <c r="L1005" s="1" t="s">
        <v>7</v>
      </c>
    </row>
    <row r="1006" spans="1:12" ht="15.75" customHeight="1" x14ac:dyDescent="0.25">
      <c r="A1006" s="1" t="s">
        <v>2590</v>
      </c>
      <c r="B1006" s="21">
        <v>12</v>
      </c>
      <c r="C1006" s="1" t="s">
        <v>3352</v>
      </c>
      <c r="D1006" s="21">
        <v>38</v>
      </c>
      <c r="E1006" s="1" t="s">
        <v>3917</v>
      </c>
      <c r="F1006" s="21">
        <v>17</v>
      </c>
      <c r="G1006" s="1" t="s">
        <v>3981</v>
      </c>
      <c r="H1006" s="1" t="s">
        <v>3982</v>
      </c>
      <c r="I1006" s="1" t="s">
        <v>3983</v>
      </c>
      <c r="J1006" s="1" t="s">
        <v>3984</v>
      </c>
      <c r="L1006" s="1" t="s">
        <v>9</v>
      </c>
    </row>
    <row r="1007" spans="1:12" ht="15.75" customHeight="1" x14ac:dyDescent="0.25">
      <c r="A1007" s="1" t="s">
        <v>2590</v>
      </c>
      <c r="B1007" s="21">
        <v>12</v>
      </c>
      <c r="C1007" s="1" t="s">
        <v>3352</v>
      </c>
      <c r="D1007" s="21">
        <v>38</v>
      </c>
      <c r="E1007" s="1" t="s">
        <v>3917</v>
      </c>
      <c r="F1007" s="21">
        <v>18</v>
      </c>
      <c r="G1007" s="1" t="s">
        <v>3985</v>
      </c>
      <c r="H1007" s="1" t="s">
        <v>3986</v>
      </c>
      <c r="I1007" s="1" t="s">
        <v>3987</v>
      </c>
      <c r="J1007" s="1" t="s">
        <v>3988</v>
      </c>
      <c r="L1007" s="1" t="s">
        <v>9</v>
      </c>
    </row>
    <row r="1008" spans="1:12" ht="15.75" customHeight="1" x14ac:dyDescent="0.25">
      <c r="A1008" s="1" t="s">
        <v>2590</v>
      </c>
      <c r="B1008" s="21">
        <v>12</v>
      </c>
      <c r="C1008" s="1" t="s">
        <v>3352</v>
      </c>
      <c r="D1008" s="21">
        <v>38</v>
      </c>
      <c r="E1008" s="1" t="s">
        <v>3917</v>
      </c>
      <c r="F1008" s="21">
        <v>19</v>
      </c>
      <c r="G1008" s="1" t="s">
        <v>3989</v>
      </c>
      <c r="H1008" s="1" t="s">
        <v>3990</v>
      </c>
      <c r="I1008" s="1" t="s">
        <v>3991</v>
      </c>
      <c r="J1008" s="1" t="s">
        <v>3992</v>
      </c>
      <c r="L1008" s="1" t="s">
        <v>9</v>
      </c>
    </row>
    <row r="1009" spans="1:12" ht="15.75" customHeight="1" x14ac:dyDescent="0.25">
      <c r="A1009" s="1" t="s">
        <v>2590</v>
      </c>
      <c r="B1009" s="21">
        <v>12</v>
      </c>
      <c r="C1009" s="1" t="s">
        <v>3352</v>
      </c>
      <c r="D1009" s="21">
        <v>38</v>
      </c>
      <c r="E1009" s="1" t="s">
        <v>3917</v>
      </c>
      <c r="F1009" s="21">
        <v>20</v>
      </c>
      <c r="G1009" s="1" t="s">
        <v>3993</v>
      </c>
      <c r="H1009" s="1" t="s">
        <v>3994</v>
      </c>
      <c r="I1009" s="1" t="s">
        <v>3995</v>
      </c>
      <c r="J1009" s="1" t="s">
        <v>3996</v>
      </c>
      <c r="L1009" s="1" t="s">
        <v>8</v>
      </c>
    </row>
    <row r="1010" spans="1:12" ht="15.75" customHeight="1" x14ac:dyDescent="0.25">
      <c r="A1010" s="1" t="s">
        <v>2590</v>
      </c>
      <c r="B1010" s="21">
        <v>12</v>
      </c>
      <c r="C1010" s="1" t="s">
        <v>3352</v>
      </c>
      <c r="D1010" s="21">
        <v>38</v>
      </c>
      <c r="E1010" s="1" t="s">
        <v>3917</v>
      </c>
      <c r="F1010" s="21">
        <v>21</v>
      </c>
      <c r="G1010" s="1" t="s">
        <v>3997</v>
      </c>
      <c r="H1010" s="1" t="s">
        <v>3998</v>
      </c>
      <c r="I1010" s="1" t="s">
        <v>3999</v>
      </c>
      <c r="J1010" s="1" t="s">
        <v>4000</v>
      </c>
      <c r="L1010" s="1" t="s">
        <v>8</v>
      </c>
    </row>
    <row r="1011" spans="1:12" ht="15.75" customHeight="1" x14ac:dyDescent="0.25">
      <c r="A1011" s="1" t="s">
        <v>2590</v>
      </c>
      <c r="B1011" s="21">
        <v>12</v>
      </c>
      <c r="C1011" s="1" t="s">
        <v>3352</v>
      </c>
      <c r="D1011" s="21">
        <v>38</v>
      </c>
      <c r="E1011" s="1" t="s">
        <v>3917</v>
      </c>
      <c r="F1011" s="21">
        <v>22</v>
      </c>
      <c r="G1011" s="1" t="s">
        <v>4001</v>
      </c>
      <c r="H1011" s="1" t="s">
        <v>4002</v>
      </c>
      <c r="I1011" s="1" t="s">
        <v>4003</v>
      </c>
      <c r="J1011" s="1" t="s">
        <v>4004</v>
      </c>
      <c r="L1011" s="1" t="s">
        <v>7</v>
      </c>
    </row>
    <row r="1012" spans="1:12" ht="15.75" customHeight="1" x14ac:dyDescent="0.25">
      <c r="A1012" s="1" t="s">
        <v>2590</v>
      </c>
      <c r="B1012" s="21">
        <v>12</v>
      </c>
      <c r="C1012" s="1" t="s">
        <v>3352</v>
      </c>
      <c r="D1012" s="21">
        <v>38</v>
      </c>
      <c r="E1012" s="1" t="s">
        <v>3917</v>
      </c>
      <c r="F1012" s="21">
        <v>23</v>
      </c>
      <c r="G1012" s="1" t="s">
        <v>4005</v>
      </c>
      <c r="H1012" s="1" t="s">
        <v>4006</v>
      </c>
      <c r="I1012" s="1" t="s">
        <v>4007</v>
      </c>
      <c r="J1012" s="1" t="s">
        <v>4008</v>
      </c>
      <c r="L1012" s="1" t="s">
        <v>7</v>
      </c>
    </row>
    <row r="1013" spans="1:12" ht="15.75" customHeight="1" x14ac:dyDescent="0.25">
      <c r="A1013" s="1" t="s">
        <v>2590</v>
      </c>
      <c r="B1013" s="21">
        <v>12</v>
      </c>
      <c r="C1013" s="1" t="s">
        <v>3352</v>
      </c>
      <c r="D1013" s="21">
        <v>38</v>
      </c>
      <c r="E1013" s="1" t="s">
        <v>3917</v>
      </c>
      <c r="F1013" s="21">
        <v>24</v>
      </c>
      <c r="G1013" s="1" t="s">
        <v>4009</v>
      </c>
      <c r="H1013" s="1" t="s">
        <v>4010</v>
      </c>
      <c r="I1013" s="1" t="s">
        <v>4011</v>
      </c>
      <c r="J1013" s="1" t="s">
        <v>4012</v>
      </c>
      <c r="L1013" s="1" t="s">
        <v>9</v>
      </c>
    </row>
    <row r="1014" spans="1:12" ht="15.75" customHeight="1" x14ac:dyDescent="0.25">
      <c r="A1014" s="1" t="s">
        <v>2590</v>
      </c>
      <c r="B1014" s="21">
        <v>12</v>
      </c>
      <c r="C1014" s="1" t="s">
        <v>3352</v>
      </c>
      <c r="D1014" s="21">
        <v>38</v>
      </c>
      <c r="E1014" s="1" t="s">
        <v>3917</v>
      </c>
      <c r="F1014" s="21">
        <v>25</v>
      </c>
      <c r="G1014" s="1" t="s">
        <v>4013</v>
      </c>
      <c r="H1014" s="1" t="s">
        <v>4014</v>
      </c>
      <c r="I1014" s="1" t="s">
        <v>3040</v>
      </c>
      <c r="J1014" s="1" t="s">
        <v>4015</v>
      </c>
      <c r="L1014" s="1" t="s">
        <v>9</v>
      </c>
    </row>
    <row r="1015" spans="1:12" ht="15.75" customHeight="1" x14ac:dyDescent="0.25">
      <c r="A1015" s="1" t="s">
        <v>2590</v>
      </c>
      <c r="B1015" s="21">
        <v>12</v>
      </c>
      <c r="C1015" s="1" t="s">
        <v>3352</v>
      </c>
      <c r="D1015" s="21">
        <v>38</v>
      </c>
      <c r="E1015" s="1" t="s">
        <v>3917</v>
      </c>
      <c r="F1015" s="21">
        <v>26</v>
      </c>
      <c r="G1015" s="1" t="s">
        <v>4016</v>
      </c>
      <c r="H1015" s="1" t="s">
        <v>4017</v>
      </c>
      <c r="I1015" s="1" t="s">
        <v>4018</v>
      </c>
      <c r="J1015" s="1" t="s">
        <v>4019</v>
      </c>
      <c r="L1015" s="1" t="s">
        <v>7</v>
      </c>
    </row>
    <row r="1016" spans="1:12" ht="15.75" customHeight="1" x14ac:dyDescent="0.25">
      <c r="A1016" s="1" t="s">
        <v>2590</v>
      </c>
      <c r="B1016" s="21">
        <v>12</v>
      </c>
      <c r="C1016" s="1" t="s">
        <v>3352</v>
      </c>
      <c r="D1016" s="21">
        <v>38</v>
      </c>
      <c r="E1016" s="1" t="s">
        <v>3917</v>
      </c>
      <c r="F1016" s="21">
        <v>27</v>
      </c>
      <c r="G1016" s="1" t="s">
        <v>4020</v>
      </c>
      <c r="H1016" s="1" t="s">
        <v>3960</v>
      </c>
      <c r="I1016" s="1" t="s">
        <v>4021</v>
      </c>
      <c r="J1016" s="1" t="s">
        <v>4022</v>
      </c>
      <c r="L1016" s="1" t="s">
        <v>8</v>
      </c>
    </row>
    <row r="1017" spans="1:12" ht="15.75" customHeight="1" x14ac:dyDescent="0.25">
      <c r="A1017" s="1" t="s">
        <v>2590</v>
      </c>
      <c r="B1017" s="21">
        <v>12</v>
      </c>
      <c r="C1017" s="1" t="s">
        <v>3352</v>
      </c>
      <c r="D1017" s="21">
        <v>38</v>
      </c>
      <c r="E1017" s="1" t="s">
        <v>3917</v>
      </c>
      <c r="F1017" s="21">
        <v>28</v>
      </c>
      <c r="G1017" s="1" t="s">
        <v>4023</v>
      </c>
      <c r="H1017" s="1" t="s">
        <v>4024</v>
      </c>
      <c r="I1017" s="1" t="s">
        <v>4025</v>
      </c>
      <c r="J1017" s="1" t="s">
        <v>4026</v>
      </c>
      <c r="L1017" s="1" t="s">
        <v>9</v>
      </c>
    </row>
    <row r="1018" spans="1:12" ht="15.75" customHeight="1" x14ac:dyDescent="0.25">
      <c r="A1018" s="1" t="s">
        <v>2590</v>
      </c>
      <c r="B1018" s="21">
        <v>12</v>
      </c>
      <c r="C1018" s="1" t="s">
        <v>3352</v>
      </c>
      <c r="D1018" s="21">
        <v>38</v>
      </c>
      <c r="E1018" s="1" t="s">
        <v>3917</v>
      </c>
      <c r="F1018" s="21">
        <v>29</v>
      </c>
      <c r="G1018" s="1" t="s">
        <v>4027</v>
      </c>
      <c r="H1018" s="1" t="s">
        <v>4028</v>
      </c>
      <c r="I1018" s="1" t="s">
        <v>4029</v>
      </c>
      <c r="J1018" s="1" t="s">
        <v>4030</v>
      </c>
      <c r="L1018" s="1" t="s">
        <v>7</v>
      </c>
    </row>
    <row r="1019" spans="1:12" ht="15.75" customHeight="1" x14ac:dyDescent="0.25">
      <c r="A1019" s="1" t="s">
        <v>2590</v>
      </c>
      <c r="B1019" s="21">
        <v>12</v>
      </c>
      <c r="C1019" s="1" t="s">
        <v>3352</v>
      </c>
      <c r="D1019" s="21">
        <v>38</v>
      </c>
      <c r="E1019" s="1" t="s">
        <v>3917</v>
      </c>
      <c r="F1019" s="21">
        <v>30</v>
      </c>
      <c r="G1019" s="1" t="s">
        <v>4031</v>
      </c>
      <c r="H1019" s="1" t="s">
        <v>4032</v>
      </c>
      <c r="I1019" s="1" t="s">
        <v>4033</v>
      </c>
      <c r="J1019" s="1" t="s">
        <v>4034</v>
      </c>
      <c r="L1019" s="1" t="s">
        <v>8</v>
      </c>
    </row>
    <row r="1020" spans="1:12" ht="15.75" customHeight="1" x14ac:dyDescent="0.25">
      <c r="A1020" s="1" t="s">
        <v>2590</v>
      </c>
      <c r="B1020" s="21">
        <v>12</v>
      </c>
      <c r="C1020" s="1" t="s">
        <v>3352</v>
      </c>
      <c r="D1020" s="21">
        <v>38</v>
      </c>
      <c r="E1020" s="1" t="s">
        <v>3917</v>
      </c>
      <c r="F1020" s="21">
        <v>31</v>
      </c>
      <c r="G1020" s="1" t="s">
        <v>4035</v>
      </c>
      <c r="H1020" s="1" t="s">
        <v>4036</v>
      </c>
      <c r="I1020" s="1" t="s">
        <v>4037</v>
      </c>
      <c r="J1020" s="1" t="s">
        <v>4038</v>
      </c>
      <c r="L1020" s="1" t="s">
        <v>9</v>
      </c>
    </row>
    <row r="1021" spans="1:12" ht="15.75" customHeight="1" x14ac:dyDescent="0.25">
      <c r="A1021" s="1" t="s">
        <v>2590</v>
      </c>
      <c r="B1021" s="21">
        <v>12</v>
      </c>
      <c r="C1021" s="1" t="s">
        <v>3352</v>
      </c>
      <c r="D1021" s="21">
        <v>38</v>
      </c>
      <c r="E1021" s="1" t="s">
        <v>3917</v>
      </c>
      <c r="F1021" s="21">
        <v>32</v>
      </c>
      <c r="G1021" s="1" t="s">
        <v>4039</v>
      </c>
      <c r="H1021" s="1" t="s">
        <v>4040</v>
      </c>
      <c r="I1021" s="1" t="s">
        <v>4041</v>
      </c>
      <c r="J1021" s="1" t="s">
        <v>4042</v>
      </c>
      <c r="L1021" s="1" t="s">
        <v>7</v>
      </c>
    </row>
    <row r="1022" spans="1:12" ht="15.75" customHeight="1" x14ac:dyDescent="0.25">
      <c r="A1022" s="1" t="s">
        <v>2590</v>
      </c>
      <c r="B1022" s="21">
        <v>12</v>
      </c>
      <c r="C1022" s="1" t="s">
        <v>3352</v>
      </c>
      <c r="D1022" s="21">
        <v>38</v>
      </c>
      <c r="E1022" s="1" t="s">
        <v>3917</v>
      </c>
      <c r="F1022" s="21">
        <v>33</v>
      </c>
      <c r="G1022" s="1" t="s">
        <v>4043</v>
      </c>
      <c r="H1022" s="1" t="s">
        <v>4044</v>
      </c>
      <c r="I1022" s="1" t="s">
        <v>4045</v>
      </c>
      <c r="J1022" s="1" t="s">
        <v>4046</v>
      </c>
      <c r="L1022" s="1" t="s">
        <v>9</v>
      </c>
    </row>
    <row r="1023" spans="1:12" ht="15.75" customHeight="1" x14ac:dyDescent="0.25">
      <c r="A1023" s="1" t="s">
        <v>2590</v>
      </c>
      <c r="B1023" s="21">
        <v>12</v>
      </c>
      <c r="C1023" s="1" t="s">
        <v>3352</v>
      </c>
      <c r="D1023" s="21">
        <v>38</v>
      </c>
      <c r="E1023" s="1" t="s">
        <v>3917</v>
      </c>
      <c r="F1023" s="21">
        <v>34</v>
      </c>
      <c r="G1023" s="1" t="s">
        <v>4047</v>
      </c>
      <c r="H1023" s="1" t="s">
        <v>4048</v>
      </c>
      <c r="I1023" s="1" t="s">
        <v>4049</v>
      </c>
      <c r="J1023" s="1" t="s">
        <v>4050</v>
      </c>
      <c r="L1023" s="1" t="s">
        <v>9</v>
      </c>
    </row>
    <row r="1024" spans="1:12" ht="15.75" customHeight="1" x14ac:dyDescent="0.25">
      <c r="A1024" s="1" t="s">
        <v>2590</v>
      </c>
      <c r="B1024" s="21">
        <v>12</v>
      </c>
      <c r="C1024" s="1" t="s">
        <v>3352</v>
      </c>
      <c r="D1024" s="21">
        <v>38</v>
      </c>
      <c r="E1024" s="1" t="s">
        <v>3917</v>
      </c>
      <c r="F1024" s="21">
        <v>35</v>
      </c>
      <c r="G1024" s="1" t="s">
        <v>4051</v>
      </c>
      <c r="H1024" s="1" t="s">
        <v>4052</v>
      </c>
      <c r="I1024" s="1" t="s">
        <v>4053</v>
      </c>
      <c r="J1024" s="1" t="s">
        <v>3066</v>
      </c>
      <c r="L1024" s="1" t="s">
        <v>7</v>
      </c>
    </row>
    <row r="1025" spans="1:12" ht="15.75" customHeight="1" x14ac:dyDescent="0.25">
      <c r="A1025" s="1" t="s">
        <v>2590</v>
      </c>
      <c r="B1025" s="21">
        <v>12</v>
      </c>
      <c r="C1025" s="1" t="s">
        <v>3352</v>
      </c>
      <c r="D1025" s="21">
        <v>38</v>
      </c>
      <c r="E1025" s="1" t="s">
        <v>3917</v>
      </c>
      <c r="F1025" s="21">
        <v>36</v>
      </c>
      <c r="G1025" s="1" t="s">
        <v>4054</v>
      </c>
      <c r="H1025" s="1" t="s">
        <v>4055</v>
      </c>
      <c r="I1025" s="1" t="s">
        <v>4056</v>
      </c>
      <c r="J1025" s="1" t="s">
        <v>4057</v>
      </c>
      <c r="L1025" s="1" t="s">
        <v>7</v>
      </c>
    </row>
    <row r="1026" spans="1:12" ht="15.75" customHeight="1" x14ac:dyDescent="0.25">
      <c r="A1026" s="1" t="s">
        <v>2590</v>
      </c>
      <c r="B1026" s="21">
        <v>12</v>
      </c>
      <c r="C1026" s="1" t="s">
        <v>3352</v>
      </c>
      <c r="D1026" s="21">
        <v>38</v>
      </c>
      <c r="E1026" s="1" t="s">
        <v>3917</v>
      </c>
      <c r="F1026" s="21">
        <v>37</v>
      </c>
      <c r="G1026" s="1" t="s">
        <v>4058</v>
      </c>
      <c r="H1026" s="1" t="s">
        <v>4059</v>
      </c>
      <c r="I1026" s="1" t="s">
        <v>4060</v>
      </c>
      <c r="J1026" s="1" t="s">
        <v>4061</v>
      </c>
      <c r="L1026" s="1" t="s">
        <v>8</v>
      </c>
    </row>
    <row r="1027" spans="1:12" ht="15.75" customHeight="1" x14ac:dyDescent="0.25">
      <c r="A1027" s="1" t="s">
        <v>2590</v>
      </c>
      <c r="B1027" s="21">
        <v>12</v>
      </c>
      <c r="C1027" s="1" t="s">
        <v>3352</v>
      </c>
      <c r="D1027" s="21">
        <v>38</v>
      </c>
      <c r="E1027" s="1" t="s">
        <v>3917</v>
      </c>
      <c r="F1027" s="21">
        <v>39</v>
      </c>
      <c r="G1027" s="1" t="s">
        <v>4062</v>
      </c>
      <c r="H1027" s="1" t="s">
        <v>4063</v>
      </c>
      <c r="I1027" s="1" t="s">
        <v>4064</v>
      </c>
      <c r="J1027" s="1" t="s">
        <v>4065</v>
      </c>
      <c r="L1027" s="1" t="s">
        <v>9</v>
      </c>
    </row>
    <row r="1028" spans="1:12" ht="15.75" customHeight="1" x14ac:dyDescent="0.25">
      <c r="A1028" s="1" t="s">
        <v>2590</v>
      </c>
      <c r="B1028" s="21">
        <v>12</v>
      </c>
      <c r="C1028" s="1" t="s">
        <v>3352</v>
      </c>
      <c r="D1028" s="21">
        <v>38</v>
      </c>
      <c r="E1028" s="1" t="s">
        <v>3917</v>
      </c>
      <c r="F1028" s="21">
        <v>40</v>
      </c>
      <c r="G1028" s="1" t="s">
        <v>4066</v>
      </c>
      <c r="H1028" s="1" t="s">
        <v>4067</v>
      </c>
      <c r="I1028" s="1" t="s">
        <v>4068</v>
      </c>
      <c r="J1028" s="1" t="s">
        <v>4069</v>
      </c>
      <c r="L1028" s="1" t="s">
        <v>9</v>
      </c>
    </row>
    <row r="1029" spans="1:12" ht="15.75" customHeight="1" x14ac:dyDescent="0.25">
      <c r="A1029" s="1" t="s">
        <v>2590</v>
      </c>
      <c r="B1029" s="21">
        <v>12</v>
      </c>
      <c r="C1029" s="1" t="s">
        <v>3352</v>
      </c>
      <c r="D1029" s="21">
        <v>38</v>
      </c>
      <c r="E1029" s="1" t="s">
        <v>3917</v>
      </c>
      <c r="F1029" s="21">
        <v>41</v>
      </c>
      <c r="G1029" s="1" t="s">
        <v>4070</v>
      </c>
      <c r="H1029" s="1" t="s">
        <v>4071</v>
      </c>
      <c r="I1029" s="1" t="s">
        <v>4068</v>
      </c>
      <c r="J1029" s="1" t="s">
        <v>4072</v>
      </c>
      <c r="L1029" s="1" t="s">
        <v>9</v>
      </c>
    </row>
    <row r="1030" spans="1:12" ht="15.75" customHeight="1" x14ac:dyDescent="0.25">
      <c r="A1030" s="1" t="s">
        <v>2590</v>
      </c>
      <c r="B1030" s="21">
        <v>12</v>
      </c>
      <c r="C1030" s="1" t="s">
        <v>3352</v>
      </c>
      <c r="D1030" s="21">
        <v>38</v>
      </c>
      <c r="E1030" s="1" t="s">
        <v>3917</v>
      </c>
      <c r="F1030" s="21">
        <v>42</v>
      </c>
      <c r="G1030" s="1" t="s">
        <v>4073</v>
      </c>
      <c r="H1030" s="1" t="s">
        <v>4074</v>
      </c>
      <c r="I1030" s="1" t="s">
        <v>4075</v>
      </c>
      <c r="J1030" s="1" t="s">
        <v>4076</v>
      </c>
      <c r="L1030" s="1" t="s">
        <v>9</v>
      </c>
    </row>
    <row r="1031" spans="1:12" ht="15.75" customHeight="1" x14ac:dyDescent="0.25">
      <c r="A1031" s="1" t="s">
        <v>2590</v>
      </c>
      <c r="B1031" s="21">
        <v>12</v>
      </c>
      <c r="C1031" s="1" t="s">
        <v>3352</v>
      </c>
      <c r="D1031" s="21">
        <v>38</v>
      </c>
      <c r="E1031" s="1" t="s">
        <v>3917</v>
      </c>
      <c r="F1031" s="21">
        <v>43</v>
      </c>
      <c r="G1031" s="1" t="s">
        <v>4077</v>
      </c>
      <c r="H1031" s="1" t="s">
        <v>4078</v>
      </c>
      <c r="I1031" s="1" t="s">
        <v>4079</v>
      </c>
      <c r="J1031" s="1" t="s">
        <v>4080</v>
      </c>
      <c r="L1031" s="1" t="s">
        <v>7</v>
      </c>
    </row>
    <row r="1032" spans="1:12" ht="15.75" customHeight="1" x14ac:dyDescent="0.25">
      <c r="A1032" s="1" t="s">
        <v>2590</v>
      </c>
      <c r="B1032" s="21">
        <v>12</v>
      </c>
      <c r="C1032" s="1" t="s">
        <v>3352</v>
      </c>
      <c r="D1032" s="21">
        <v>38</v>
      </c>
      <c r="E1032" s="1" t="s">
        <v>3917</v>
      </c>
      <c r="F1032" s="21">
        <v>44</v>
      </c>
      <c r="G1032" s="1" t="s">
        <v>4081</v>
      </c>
      <c r="H1032" s="1" t="s">
        <v>4082</v>
      </c>
      <c r="I1032" s="1" t="s">
        <v>4083</v>
      </c>
      <c r="J1032" s="1" t="s">
        <v>4084</v>
      </c>
      <c r="L1032" s="1" t="s">
        <v>9</v>
      </c>
    </row>
    <row r="1033" spans="1:12" ht="15.75" customHeight="1" x14ac:dyDescent="0.25">
      <c r="A1033" s="1" t="s">
        <v>2590</v>
      </c>
      <c r="B1033" s="21">
        <v>12</v>
      </c>
      <c r="C1033" s="1" t="s">
        <v>3352</v>
      </c>
      <c r="D1033" s="21">
        <v>38</v>
      </c>
      <c r="E1033" s="1" t="s">
        <v>3917</v>
      </c>
      <c r="F1033" s="21">
        <v>45</v>
      </c>
      <c r="G1033" s="1" t="s">
        <v>4085</v>
      </c>
      <c r="H1033" s="1" t="s">
        <v>4086</v>
      </c>
      <c r="I1033" s="1" t="s">
        <v>4087</v>
      </c>
      <c r="J1033" s="1" t="s">
        <v>4088</v>
      </c>
      <c r="L1033" s="1" t="s">
        <v>8</v>
      </c>
    </row>
    <row r="1034" spans="1:12" ht="15.75" customHeight="1" x14ac:dyDescent="0.25">
      <c r="A1034" s="1" t="s">
        <v>2590</v>
      </c>
      <c r="B1034" s="21">
        <v>12</v>
      </c>
      <c r="C1034" s="1" t="s">
        <v>3352</v>
      </c>
      <c r="D1034" s="21">
        <v>38</v>
      </c>
      <c r="E1034" s="1" t="s">
        <v>3917</v>
      </c>
      <c r="F1034" s="21">
        <v>46</v>
      </c>
      <c r="G1034" s="1" t="s">
        <v>4089</v>
      </c>
      <c r="H1034" s="1" t="s">
        <v>4090</v>
      </c>
      <c r="I1034" s="1" t="s">
        <v>4091</v>
      </c>
      <c r="J1034" s="1" t="s">
        <v>4092</v>
      </c>
      <c r="L1034" s="1" t="s">
        <v>8</v>
      </c>
    </row>
    <row r="1035" spans="1:12" ht="15.75" customHeight="1" x14ac:dyDescent="0.25">
      <c r="A1035" s="1" t="s">
        <v>2590</v>
      </c>
      <c r="B1035" s="21">
        <v>13</v>
      </c>
      <c r="C1035" s="1" t="s">
        <v>4093</v>
      </c>
      <c r="D1035" s="21">
        <v>39</v>
      </c>
      <c r="E1035" s="1" t="s">
        <v>4094</v>
      </c>
      <c r="F1035" s="21">
        <v>1</v>
      </c>
      <c r="G1035" s="1" t="s">
        <v>4095</v>
      </c>
      <c r="H1035" s="1" t="s">
        <v>4096</v>
      </c>
      <c r="I1035" s="1" t="s">
        <v>4097</v>
      </c>
      <c r="J1035" s="1" t="s">
        <v>4098</v>
      </c>
      <c r="L1035" s="1" t="s">
        <v>7</v>
      </c>
    </row>
    <row r="1036" spans="1:12" ht="15.75" customHeight="1" x14ac:dyDescent="0.25">
      <c r="A1036" s="1" t="s">
        <v>2590</v>
      </c>
      <c r="B1036" s="21">
        <v>13</v>
      </c>
      <c r="C1036" s="1" t="s">
        <v>4093</v>
      </c>
      <c r="D1036" s="21">
        <v>39</v>
      </c>
      <c r="E1036" s="1" t="s">
        <v>4094</v>
      </c>
      <c r="F1036" s="21">
        <v>2</v>
      </c>
      <c r="G1036" s="1" t="s">
        <v>4099</v>
      </c>
      <c r="H1036" s="1" t="s">
        <v>4100</v>
      </c>
      <c r="I1036" s="1" t="s">
        <v>4101</v>
      </c>
      <c r="J1036" s="1" t="s">
        <v>4102</v>
      </c>
      <c r="L1036" s="1" t="s">
        <v>7</v>
      </c>
    </row>
    <row r="1037" spans="1:12" ht="15.75" customHeight="1" x14ac:dyDescent="0.25">
      <c r="A1037" s="1" t="s">
        <v>2590</v>
      </c>
      <c r="B1037" s="21">
        <v>13</v>
      </c>
      <c r="C1037" s="1" t="s">
        <v>4093</v>
      </c>
      <c r="D1037" s="21">
        <v>39</v>
      </c>
      <c r="E1037" s="1" t="s">
        <v>4094</v>
      </c>
      <c r="F1037" s="21">
        <v>3</v>
      </c>
      <c r="G1037" s="1" t="s">
        <v>4103</v>
      </c>
      <c r="H1037" s="1" t="s">
        <v>4104</v>
      </c>
      <c r="I1037" s="1" t="s">
        <v>4105</v>
      </c>
      <c r="J1037" s="1" t="s">
        <v>4106</v>
      </c>
      <c r="L1037" s="1" t="s">
        <v>7</v>
      </c>
    </row>
    <row r="1038" spans="1:12" ht="15.75" customHeight="1" x14ac:dyDescent="0.25">
      <c r="A1038" s="1" t="s">
        <v>2590</v>
      </c>
      <c r="B1038" s="21">
        <v>13</v>
      </c>
      <c r="C1038" s="1" t="s">
        <v>4093</v>
      </c>
      <c r="D1038" s="21">
        <v>39</v>
      </c>
      <c r="E1038" s="1" t="s">
        <v>4094</v>
      </c>
      <c r="F1038" s="21">
        <v>4</v>
      </c>
      <c r="G1038" s="1" t="s">
        <v>4107</v>
      </c>
      <c r="H1038" s="1" t="s">
        <v>4108</v>
      </c>
      <c r="I1038" s="1" t="s">
        <v>4109</v>
      </c>
      <c r="J1038" s="1" t="s">
        <v>4110</v>
      </c>
      <c r="L1038" s="1" t="s">
        <v>9</v>
      </c>
    </row>
    <row r="1039" spans="1:12" ht="15.75" customHeight="1" x14ac:dyDescent="0.25">
      <c r="A1039" s="1" t="s">
        <v>2590</v>
      </c>
      <c r="B1039" s="21">
        <v>13</v>
      </c>
      <c r="C1039" s="1" t="s">
        <v>4093</v>
      </c>
      <c r="D1039" s="21">
        <v>39</v>
      </c>
      <c r="E1039" s="1" t="s">
        <v>4094</v>
      </c>
      <c r="F1039" s="21">
        <v>5</v>
      </c>
      <c r="G1039" s="1" t="s">
        <v>4111</v>
      </c>
      <c r="H1039" s="1" t="s">
        <v>4112</v>
      </c>
      <c r="I1039" s="1" t="s">
        <v>4113</v>
      </c>
      <c r="J1039" s="1" t="s">
        <v>4114</v>
      </c>
      <c r="L1039" s="1" t="s">
        <v>8</v>
      </c>
    </row>
    <row r="1040" spans="1:12" ht="15.75" customHeight="1" x14ac:dyDescent="0.25">
      <c r="A1040" s="1" t="s">
        <v>2590</v>
      </c>
      <c r="B1040" s="21">
        <v>13</v>
      </c>
      <c r="C1040" s="1" t="s">
        <v>4093</v>
      </c>
      <c r="D1040" s="21">
        <v>39</v>
      </c>
      <c r="E1040" s="1" t="s">
        <v>4094</v>
      </c>
      <c r="F1040" s="21">
        <v>6</v>
      </c>
      <c r="G1040" s="1" t="s">
        <v>4115</v>
      </c>
      <c r="H1040" s="1" t="s">
        <v>3361</v>
      </c>
      <c r="I1040" s="1" t="s">
        <v>4116</v>
      </c>
      <c r="J1040" s="1" t="s">
        <v>4117</v>
      </c>
      <c r="L1040" s="1" t="s">
        <v>7</v>
      </c>
    </row>
    <row r="1041" spans="1:12" ht="15.75" customHeight="1" x14ac:dyDescent="0.25">
      <c r="A1041" s="1" t="s">
        <v>2590</v>
      </c>
      <c r="B1041" s="21">
        <v>13</v>
      </c>
      <c r="C1041" s="1" t="s">
        <v>4093</v>
      </c>
      <c r="D1041" s="21">
        <v>39</v>
      </c>
      <c r="E1041" s="1" t="s">
        <v>4094</v>
      </c>
      <c r="F1041" s="21">
        <v>7</v>
      </c>
      <c r="G1041" s="1" t="s">
        <v>4118</v>
      </c>
      <c r="H1041" s="1" t="s">
        <v>4119</v>
      </c>
      <c r="I1041" s="1" t="s">
        <v>4120</v>
      </c>
      <c r="J1041" s="1" t="s">
        <v>4121</v>
      </c>
      <c r="L1041" s="1" t="s">
        <v>9</v>
      </c>
    </row>
    <row r="1042" spans="1:12" ht="15.75" customHeight="1" x14ac:dyDescent="0.25">
      <c r="A1042" s="1" t="s">
        <v>2590</v>
      </c>
      <c r="B1042" s="21">
        <v>13</v>
      </c>
      <c r="C1042" s="1" t="s">
        <v>4093</v>
      </c>
      <c r="D1042" s="21">
        <v>39</v>
      </c>
      <c r="E1042" s="1" t="s">
        <v>4094</v>
      </c>
      <c r="F1042" s="21">
        <v>8</v>
      </c>
      <c r="G1042" s="1" t="s">
        <v>4122</v>
      </c>
      <c r="H1042" s="1" t="s">
        <v>4123</v>
      </c>
      <c r="I1042" s="1" t="s">
        <v>4124</v>
      </c>
      <c r="J1042" s="1" t="s">
        <v>4125</v>
      </c>
      <c r="L1042" s="1" t="s">
        <v>7</v>
      </c>
    </row>
    <row r="1043" spans="1:12" ht="15.75" customHeight="1" x14ac:dyDescent="0.25">
      <c r="A1043" s="1" t="s">
        <v>2590</v>
      </c>
      <c r="B1043" s="21">
        <v>13</v>
      </c>
      <c r="C1043" s="1" t="s">
        <v>4093</v>
      </c>
      <c r="D1043" s="21">
        <v>39</v>
      </c>
      <c r="E1043" s="1" t="s">
        <v>4094</v>
      </c>
      <c r="F1043" s="21">
        <v>9</v>
      </c>
      <c r="G1043" s="1" t="s">
        <v>4126</v>
      </c>
      <c r="H1043" s="1" t="s">
        <v>4127</v>
      </c>
      <c r="I1043" s="1" t="s">
        <v>4128</v>
      </c>
      <c r="J1043" s="1" t="s">
        <v>4129</v>
      </c>
      <c r="L1043" s="1" t="s">
        <v>8</v>
      </c>
    </row>
    <row r="1044" spans="1:12" ht="15.75" customHeight="1" x14ac:dyDescent="0.25">
      <c r="A1044" s="1" t="s">
        <v>2590</v>
      </c>
      <c r="B1044" s="21">
        <v>13</v>
      </c>
      <c r="C1044" s="1" t="s">
        <v>4093</v>
      </c>
      <c r="D1044" s="21">
        <v>39</v>
      </c>
      <c r="E1044" s="1" t="s">
        <v>4094</v>
      </c>
      <c r="F1044" s="21">
        <v>10</v>
      </c>
      <c r="G1044" s="1" t="s">
        <v>4130</v>
      </c>
      <c r="H1044" s="1" t="s">
        <v>4131</v>
      </c>
      <c r="I1044" s="1" t="s">
        <v>4132</v>
      </c>
      <c r="J1044" s="1" t="s">
        <v>4133</v>
      </c>
      <c r="L1044" s="1" t="s">
        <v>8</v>
      </c>
    </row>
    <row r="1045" spans="1:12" ht="15.75" customHeight="1" x14ac:dyDescent="0.25">
      <c r="A1045" s="1" t="s">
        <v>2590</v>
      </c>
      <c r="B1045" s="21">
        <v>13</v>
      </c>
      <c r="C1045" s="1" t="s">
        <v>4093</v>
      </c>
      <c r="D1045" s="21">
        <v>39</v>
      </c>
      <c r="E1045" s="1" t="s">
        <v>4094</v>
      </c>
      <c r="F1045" s="21">
        <v>11</v>
      </c>
      <c r="G1045" s="1" t="s">
        <v>4134</v>
      </c>
      <c r="H1045" s="1" t="s">
        <v>4135</v>
      </c>
      <c r="I1045" s="1" t="s">
        <v>4136</v>
      </c>
      <c r="J1045" s="1" t="s">
        <v>2239</v>
      </c>
      <c r="L1045" s="1" t="s">
        <v>8</v>
      </c>
    </row>
    <row r="1046" spans="1:12" ht="15.75" customHeight="1" x14ac:dyDescent="0.25">
      <c r="A1046" s="1" t="s">
        <v>2590</v>
      </c>
      <c r="B1046" s="21">
        <v>13</v>
      </c>
      <c r="C1046" s="1" t="s">
        <v>4093</v>
      </c>
      <c r="D1046" s="21">
        <v>39</v>
      </c>
      <c r="E1046" s="1" t="s">
        <v>4094</v>
      </c>
      <c r="F1046" s="21">
        <v>12</v>
      </c>
      <c r="G1046" s="1" t="s">
        <v>4137</v>
      </c>
      <c r="H1046" s="1" t="s">
        <v>4138</v>
      </c>
      <c r="I1046" s="1" t="s">
        <v>4139</v>
      </c>
      <c r="J1046" s="1" t="s">
        <v>4140</v>
      </c>
      <c r="L1046" s="1" t="s">
        <v>8</v>
      </c>
    </row>
    <row r="1047" spans="1:12" ht="15.75" customHeight="1" x14ac:dyDescent="0.25">
      <c r="A1047" s="1" t="s">
        <v>2590</v>
      </c>
      <c r="B1047" s="21">
        <v>13</v>
      </c>
      <c r="C1047" s="1" t="s">
        <v>4093</v>
      </c>
      <c r="D1047" s="21">
        <v>39</v>
      </c>
      <c r="E1047" s="1" t="s">
        <v>4094</v>
      </c>
      <c r="F1047" s="21">
        <v>13</v>
      </c>
      <c r="G1047" s="1" t="s">
        <v>4141</v>
      </c>
      <c r="H1047" s="1" t="s">
        <v>4142</v>
      </c>
      <c r="I1047" s="1" t="s">
        <v>4143</v>
      </c>
      <c r="J1047" s="1" t="s">
        <v>4117</v>
      </c>
      <c r="L1047" s="1" t="s">
        <v>8</v>
      </c>
    </row>
    <row r="1048" spans="1:12" ht="15.75" customHeight="1" x14ac:dyDescent="0.25">
      <c r="A1048" s="1" t="s">
        <v>2590</v>
      </c>
      <c r="B1048" s="21">
        <v>13</v>
      </c>
      <c r="C1048" s="1" t="s">
        <v>4093</v>
      </c>
      <c r="D1048" s="21">
        <v>39</v>
      </c>
      <c r="E1048" s="1" t="s">
        <v>4094</v>
      </c>
      <c r="F1048" s="21">
        <v>14</v>
      </c>
      <c r="G1048" s="1" t="s">
        <v>4144</v>
      </c>
      <c r="H1048" s="1" t="s">
        <v>4145</v>
      </c>
      <c r="I1048" s="1" t="s">
        <v>4146</v>
      </c>
      <c r="J1048" s="1" t="s">
        <v>4147</v>
      </c>
      <c r="L1048" s="1" t="s">
        <v>9</v>
      </c>
    </row>
    <row r="1049" spans="1:12" ht="15.75" customHeight="1" x14ac:dyDescent="0.25">
      <c r="A1049" s="1" t="s">
        <v>2590</v>
      </c>
      <c r="B1049" s="21">
        <v>13</v>
      </c>
      <c r="C1049" s="1" t="s">
        <v>4093</v>
      </c>
      <c r="D1049" s="21">
        <v>39</v>
      </c>
      <c r="E1049" s="1" t="s">
        <v>4094</v>
      </c>
      <c r="F1049" s="21">
        <v>15</v>
      </c>
      <c r="G1049" s="1" t="s">
        <v>4148</v>
      </c>
      <c r="H1049" s="1" t="s">
        <v>3434</v>
      </c>
      <c r="I1049" s="1" t="s">
        <v>4149</v>
      </c>
      <c r="J1049" s="1" t="s">
        <v>4150</v>
      </c>
      <c r="L1049" s="1" t="s">
        <v>9</v>
      </c>
    </row>
    <row r="1050" spans="1:12" ht="15.75" customHeight="1" x14ac:dyDescent="0.25">
      <c r="A1050" s="1" t="s">
        <v>2590</v>
      </c>
      <c r="B1050" s="21">
        <v>13</v>
      </c>
      <c r="C1050" s="1" t="s">
        <v>4093</v>
      </c>
      <c r="D1050" s="21">
        <v>39</v>
      </c>
      <c r="E1050" s="1" t="s">
        <v>4094</v>
      </c>
      <c r="F1050" s="21">
        <v>16</v>
      </c>
      <c r="G1050" s="1" t="s">
        <v>4151</v>
      </c>
      <c r="H1050" s="1" t="s">
        <v>4152</v>
      </c>
      <c r="I1050" s="1" t="s">
        <v>4153</v>
      </c>
      <c r="J1050" s="1" t="s">
        <v>4154</v>
      </c>
      <c r="L1050" s="1" t="s">
        <v>7</v>
      </c>
    </row>
    <row r="1051" spans="1:12" ht="15.75" customHeight="1" x14ac:dyDescent="0.25">
      <c r="A1051" s="1" t="s">
        <v>2590</v>
      </c>
      <c r="B1051" s="21">
        <v>13</v>
      </c>
      <c r="C1051" s="1" t="s">
        <v>4093</v>
      </c>
      <c r="D1051" s="21">
        <v>39</v>
      </c>
      <c r="E1051" s="1" t="s">
        <v>4094</v>
      </c>
      <c r="F1051" s="21">
        <v>17</v>
      </c>
      <c r="G1051" s="1" t="s">
        <v>4155</v>
      </c>
      <c r="H1051" s="1" t="s">
        <v>4156</v>
      </c>
      <c r="I1051" s="1" t="s">
        <v>4157</v>
      </c>
      <c r="J1051" s="1" t="s">
        <v>4117</v>
      </c>
      <c r="L1051" s="1" t="s">
        <v>8</v>
      </c>
    </row>
    <row r="1052" spans="1:12" ht="15.75" customHeight="1" x14ac:dyDescent="0.25">
      <c r="A1052" s="1" t="s">
        <v>2590</v>
      </c>
      <c r="B1052" s="21">
        <v>13</v>
      </c>
      <c r="C1052" s="1" t="s">
        <v>4093</v>
      </c>
      <c r="D1052" s="21">
        <v>39</v>
      </c>
      <c r="E1052" s="1" t="s">
        <v>4094</v>
      </c>
      <c r="F1052" s="21">
        <v>18</v>
      </c>
      <c r="G1052" s="1" t="s">
        <v>4158</v>
      </c>
      <c r="H1052" s="1" t="s">
        <v>4159</v>
      </c>
      <c r="I1052" s="1" t="s">
        <v>4160</v>
      </c>
      <c r="J1052" s="1" t="s">
        <v>4161</v>
      </c>
      <c r="L1052" s="1" t="s">
        <v>7</v>
      </c>
    </row>
    <row r="1053" spans="1:12" ht="15.75" customHeight="1" x14ac:dyDescent="0.25">
      <c r="A1053" s="1" t="s">
        <v>2590</v>
      </c>
      <c r="B1053" s="21">
        <v>13</v>
      </c>
      <c r="C1053" s="1" t="s">
        <v>4093</v>
      </c>
      <c r="D1053" s="21">
        <v>39</v>
      </c>
      <c r="E1053" s="1" t="s">
        <v>4094</v>
      </c>
      <c r="F1053" s="21">
        <v>19</v>
      </c>
      <c r="G1053" s="1" t="s">
        <v>4162</v>
      </c>
      <c r="H1053" s="1" t="s">
        <v>4163</v>
      </c>
      <c r="I1053" s="1" t="s">
        <v>4164</v>
      </c>
      <c r="J1053" s="1" t="s">
        <v>4165</v>
      </c>
      <c r="L1053" s="1" t="s">
        <v>8</v>
      </c>
    </row>
    <row r="1054" spans="1:12" ht="15.75" customHeight="1" x14ac:dyDescent="0.25">
      <c r="A1054" s="1" t="s">
        <v>2590</v>
      </c>
      <c r="B1054" s="21">
        <v>13</v>
      </c>
      <c r="C1054" s="1" t="s">
        <v>4093</v>
      </c>
      <c r="D1054" s="21">
        <v>39</v>
      </c>
      <c r="E1054" s="1" t="s">
        <v>4094</v>
      </c>
      <c r="F1054" s="21">
        <v>20</v>
      </c>
      <c r="G1054" s="1" t="s">
        <v>4166</v>
      </c>
      <c r="H1054" s="1" t="s">
        <v>4167</v>
      </c>
      <c r="I1054" s="1" t="s">
        <v>3881</v>
      </c>
      <c r="J1054" s="1" t="s">
        <v>4168</v>
      </c>
      <c r="L1054" s="1" t="s">
        <v>9</v>
      </c>
    </row>
    <row r="1055" spans="1:12" ht="15.75" customHeight="1" x14ac:dyDescent="0.25">
      <c r="A1055" s="1" t="s">
        <v>2590</v>
      </c>
      <c r="B1055" s="21">
        <v>13</v>
      </c>
      <c r="C1055" s="1" t="s">
        <v>4093</v>
      </c>
      <c r="D1055" s="21">
        <v>39</v>
      </c>
      <c r="E1055" s="1" t="s">
        <v>4094</v>
      </c>
      <c r="F1055" s="21">
        <v>21</v>
      </c>
      <c r="G1055" s="1" t="s">
        <v>4169</v>
      </c>
      <c r="H1055" s="1" t="s">
        <v>4170</v>
      </c>
      <c r="I1055" s="1" t="s">
        <v>4171</v>
      </c>
      <c r="J1055" s="1" t="s">
        <v>4172</v>
      </c>
      <c r="L1055" s="1" t="s">
        <v>9</v>
      </c>
    </row>
    <row r="1056" spans="1:12" ht="15.75" customHeight="1" x14ac:dyDescent="0.25">
      <c r="A1056" s="1" t="s">
        <v>2590</v>
      </c>
      <c r="B1056" s="21">
        <v>13</v>
      </c>
      <c r="C1056" s="1" t="s">
        <v>4093</v>
      </c>
      <c r="D1056" s="21">
        <v>39</v>
      </c>
      <c r="E1056" s="1" t="s">
        <v>4094</v>
      </c>
      <c r="F1056" s="21">
        <v>22</v>
      </c>
      <c r="G1056" s="1" t="s">
        <v>4173</v>
      </c>
      <c r="H1056" s="1" t="s">
        <v>4174</v>
      </c>
      <c r="I1056" s="1" t="s">
        <v>4175</v>
      </c>
      <c r="J1056" s="1" t="s">
        <v>4176</v>
      </c>
      <c r="L1056" s="1" t="s">
        <v>8</v>
      </c>
    </row>
    <row r="1057" spans="1:12" ht="15.75" customHeight="1" x14ac:dyDescent="0.25">
      <c r="A1057" s="1" t="s">
        <v>2590</v>
      </c>
      <c r="B1057" s="21">
        <v>13</v>
      </c>
      <c r="C1057" s="1" t="s">
        <v>4093</v>
      </c>
      <c r="D1057" s="21">
        <v>39</v>
      </c>
      <c r="E1057" s="1" t="s">
        <v>4094</v>
      </c>
      <c r="F1057" s="21">
        <v>23</v>
      </c>
      <c r="G1057" s="1" t="s">
        <v>4177</v>
      </c>
      <c r="H1057" s="1" t="s">
        <v>4178</v>
      </c>
      <c r="I1057" s="1" t="s">
        <v>4179</v>
      </c>
      <c r="J1057" s="1" t="s">
        <v>4180</v>
      </c>
      <c r="L1057" s="1" t="s">
        <v>9</v>
      </c>
    </row>
    <row r="1058" spans="1:12" ht="15.75" customHeight="1" x14ac:dyDescent="0.25">
      <c r="A1058" s="1" t="s">
        <v>2590</v>
      </c>
      <c r="B1058" s="21">
        <v>13</v>
      </c>
      <c r="C1058" s="1" t="s">
        <v>4093</v>
      </c>
      <c r="D1058" s="21">
        <v>39</v>
      </c>
      <c r="E1058" s="1" t="s">
        <v>4094</v>
      </c>
      <c r="F1058" s="21">
        <v>24</v>
      </c>
      <c r="G1058" s="1" t="s">
        <v>4181</v>
      </c>
      <c r="H1058" s="1" t="s">
        <v>4182</v>
      </c>
      <c r="I1058" s="1" t="s">
        <v>4183</v>
      </c>
      <c r="J1058" s="1" t="s">
        <v>4184</v>
      </c>
      <c r="L1058" s="1" t="s">
        <v>8</v>
      </c>
    </row>
    <row r="1059" spans="1:12" ht="15.75" customHeight="1" x14ac:dyDescent="0.25">
      <c r="A1059" s="1" t="s">
        <v>2590</v>
      </c>
      <c r="B1059" s="21">
        <v>13</v>
      </c>
      <c r="C1059" s="1" t="s">
        <v>4093</v>
      </c>
      <c r="D1059" s="21">
        <v>39</v>
      </c>
      <c r="E1059" s="1" t="s">
        <v>4094</v>
      </c>
      <c r="F1059" s="21">
        <v>25</v>
      </c>
      <c r="G1059" s="1" t="s">
        <v>4185</v>
      </c>
      <c r="H1059" s="1" t="s">
        <v>4186</v>
      </c>
      <c r="I1059" s="1" t="s">
        <v>4187</v>
      </c>
      <c r="J1059" s="1" t="s">
        <v>4188</v>
      </c>
      <c r="L1059" s="1" t="s">
        <v>7</v>
      </c>
    </row>
    <row r="1060" spans="1:12" ht="15.75" customHeight="1" x14ac:dyDescent="0.25">
      <c r="A1060" s="1" t="s">
        <v>2590</v>
      </c>
      <c r="B1060" s="21">
        <v>13</v>
      </c>
      <c r="C1060" s="1" t="s">
        <v>4093</v>
      </c>
      <c r="D1060" s="21">
        <v>39</v>
      </c>
      <c r="E1060" s="1" t="s">
        <v>4094</v>
      </c>
      <c r="F1060" s="21">
        <v>26</v>
      </c>
      <c r="G1060" s="1" t="s">
        <v>4189</v>
      </c>
      <c r="H1060" s="1" t="s">
        <v>4190</v>
      </c>
      <c r="I1060" s="1" t="s">
        <v>4191</v>
      </c>
      <c r="J1060" s="1" t="s">
        <v>3860</v>
      </c>
      <c r="L1060" s="1" t="s">
        <v>9</v>
      </c>
    </row>
    <row r="1061" spans="1:12" ht="15.75" customHeight="1" x14ac:dyDescent="0.25">
      <c r="A1061" s="1" t="s">
        <v>2590</v>
      </c>
      <c r="B1061" s="21">
        <v>13</v>
      </c>
      <c r="C1061" s="1" t="s">
        <v>4093</v>
      </c>
      <c r="D1061" s="21">
        <v>39</v>
      </c>
      <c r="E1061" s="1" t="s">
        <v>4094</v>
      </c>
      <c r="F1061" s="21">
        <v>27</v>
      </c>
      <c r="G1061" s="1" t="s">
        <v>4192</v>
      </c>
      <c r="H1061" s="1" t="s">
        <v>4193</v>
      </c>
      <c r="I1061" s="1" t="s">
        <v>4194</v>
      </c>
      <c r="J1061" s="1" t="s">
        <v>4195</v>
      </c>
      <c r="L1061" s="1" t="s">
        <v>9</v>
      </c>
    </row>
    <row r="1062" spans="1:12" ht="15.75" customHeight="1" x14ac:dyDescent="0.25">
      <c r="A1062" s="1" t="s">
        <v>2590</v>
      </c>
      <c r="B1062" s="21">
        <v>13</v>
      </c>
      <c r="C1062" s="1" t="s">
        <v>4093</v>
      </c>
      <c r="D1062" s="21">
        <v>39</v>
      </c>
      <c r="E1062" s="1" t="s">
        <v>4094</v>
      </c>
      <c r="F1062" s="21">
        <v>28</v>
      </c>
      <c r="G1062" s="1" t="s">
        <v>4196</v>
      </c>
      <c r="H1062" s="1" t="s">
        <v>2959</v>
      </c>
      <c r="I1062" s="1" t="s">
        <v>4197</v>
      </c>
      <c r="J1062" s="1" t="s">
        <v>4198</v>
      </c>
      <c r="L1062" s="1" t="s">
        <v>7</v>
      </c>
    </row>
    <row r="1063" spans="1:12" ht="15.75" customHeight="1" x14ac:dyDescent="0.25">
      <c r="A1063" s="1" t="s">
        <v>2590</v>
      </c>
      <c r="B1063" s="21">
        <v>13</v>
      </c>
      <c r="C1063" s="1" t="s">
        <v>4093</v>
      </c>
      <c r="D1063" s="21">
        <v>39</v>
      </c>
      <c r="E1063" s="1" t="s">
        <v>4094</v>
      </c>
      <c r="F1063" s="21">
        <v>29</v>
      </c>
      <c r="G1063" s="1" t="s">
        <v>4199</v>
      </c>
      <c r="H1063" s="1" t="s">
        <v>4200</v>
      </c>
      <c r="I1063" s="1" t="s">
        <v>4201</v>
      </c>
      <c r="J1063" s="1" t="s">
        <v>3066</v>
      </c>
      <c r="L1063" s="1" t="s">
        <v>9</v>
      </c>
    </row>
    <row r="1064" spans="1:12" ht="15.75" customHeight="1" x14ac:dyDescent="0.25">
      <c r="A1064" s="1" t="s">
        <v>2590</v>
      </c>
      <c r="B1064" s="21">
        <v>13</v>
      </c>
      <c r="C1064" s="1" t="s">
        <v>4093</v>
      </c>
      <c r="D1064" s="21">
        <v>39</v>
      </c>
      <c r="E1064" s="1" t="s">
        <v>4094</v>
      </c>
      <c r="F1064" s="21">
        <v>30</v>
      </c>
      <c r="G1064" s="1" t="s">
        <v>4202</v>
      </c>
      <c r="H1064" s="1" t="s">
        <v>4203</v>
      </c>
      <c r="I1064" s="1" t="s">
        <v>4204</v>
      </c>
      <c r="J1064" s="1" t="s">
        <v>4205</v>
      </c>
      <c r="L1064" s="1" t="s">
        <v>8</v>
      </c>
    </row>
    <row r="1065" spans="1:12" ht="15.75" customHeight="1" x14ac:dyDescent="0.25">
      <c r="A1065" s="1" t="s">
        <v>2590</v>
      </c>
      <c r="B1065" s="21">
        <v>13</v>
      </c>
      <c r="C1065" s="1" t="s">
        <v>4093</v>
      </c>
      <c r="D1065" s="21">
        <v>39</v>
      </c>
      <c r="E1065" s="1" t="s">
        <v>4094</v>
      </c>
      <c r="F1065" s="21">
        <v>31</v>
      </c>
      <c r="G1065" s="1" t="s">
        <v>4206</v>
      </c>
      <c r="H1065" s="1" t="s">
        <v>4207</v>
      </c>
      <c r="I1065" s="1" t="s">
        <v>4208</v>
      </c>
      <c r="J1065" s="1" t="s">
        <v>3860</v>
      </c>
      <c r="L1065" s="1" t="s">
        <v>7</v>
      </c>
    </row>
    <row r="1066" spans="1:12" ht="15.75" customHeight="1" x14ac:dyDescent="0.25">
      <c r="A1066" s="1" t="s">
        <v>2590</v>
      </c>
      <c r="B1066" s="21">
        <v>13</v>
      </c>
      <c r="C1066" s="1" t="s">
        <v>4093</v>
      </c>
      <c r="D1066" s="21">
        <v>39</v>
      </c>
      <c r="E1066" s="1" t="s">
        <v>4094</v>
      </c>
      <c r="F1066" s="21">
        <v>32</v>
      </c>
      <c r="G1066" s="1" t="s">
        <v>4209</v>
      </c>
      <c r="H1066" s="1" t="s">
        <v>4210</v>
      </c>
      <c r="I1066" s="1" t="s">
        <v>4211</v>
      </c>
      <c r="J1066" s="1" t="s">
        <v>4212</v>
      </c>
      <c r="L1066" s="1" t="s">
        <v>7</v>
      </c>
    </row>
    <row r="1067" spans="1:12" ht="15.75" customHeight="1" x14ac:dyDescent="0.25">
      <c r="A1067" s="1" t="s">
        <v>2590</v>
      </c>
      <c r="B1067" s="21">
        <v>13</v>
      </c>
      <c r="C1067" s="1" t="s">
        <v>4093</v>
      </c>
      <c r="D1067" s="21">
        <v>39</v>
      </c>
      <c r="E1067" s="1" t="s">
        <v>4094</v>
      </c>
      <c r="F1067" s="21">
        <v>33</v>
      </c>
      <c r="G1067" s="1" t="s">
        <v>4213</v>
      </c>
      <c r="H1067" s="1" t="s">
        <v>4214</v>
      </c>
      <c r="I1067" s="1" t="s">
        <v>4215</v>
      </c>
      <c r="J1067" s="1" t="s">
        <v>4216</v>
      </c>
      <c r="L1067" s="1" t="s">
        <v>8</v>
      </c>
    </row>
    <row r="1068" spans="1:12" ht="15.75" customHeight="1" x14ac:dyDescent="0.25">
      <c r="A1068" s="1" t="s">
        <v>2590</v>
      </c>
      <c r="B1068" s="21">
        <v>13</v>
      </c>
      <c r="C1068" s="1" t="s">
        <v>4093</v>
      </c>
      <c r="D1068" s="21">
        <v>39</v>
      </c>
      <c r="E1068" s="1" t="s">
        <v>4094</v>
      </c>
      <c r="F1068" s="21">
        <v>34</v>
      </c>
      <c r="G1068" s="1" t="s">
        <v>4217</v>
      </c>
      <c r="H1068" s="1" t="s">
        <v>4218</v>
      </c>
      <c r="I1068" s="1" t="s">
        <v>4219</v>
      </c>
      <c r="J1068" s="1" t="s">
        <v>3066</v>
      </c>
      <c r="L1068" s="1" t="s">
        <v>9</v>
      </c>
    </row>
    <row r="1069" spans="1:12" ht="15.75" customHeight="1" x14ac:dyDescent="0.25">
      <c r="A1069" s="1" t="s">
        <v>2590</v>
      </c>
      <c r="B1069" s="21">
        <v>13</v>
      </c>
      <c r="C1069" s="1" t="s">
        <v>4093</v>
      </c>
      <c r="D1069" s="21">
        <v>39</v>
      </c>
      <c r="E1069" s="1" t="s">
        <v>4094</v>
      </c>
      <c r="F1069" s="21">
        <v>35</v>
      </c>
      <c r="G1069" s="1" t="s">
        <v>4220</v>
      </c>
      <c r="H1069" s="1" t="s">
        <v>4221</v>
      </c>
      <c r="I1069" s="1" t="s">
        <v>4222</v>
      </c>
      <c r="J1069" s="1" t="s">
        <v>700</v>
      </c>
      <c r="L1069" s="1" t="s">
        <v>8</v>
      </c>
    </row>
    <row r="1070" spans="1:12" ht="15.75" customHeight="1" x14ac:dyDescent="0.25">
      <c r="A1070" s="1" t="s">
        <v>2590</v>
      </c>
      <c r="B1070" s="21">
        <v>13</v>
      </c>
      <c r="C1070" s="1" t="s">
        <v>4093</v>
      </c>
      <c r="D1070" s="21">
        <v>39</v>
      </c>
      <c r="E1070" s="1" t="s">
        <v>4094</v>
      </c>
      <c r="F1070" s="21">
        <v>36</v>
      </c>
      <c r="G1070" s="1" t="s">
        <v>4223</v>
      </c>
      <c r="H1070" s="1" t="s">
        <v>4224</v>
      </c>
      <c r="I1070" s="1" t="s">
        <v>4225</v>
      </c>
      <c r="J1070" s="1" t="s">
        <v>3066</v>
      </c>
      <c r="L1070" s="1" t="s">
        <v>9</v>
      </c>
    </row>
    <row r="1071" spans="1:12" ht="15.75" customHeight="1" x14ac:dyDescent="0.25">
      <c r="A1071" s="1" t="s">
        <v>2590</v>
      </c>
      <c r="B1071" s="21">
        <v>13</v>
      </c>
      <c r="C1071" s="1" t="s">
        <v>4093</v>
      </c>
      <c r="D1071" s="21">
        <v>39</v>
      </c>
      <c r="E1071" s="1" t="s">
        <v>4094</v>
      </c>
      <c r="F1071" s="21">
        <v>37</v>
      </c>
      <c r="G1071" s="1" t="s">
        <v>4226</v>
      </c>
      <c r="H1071" s="1" t="s">
        <v>4227</v>
      </c>
      <c r="I1071" s="1" t="s">
        <v>4228</v>
      </c>
      <c r="J1071" s="1" t="s">
        <v>3066</v>
      </c>
      <c r="L1071" s="1" t="s">
        <v>7</v>
      </c>
    </row>
    <row r="1072" spans="1:12" ht="15.75" customHeight="1" x14ac:dyDescent="0.25">
      <c r="A1072" s="1" t="s">
        <v>2590</v>
      </c>
      <c r="B1072" s="21">
        <v>13</v>
      </c>
      <c r="C1072" s="1" t="s">
        <v>4093</v>
      </c>
      <c r="D1072" s="21">
        <v>39</v>
      </c>
      <c r="E1072" s="1" t="s">
        <v>4094</v>
      </c>
      <c r="F1072" s="21">
        <v>38</v>
      </c>
      <c r="G1072" s="1" t="s">
        <v>4229</v>
      </c>
      <c r="H1072" s="1" t="s">
        <v>4230</v>
      </c>
      <c r="I1072" s="1" t="s">
        <v>4231</v>
      </c>
      <c r="J1072" s="1" t="s">
        <v>4232</v>
      </c>
      <c r="L1072" s="1" t="s">
        <v>7</v>
      </c>
    </row>
    <row r="1073" spans="1:12" ht="15.75" customHeight="1" x14ac:dyDescent="0.25">
      <c r="A1073" s="1" t="s">
        <v>2590</v>
      </c>
      <c r="B1073" s="21">
        <v>13</v>
      </c>
      <c r="C1073" s="1" t="s">
        <v>4093</v>
      </c>
      <c r="D1073" s="21">
        <v>39</v>
      </c>
      <c r="E1073" s="1" t="s">
        <v>4094</v>
      </c>
      <c r="F1073" s="21">
        <v>39</v>
      </c>
      <c r="G1073" s="1" t="s">
        <v>4233</v>
      </c>
      <c r="H1073" s="1" t="s">
        <v>4234</v>
      </c>
      <c r="I1073" s="1" t="s">
        <v>4235</v>
      </c>
      <c r="J1073" s="1" t="s">
        <v>4236</v>
      </c>
      <c r="L1073" s="1" t="s">
        <v>9</v>
      </c>
    </row>
    <row r="1074" spans="1:12" ht="15.75" customHeight="1" x14ac:dyDescent="0.25">
      <c r="A1074" s="1" t="s">
        <v>2590</v>
      </c>
      <c r="B1074" s="21">
        <v>13</v>
      </c>
      <c r="C1074" s="1" t="s">
        <v>4093</v>
      </c>
      <c r="D1074" s="21">
        <v>39</v>
      </c>
      <c r="E1074" s="1" t="s">
        <v>4094</v>
      </c>
      <c r="F1074" s="21">
        <v>40</v>
      </c>
      <c r="G1074" s="1" t="s">
        <v>4237</v>
      </c>
      <c r="H1074" s="1" t="s">
        <v>4238</v>
      </c>
      <c r="I1074" s="1" t="s">
        <v>4239</v>
      </c>
      <c r="J1074" s="1" t="s">
        <v>4240</v>
      </c>
      <c r="L1074" s="1" t="s">
        <v>7</v>
      </c>
    </row>
    <row r="1075" spans="1:12" ht="15.75" customHeight="1" x14ac:dyDescent="0.25">
      <c r="A1075" s="1" t="s">
        <v>2590</v>
      </c>
      <c r="B1075" s="21">
        <v>14</v>
      </c>
      <c r="C1075" s="1" t="s">
        <v>4241</v>
      </c>
      <c r="D1075" s="21">
        <v>40</v>
      </c>
      <c r="E1075" s="1" t="s">
        <v>4242</v>
      </c>
      <c r="F1075" s="21">
        <v>1</v>
      </c>
      <c r="G1075" s="1" t="s">
        <v>4243</v>
      </c>
      <c r="H1075" s="1" t="s">
        <v>4244</v>
      </c>
      <c r="I1075" s="1" t="s">
        <v>4245</v>
      </c>
      <c r="J1075" s="1" t="s">
        <v>4246</v>
      </c>
      <c r="L1075" s="1" t="s">
        <v>9</v>
      </c>
    </row>
    <row r="1076" spans="1:12" ht="15.75" customHeight="1" x14ac:dyDescent="0.25">
      <c r="A1076" s="1" t="s">
        <v>2590</v>
      </c>
      <c r="B1076" s="21">
        <v>14</v>
      </c>
      <c r="C1076" s="1" t="s">
        <v>4241</v>
      </c>
      <c r="D1076" s="21">
        <v>40</v>
      </c>
      <c r="E1076" s="1" t="s">
        <v>4242</v>
      </c>
      <c r="F1076" s="21">
        <v>2</v>
      </c>
      <c r="G1076" s="1" t="s">
        <v>4247</v>
      </c>
      <c r="H1076" s="1" t="s">
        <v>4248</v>
      </c>
      <c r="I1076" s="1" t="s">
        <v>4249</v>
      </c>
      <c r="J1076" s="1" t="s">
        <v>4250</v>
      </c>
      <c r="L1076" s="1" t="s">
        <v>9</v>
      </c>
    </row>
    <row r="1077" spans="1:12" ht="15.75" customHeight="1" x14ac:dyDescent="0.25">
      <c r="A1077" s="1" t="s">
        <v>2590</v>
      </c>
      <c r="B1077" s="21">
        <v>14</v>
      </c>
      <c r="C1077" s="1" t="s">
        <v>4241</v>
      </c>
      <c r="D1077" s="21">
        <v>40</v>
      </c>
      <c r="E1077" s="1" t="s">
        <v>4242</v>
      </c>
      <c r="F1077" s="21">
        <v>3</v>
      </c>
      <c r="G1077" s="1" t="s">
        <v>4251</v>
      </c>
      <c r="H1077" s="1" t="s">
        <v>4252</v>
      </c>
      <c r="I1077" s="1" t="s">
        <v>4253</v>
      </c>
      <c r="J1077" s="1" t="s">
        <v>4254</v>
      </c>
      <c r="L1077" s="1" t="s">
        <v>8</v>
      </c>
    </row>
    <row r="1078" spans="1:12" ht="15.75" customHeight="1" x14ac:dyDescent="0.25">
      <c r="A1078" s="1" t="s">
        <v>2590</v>
      </c>
      <c r="B1078" s="21">
        <v>14</v>
      </c>
      <c r="C1078" s="1" t="s">
        <v>4241</v>
      </c>
      <c r="D1078" s="21">
        <v>40</v>
      </c>
      <c r="E1078" s="1" t="s">
        <v>4242</v>
      </c>
      <c r="F1078" s="21">
        <v>4</v>
      </c>
      <c r="G1078" s="1" t="s">
        <v>4255</v>
      </c>
      <c r="H1078" s="1" t="s">
        <v>4256</v>
      </c>
      <c r="I1078" s="1" t="s">
        <v>4257</v>
      </c>
      <c r="J1078" s="1" t="s">
        <v>3860</v>
      </c>
      <c r="L1078" s="1" t="s">
        <v>9</v>
      </c>
    </row>
    <row r="1079" spans="1:12" ht="15.75" customHeight="1" x14ac:dyDescent="0.25">
      <c r="A1079" s="1" t="s">
        <v>2590</v>
      </c>
      <c r="B1079" s="21">
        <v>14</v>
      </c>
      <c r="C1079" s="1" t="s">
        <v>4241</v>
      </c>
      <c r="D1079" s="21">
        <v>40</v>
      </c>
      <c r="E1079" s="1" t="s">
        <v>4242</v>
      </c>
      <c r="F1079" s="21">
        <v>5</v>
      </c>
      <c r="G1079" s="1" t="s">
        <v>4258</v>
      </c>
      <c r="H1079" s="1" t="s">
        <v>4259</v>
      </c>
      <c r="I1079" s="1" t="s">
        <v>4260</v>
      </c>
      <c r="J1079" s="1" t="s">
        <v>4261</v>
      </c>
      <c r="L1079" s="1" t="s">
        <v>7</v>
      </c>
    </row>
    <row r="1080" spans="1:12" ht="15.75" customHeight="1" x14ac:dyDescent="0.25">
      <c r="A1080" s="1" t="s">
        <v>2590</v>
      </c>
      <c r="B1080" s="21">
        <v>14</v>
      </c>
      <c r="C1080" s="1" t="s">
        <v>4241</v>
      </c>
      <c r="D1080" s="21">
        <v>40</v>
      </c>
      <c r="E1080" s="1" t="s">
        <v>4242</v>
      </c>
      <c r="F1080" s="21">
        <v>6</v>
      </c>
      <c r="G1080" s="1" t="s">
        <v>4262</v>
      </c>
      <c r="H1080" s="1" t="s">
        <v>4263</v>
      </c>
      <c r="I1080" s="1" t="s">
        <v>4264</v>
      </c>
      <c r="J1080" s="1" t="s">
        <v>4265</v>
      </c>
      <c r="L1080" s="1" t="s">
        <v>7</v>
      </c>
    </row>
    <row r="1081" spans="1:12" ht="15.75" customHeight="1" x14ac:dyDescent="0.25">
      <c r="A1081" s="1" t="s">
        <v>2590</v>
      </c>
      <c r="B1081" s="21">
        <v>14</v>
      </c>
      <c r="C1081" s="1" t="s">
        <v>4241</v>
      </c>
      <c r="D1081" s="21">
        <v>40</v>
      </c>
      <c r="E1081" s="1" t="s">
        <v>4242</v>
      </c>
      <c r="F1081" s="21">
        <v>7</v>
      </c>
      <c r="G1081" s="1" t="s">
        <v>4266</v>
      </c>
      <c r="H1081" s="1" t="s">
        <v>4267</v>
      </c>
      <c r="I1081" s="1" t="s">
        <v>4268</v>
      </c>
      <c r="J1081" s="1" t="s">
        <v>4269</v>
      </c>
      <c r="L1081" s="1" t="s">
        <v>7</v>
      </c>
    </row>
    <row r="1082" spans="1:12" ht="15.75" customHeight="1" x14ac:dyDescent="0.25">
      <c r="A1082" s="1" t="s">
        <v>2590</v>
      </c>
      <c r="B1082" s="21">
        <v>14</v>
      </c>
      <c r="C1082" s="1" t="s">
        <v>4241</v>
      </c>
      <c r="D1082" s="21">
        <v>40</v>
      </c>
      <c r="E1082" s="1" t="s">
        <v>4242</v>
      </c>
      <c r="F1082" s="21">
        <v>8</v>
      </c>
      <c r="G1082" s="1" t="s">
        <v>4270</v>
      </c>
      <c r="H1082" s="1" t="s">
        <v>4271</v>
      </c>
      <c r="I1082" s="1" t="s">
        <v>4272</v>
      </c>
      <c r="J1082" s="1" t="s">
        <v>4273</v>
      </c>
      <c r="L1082" s="1" t="s">
        <v>7</v>
      </c>
    </row>
    <row r="1083" spans="1:12" ht="15.75" customHeight="1" x14ac:dyDescent="0.25">
      <c r="A1083" s="1" t="s">
        <v>2590</v>
      </c>
      <c r="B1083" s="21">
        <v>14</v>
      </c>
      <c r="C1083" s="1" t="s">
        <v>4241</v>
      </c>
      <c r="D1083" s="21">
        <v>40</v>
      </c>
      <c r="E1083" s="1" t="s">
        <v>4242</v>
      </c>
      <c r="F1083" s="21">
        <v>9</v>
      </c>
      <c r="G1083" s="1" t="s">
        <v>4274</v>
      </c>
      <c r="H1083" s="1" t="s">
        <v>4275</v>
      </c>
      <c r="I1083" s="1" t="s">
        <v>4276</v>
      </c>
      <c r="J1083" s="1" t="s">
        <v>3860</v>
      </c>
      <c r="L1083" s="1" t="s">
        <v>9</v>
      </c>
    </row>
    <row r="1084" spans="1:12" ht="15.75" customHeight="1" x14ac:dyDescent="0.25">
      <c r="A1084" s="1" t="s">
        <v>2590</v>
      </c>
      <c r="B1084" s="21">
        <v>14</v>
      </c>
      <c r="C1084" s="1" t="s">
        <v>4241</v>
      </c>
      <c r="D1084" s="21">
        <v>40</v>
      </c>
      <c r="E1084" s="1" t="s">
        <v>4242</v>
      </c>
      <c r="F1084" s="21">
        <v>10</v>
      </c>
      <c r="G1084" s="1" t="s">
        <v>4277</v>
      </c>
      <c r="H1084" s="1" t="s">
        <v>4278</v>
      </c>
      <c r="I1084" s="1" t="s">
        <v>4279</v>
      </c>
      <c r="J1084" s="1" t="s">
        <v>4280</v>
      </c>
      <c r="L1084" s="1" t="s">
        <v>9</v>
      </c>
    </row>
    <row r="1085" spans="1:12" ht="15.75" customHeight="1" x14ac:dyDescent="0.25">
      <c r="A1085" s="1" t="s">
        <v>2590</v>
      </c>
      <c r="B1085" s="21">
        <v>14</v>
      </c>
      <c r="C1085" s="1" t="s">
        <v>4241</v>
      </c>
      <c r="D1085" s="21">
        <v>40</v>
      </c>
      <c r="E1085" s="1" t="s">
        <v>4242</v>
      </c>
      <c r="F1085" s="21">
        <v>11</v>
      </c>
      <c r="G1085" s="1" t="s">
        <v>4281</v>
      </c>
      <c r="H1085" s="1" t="s">
        <v>4282</v>
      </c>
      <c r="I1085" s="1" t="s">
        <v>4283</v>
      </c>
      <c r="J1085" s="1" t="s">
        <v>4284</v>
      </c>
      <c r="L1085" s="1" t="s">
        <v>9</v>
      </c>
    </row>
    <row r="1086" spans="1:12" ht="15.75" customHeight="1" x14ac:dyDescent="0.25">
      <c r="A1086" s="1" t="s">
        <v>2590</v>
      </c>
      <c r="B1086" s="21">
        <v>14</v>
      </c>
      <c r="C1086" s="1" t="s">
        <v>4241</v>
      </c>
      <c r="D1086" s="21">
        <v>40</v>
      </c>
      <c r="E1086" s="1" t="s">
        <v>4242</v>
      </c>
      <c r="F1086" s="21">
        <v>12</v>
      </c>
      <c r="G1086" s="1" t="s">
        <v>4285</v>
      </c>
      <c r="H1086" s="1" t="s">
        <v>4286</v>
      </c>
      <c r="I1086" s="1" t="s">
        <v>4287</v>
      </c>
      <c r="J1086" s="1" t="s">
        <v>4288</v>
      </c>
      <c r="L1086" s="1" t="s">
        <v>8</v>
      </c>
    </row>
    <row r="1087" spans="1:12" ht="15.75" customHeight="1" x14ac:dyDescent="0.25">
      <c r="A1087" s="1" t="s">
        <v>2590</v>
      </c>
      <c r="B1087" s="21">
        <v>14</v>
      </c>
      <c r="C1087" s="1" t="s">
        <v>4241</v>
      </c>
      <c r="D1087" s="21">
        <v>40</v>
      </c>
      <c r="E1087" s="1" t="s">
        <v>4242</v>
      </c>
      <c r="F1087" s="21">
        <v>13</v>
      </c>
      <c r="G1087" s="1" t="s">
        <v>4289</v>
      </c>
      <c r="H1087" s="1" t="s">
        <v>4290</v>
      </c>
      <c r="I1087" s="1" t="s">
        <v>4291</v>
      </c>
      <c r="J1087" s="1" t="s">
        <v>4292</v>
      </c>
      <c r="L1087" s="1" t="s">
        <v>7</v>
      </c>
    </row>
    <row r="1088" spans="1:12" ht="15.75" customHeight="1" x14ac:dyDescent="0.25">
      <c r="A1088" s="1" t="s">
        <v>2590</v>
      </c>
      <c r="B1088" s="21">
        <v>14</v>
      </c>
      <c r="C1088" s="1" t="s">
        <v>4241</v>
      </c>
      <c r="D1088" s="21">
        <v>40</v>
      </c>
      <c r="E1088" s="1" t="s">
        <v>4242</v>
      </c>
      <c r="F1088" s="21">
        <v>14</v>
      </c>
      <c r="G1088" s="1" t="s">
        <v>4293</v>
      </c>
      <c r="H1088" s="1" t="s">
        <v>4294</v>
      </c>
      <c r="I1088" s="1" t="s">
        <v>4295</v>
      </c>
      <c r="J1088" s="1" t="s">
        <v>3860</v>
      </c>
      <c r="L1088" s="1" t="s">
        <v>9</v>
      </c>
    </row>
    <row r="1089" spans="1:12" ht="15.75" customHeight="1" x14ac:dyDescent="0.25">
      <c r="A1089" s="1" t="s">
        <v>2590</v>
      </c>
      <c r="B1089" s="21">
        <v>14</v>
      </c>
      <c r="C1089" s="1" t="s">
        <v>4241</v>
      </c>
      <c r="D1089" s="21">
        <v>40</v>
      </c>
      <c r="E1089" s="1" t="s">
        <v>4242</v>
      </c>
      <c r="F1089" s="21">
        <v>15</v>
      </c>
      <c r="G1089" s="1" t="s">
        <v>4296</v>
      </c>
      <c r="H1089" s="1" t="s">
        <v>4297</v>
      </c>
      <c r="I1089" s="1" t="s">
        <v>4298</v>
      </c>
      <c r="J1089" s="1" t="s">
        <v>4299</v>
      </c>
      <c r="L1089" s="1" t="s">
        <v>9</v>
      </c>
    </row>
    <row r="1090" spans="1:12" ht="15.75" customHeight="1" x14ac:dyDescent="0.25">
      <c r="A1090" s="1" t="s">
        <v>2590</v>
      </c>
      <c r="B1090" s="21">
        <v>14</v>
      </c>
      <c r="C1090" s="1" t="s">
        <v>4241</v>
      </c>
      <c r="D1090" s="21">
        <v>40</v>
      </c>
      <c r="E1090" s="1" t="s">
        <v>4242</v>
      </c>
      <c r="F1090" s="21">
        <v>16</v>
      </c>
      <c r="G1090" s="1" t="s">
        <v>4300</v>
      </c>
      <c r="H1090" s="1" t="s">
        <v>4301</v>
      </c>
      <c r="I1090" s="1" t="s">
        <v>4302</v>
      </c>
      <c r="J1090" s="1" t="s">
        <v>4303</v>
      </c>
      <c r="L1090" s="1" t="s">
        <v>9</v>
      </c>
    </row>
    <row r="1091" spans="1:12" ht="15.75" customHeight="1" x14ac:dyDescent="0.25">
      <c r="A1091" s="1" t="s">
        <v>2590</v>
      </c>
      <c r="B1091" s="21">
        <v>14</v>
      </c>
      <c r="C1091" s="1" t="s">
        <v>4241</v>
      </c>
      <c r="D1091" s="21">
        <v>40</v>
      </c>
      <c r="E1091" s="1" t="s">
        <v>4242</v>
      </c>
      <c r="F1091" s="21">
        <v>17</v>
      </c>
      <c r="G1091" s="1" t="s">
        <v>4304</v>
      </c>
      <c r="H1091" s="1" t="s">
        <v>4305</v>
      </c>
      <c r="I1091" s="1" t="s">
        <v>4306</v>
      </c>
      <c r="J1091" s="1" t="s">
        <v>4307</v>
      </c>
      <c r="L1091" s="1" t="s">
        <v>9</v>
      </c>
    </row>
    <row r="1092" spans="1:12" ht="15.75" customHeight="1" x14ac:dyDescent="0.25">
      <c r="A1092" s="1" t="s">
        <v>2590</v>
      </c>
      <c r="B1092" s="21">
        <v>14</v>
      </c>
      <c r="C1092" s="1" t="s">
        <v>4241</v>
      </c>
      <c r="D1092" s="21">
        <v>40</v>
      </c>
      <c r="E1092" s="1" t="s">
        <v>4242</v>
      </c>
      <c r="F1092" s="21">
        <v>18</v>
      </c>
      <c r="G1092" s="1" t="s">
        <v>4308</v>
      </c>
      <c r="H1092" s="1" t="s">
        <v>4309</v>
      </c>
      <c r="I1092" s="1" t="s">
        <v>4310</v>
      </c>
      <c r="J1092" s="1" t="s">
        <v>4311</v>
      </c>
      <c r="L1092" s="1" t="s">
        <v>8</v>
      </c>
    </row>
    <row r="1093" spans="1:12" ht="15.75" customHeight="1" x14ac:dyDescent="0.25">
      <c r="A1093" s="1" t="s">
        <v>2590</v>
      </c>
      <c r="B1093" s="21">
        <v>14</v>
      </c>
      <c r="C1093" s="1" t="s">
        <v>4241</v>
      </c>
      <c r="D1093" s="21">
        <v>40</v>
      </c>
      <c r="E1093" s="1" t="s">
        <v>4242</v>
      </c>
      <c r="F1093" s="21">
        <v>19</v>
      </c>
      <c r="G1093" s="1" t="s">
        <v>4312</v>
      </c>
      <c r="H1093" s="1" t="s">
        <v>4313</v>
      </c>
      <c r="I1093" s="1" t="s">
        <v>4314</v>
      </c>
      <c r="J1093" s="1" t="s">
        <v>4315</v>
      </c>
      <c r="L1093" s="1" t="s">
        <v>8</v>
      </c>
    </row>
    <row r="1094" spans="1:12" ht="15.75" customHeight="1" x14ac:dyDescent="0.25">
      <c r="A1094" s="1" t="s">
        <v>2590</v>
      </c>
      <c r="B1094" s="21">
        <v>14</v>
      </c>
      <c r="C1094" s="1" t="s">
        <v>4241</v>
      </c>
      <c r="D1094" s="21">
        <v>40</v>
      </c>
      <c r="E1094" s="1" t="s">
        <v>4242</v>
      </c>
      <c r="F1094" s="21">
        <v>20</v>
      </c>
      <c r="G1094" s="1" t="s">
        <v>4316</v>
      </c>
      <c r="H1094" s="1" t="s">
        <v>4317</v>
      </c>
      <c r="I1094" s="1" t="s">
        <v>4318</v>
      </c>
      <c r="J1094" s="1" t="s">
        <v>4319</v>
      </c>
      <c r="L1094" s="1" t="s">
        <v>7</v>
      </c>
    </row>
    <row r="1095" spans="1:12" ht="15.75" customHeight="1" x14ac:dyDescent="0.25">
      <c r="A1095" s="1" t="s">
        <v>2590</v>
      </c>
      <c r="B1095" s="21">
        <v>14</v>
      </c>
      <c r="C1095" s="1" t="s">
        <v>4241</v>
      </c>
      <c r="D1095" s="21">
        <v>40</v>
      </c>
      <c r="E1095" s="1" t="s">
        <v>4242</v>
      </c>
      <c r="F1095" s="21">
        <v>21</v>
      </c>
      <c r="G1095" s="1" t="s">
        <v>4320</v>
      </c>
      <c r="H1095" s="1" t="s">
        <v>4321</v>
      </c>
      <c r="I1095" s="1" t="s">
        <v>4322</v>
      </c>
      <c r="J1095" s="1" t="s">
        <v>4323</v>
      </c>
      <c r="L1095" s="1" t="s">
        <v>7</v>
      </c>
    </row>
    <row r="1096" spans="1:12" ht="15.75" customHeight="1" x14ac:dyDescent="0.25">
      <c r="A1096" s="1" t="s">
        <v>2590</v>
      </c>
      <c r="B1096" s="21">
        <v>14</v>
      </c>
      <c r="C1096" s="1" t="s">
        <v>4241</v>
      </c>
      <c r="D1096" s="21">
        <v>40</v>
      </c>
      <c r="E1096" s="1" t="s">
        <v>4242</v>
      </c>
      <c r="F1096" s="21">
        <v>22</v>
      </c>
      <c r="G1096" s="1" t="s">
        <v>4324</v>
      </c>
      <c r="H1096" s="1" t="s">
        <v>4325</v>
      </c>
      <c r="I1096" s="1" t="s">
        <v>4326</v>
      </c>
      <c r="J1096" s="1" t="s">
        <v>4327</v>
      </c>
      <c r="L1096" s="1" t="s">
        <v>9</v>
      </c>
    </row>
    <row r="1097" spans="1:12" ht="15.75" customHeight="1" x14ac:dyDescent="0.25">
      <c r="A1097" s="1" t="s">
        <v>2590</v>
      </c>
      <c r="B1097" s="21">
        <v>14</v>
      </c>
      <c r="C1097" s="1" t="s">
        <v>4241</v>
      </c>
      <c r="D1097" s="21">
        <v>40</v>
      </c>
      <c r="E1097" s="1" t="s">
        <v>4242</v>
      </c>
      <c r="F1097" s="21">
        <v>23</v>
      </c>
      <c r="G1097" s="1" t="s">
        <v>4328</v>
      </c>
      <c r="H1097" s="1" t="s">
        <v>4329</v>
      </c>
      <c r="I1097" s="1" t="s">
        <v>4330</v>
      </c>
      <c r="J1097" s="1" t="s">
        <v>4331</v>
      </c>
      <c r="L1097" s="1" t="s">
        <v>9</v>
      </c>
    </row>
    <row r="1098" spans="1:12" ht="15.75" customHeight="1" x14ac:dyDescent="0.25">
      <c r="A1098" s="1" t="s">
        <v>2590</v>
      </c>
      <c r="B1098" s="21">
        <v>14</v>
      </c>
      <c r="C1098" s="1" t="s">
        <v>4241</v>
      </c>
      <c r="D1098" s="21">
        <v>40</v>
      </c>
      <c r="E1098" s="1" t="s">
        <v>4242</v>
      </c>
      <c r="F1098" s="21">
        <v>24</v>
      </c>
      <c r="G1098" s="1" t="s">
        <v>4332</v>
      </c>
      <c r="H1098" s="1" t="s">
        <v>4333</v>
      </c>
      <c r="I1098" s="1" t="s">
        <v>4334</v>
      </c>
      <c r="J1098" s="1" t="s">
        <v>4335</v>
      </c>
      <c r="L1098" s="1" t="s">
        <v>9</v>
      </c>
    </row>
    <row r="1099" spans="1:12" ht="15.75" customHeight="1" x14ac:dyDescent="0.25">
      <c r="A1099" s="1" t="s">
        <v>2590</v>
      </c>
      <c r="B1099" s="21">
        <v>14</v>
      </c>
      <c r="C1099" s="1" t="s">
        <v>4241</v>
      </c>
      <c r="D1099" s="21">
        <v>40</v>
      </c>
      <c r="E1099" s="1" t="s">
        <v>4242</v>
      </c>
      <c r="F1099" s="21">
        <v>25</v>
      </c>
      <c r="G1099" s="1" t="s">
        <v>4336</v>
      </c>
      <c r="H1099" s="1" t="s">
        <v>4337</v>
      </c>
      <c r="I1099" s="1" t="s">
        <v>4338</v>
      </c>
      <c r="J1099" s="1" t="s">
        <v>4339</v>
      </c>
      <c r="L1099" s="1" t="s">
        <v>7</v>
      </c>
    </row>
    <row r="1100" spans="1:12" ht="15.75" customHeight="1" x14ac:dyDescent="0.25">
      <c r="A1100" s="1" t="s">
        <v>2590</v>
      </c>
      <c r="B1100" s="21">
        <v>14</v>
      </c>
      <c r="C1100" s="1" t="s">
        <v>4241</v>
      </c>
      <c r="D1100" s="21">
        <v>41</v>
      </c>
      <c r="E1100" s="1" t="s">
        <v>4340</v>
      </c>
      <c r="F1100" s="21">
        <v>1</v>
      </c>
      <c r="G1100" s="1" t="s">
        <v>4341</v>
      </c>
      <c r="H1100" s="1" t="s">
        <v>4342</v>
      </c>
      <c r="I1100" s="1" t="s">
        <v>4343</v>
      </c>
      <c r="J1100" s="1" t="s">
        <v>2506</v>
      </c>
      <c r="L1100" s="1" t="s">
        <v>7</v>
      </c>
    </row>
    <row r="1101" spans="1:12" ht="15.75" customHeight="1" x14ac:dyDescent="0.25">
      <c r="A1101" s="1" t="s">
        <v>2590</v>
      </c>
      <c r="B1101" s="21">
        <v>14</v>
      </c>
      <c r="C1101" s="1" t="s">
        <v>4241</v>
      </c>
      <c r="D1101" s="21">
        <v>41</v>
      </c>
      <c r="E1101" s="1" t="s">
        <v>4340</v>
      </c>
      <c r="F1101" s="21">
        <v>2</v>
      </c>
      <c r="G1101" s="1" t="s">
        <v>4344</v>
      </c>
      <c r="H1101" s="1" t="s">
        <v>4345</v>
      </c>
      <c r="I1101" s="1" t="s">
        <v>4346</v>
      </c>
      <c r="J1101" s="1" t="s">
        <v>4347</v>
      </c>
      <c r="L1101" s="1" t="s">
        <v>9</v>
      </c>
    </row>
    <row r="1102" spans="1:12" ht="15.75" customHeight="1" x14ac:dyDescent="0.25">
      <c r="A1102" s="1" t="s">
        <v>2590</v>
      </c>
      <c r="B1102" s="21">
        <v>14</v>
      </c>
      <c r="C1102" s="1" t="s">
        <v>4241</v>
      </c>
      <c r="D1102" s="21">
        <v>41</v>
      </c>
      <c r="E1102" s="1" t="s">
        <v>4340</v>
      </c>
      <c r="F1102" s="21">
        <v>3</v>
      </c>
      <c r="G1102" s="1" t="s">
        <v>4348</v>
      </c>
      <c r="H1102" s="1" t="s">
        <v>4349</v>
      </c>
      <c r="I1102" s="1" t="s">
        <v>4350</v>
      </c>
      <c r="J1102" s="1" t="s">
        <v>4351</v>
      </c>
      <c r="L1102" s="1" t="s">
        <v>7</v>
      </c>
    </row>
    <row r="1103" spans="1:12" ht="15.75" customHeight="1" x14ac:dyDescent="0.25">
      <c r="A1103" s="1" t="s">
        <v>2590</v>
      </c>
      <c r="B1103" s="21">
        <v>14</v>
      </c>
      <c r="C1103" s="1" t="s">
        <v>4241</v>
      </c>
      <c r="D1103" s="21">
        <v>41</v>
      </c>
      <c r="E1103" s="1" t="s">
        <v>4340</v>
      </c>
      <c r="F1103" s="21">
        <v>4</v>
      </c>
      <c r="G1103" s="1" t="s">
        <v>4352</v>
      </c>
      <c r="H1103" s="1" t="s">
        <v>4353</v>
      </c>
      <c r="I1103" s="1" t="s">
        <v>4354</v>
      </c>
      <c r="J1103" s="1" t="s">
        <v>3860</v>
      </c>
      <c r="L1103" s="1" t="s">
        <v>9</v>
      </c>
    </row>
    <row r="1104" spans="1:12" ht="15.75" customHeight="1" x14ac:dyDescent="0.25">
      <c r="A1104" s="1" t="s">
        <v>2590</v>
      </c>
      <c r="B1104" s="21">
        <v>14</v>
      </c>
      <c r="C1104" s="1" t="s">
        <v>4241</v>
      </c>
      <c r="D1104" s="21">
        <v>41</v>
      </c>
      <c r="E1104" s="1" t="s">
        <v>4340</v>
      </c>
      <c r="F1104" s="21">
        <v>5</v>
      </c>
      <c r="G1104" s="1" t="s">
        <v>4355</v>
      </c>
      <c r="H1104" s="1" t="s">
        <v>4356</v>
      </c>
      <c r="I1104" s="1" t="s">
        <v>4357</v>
      </c>
      <c r="J1104" s="1" t="s">
        <v>4358</v>
      </c>
      <c r="L1104" s="1" t="s">
        <v>7</v>
      </c>
    </row>
    <row r="1105" spans="1:12" ht="15.75" customHeight="1" x14ac:dyDescent="0.25">
      <c r="A1105" s="1" t="s">
        <v>2590</v>
      </c>
      <c r="B1105" s="21">
        <v>14</v>
      </c>
      <c r="C1105" s="1" t="s">
        <v>4241</v>
      </c>
      <c r="D1105" s="21">
        <v>41</v>
      </c>
      <c r="E1105" s="1" t="s">
        <v>4340</v>
      </c>
      <c r="F1105" s="21">
        <v>6</v>
      </c>
      <c r="G1105" s="1" t="s">
        <v>4359</v>
      </c>
      <c r="H1105" s="1" t="s">
        <v>4360</v>
      </c>
      <c r="I1105" s="1" t="s">
        <v>4361</v>
      </c>
      <c r="J1105" s="1" t="s">
        <v>4362</v>
      </c>
      <c r="L1105" s="1" t="s">
        <v>7</v>
      </c>
    </row>
    <row r="1106" spans="1:12" ht="15.75" customHeight="1" x14ac:dyDescent="0.25">
      <c r="A1106" s="1" t="s">
        <v>2590</v>
      </c>
      <c r="B1106" s="21">
        <v>14</v>
      </c>
      <c r="C1106" s="1" t="s">
        <v>4241</v>
      </c>
      <c r="D1106" s="21">
        <v>41</v>
      </c>
      <c r="E1106" s="1" t="s">
        <v>4340</v>
      </c>
      <c r="F1106" s="21">
        <v>7</v>
      </c>
      <c r="G1106" s="1" t="s">
        <v>4363</v>
      </c>
      <c r="H1106" s="1" t="s">
        <v>4364</v>
      </c>
      <c r="I1106" s="1" t="s">
        <v>4365</v>
      </c>
      <c r="J1106" s="1" t="s">
        <v>4366</v>
      </c>
      <c r="L1106" s="1" t="s">
        <v>8</v>
      </c>
    </row>
    <row r="1107" spans="1:12" ht="15.75" customHeight="1" x14ac:dyDescent="0.25">
      <c r="A1107" s="1" t="s">
        <v>2590</v>
      </c>
      <c r="B1107" s="21">
        <v>14</v>
      </c>
      <c r="C1107" s="1" t="s">
        <v>4241</v>
      </c>
      <c r="D1107" s="21">
        <v>41</v>
      </c>
      <c r="E1107" s="1" t="s">
        <v>4340</v>
      </c>
      <c r="F1107" s="21">
        <v>8</v>
      </c>
      <c r="G1107" s="1" t="s">
        <v>4367</v>
      </c>
      <c r="H1107" s="1" t="s">
        <v>4364</v>
      </c>
      <c r="I1107" s="1" t="s">
        <v>4365</v>
      </c>
      <c r="J1107" s="1" t="s">
        <v>4366</v>
      </c>
      <c r="L1107" s="1" t="s">
        <v>9</v>
      </c>
    </row>
    <row r="1108" spans="1:12" ht="15.75" customHeight="1" x14ac:dyDescent="0.25">
      <c r="A1108" s="1" t="s">
        <v>2590</v>
      </c>
      <c r="B1108" s="21">
        <v>14</v>
      </c>
      <c r="C1108" s="1" t="s">
        <v>4241</v>
      </c>
      <c r="D1108" s="21">
        <v>41</v>
      </c>
      <c r="E1108" s="1" t="s">
        <v>4340</v>
      </c>
      <c r="F1108" s="21">
        <v>9</v>
      </c>
      <c r="G1108" s="1" t="s">
        <v>4368</v>
      </c>
      <c r="H1108" s="1" t="s">
        <v>4369</v>
      </c>
      <c r="I1108" s="1" t="s">
        <v>4370</v>
      </c>
      <c r="J1108" s="1" t="s">
        <v>4371</v>
      </c>
      <c r="L1108" s="1" t="s">
        <v>8</v>
      </c>
    </row>
    <row r="1109" spans="1:12" ht="15.75" customHeight="1" x14ac:dyDescent="0.25">
      <c r="A1109" s="1" t="s">
        <v>2590</v>
      </c>
      <c r="B1109" s="21">
        <v>14</v>
      </c>
      <c r="C1109" s="1" t="s">
        <v>4241</v>
      </c>
      <c r="D1109" s="21">
        <v>41</v>
      </c>
      <c r="E1109" s="1" t="s">
        <v>4340</v>
      </c>
      <c r="F1109" s="21">
        <v>10</v>
      </c>
      <c r="G1109" s="1" t="s">
        <v>4372</v>
      </c>
      <c r="H1109" s="1" t="s">
        <v>4373</v>
      </c>
      <c r="I1109" s="1" t="s">
        <v>4374</v>
      </c>
      <c r="J1109" s="1" t="s">
        <v>3860</v>
      </c>
      <c r="L1109" s="1" t="s">
        <v>9</v>
      </c>
    </row>
    <row r="1110" spans="1:12" ht="15.75" customHeight="1" x14ac:dyDescent="0.25">
      <c r="A1110" s="1" t="s">
        <v>2590</v>
      </c>
      <c r="B1110" s="21">
        <v>14</v>
      </c>
      <c r="C1110" s="1" t="s">
        <v>4241</v>
      </c>
      <c r="D1110" s="21">
        <v>41</v>
      </c>
      <c r="E1110" s="1" t="s">
        <v>4340</v>
      </c>
      <c r="F1110" s="21">
        <v>11</v>
      </c>
      <c r="G1110" s="1" t="s">
        <v>4375</v>
      </c>
      <c r="H1110" s="1" t="s">
        <v>4376</v>
      </c>
      <c r="I1110" s="1" t="s">
        <v>4377</v>
      </c>
      <c r="J1110" s="1" t="s">
        <v>3860</v>
      </c>
      <c r="L1110" s="1" t="s">
        <v>8</v>
      </c>
    </row>
    <row r="1111" spans="1:12" ht="15.75" customHeight="1" x14ac:dyDescent="0.25">
      <c r="A1111" s="1" t="s">
        <v>2590</v>
      </c>
      <c r="B1111" s="21">
        <v>14</v>
      </c>
      <c r="C1111" s="1" t="s">
        <v>4241</v>
      </c>
      <c r="D1111" s="21">
        <v>41</v>
      </c>
      <c r="E1111" s="1" t="s">
        <v>4340</v>
      </c>
      <c r="F1111" s="21">
        <v>12</v>
      </c>
      <c r="G1111" s="1" t="s">
        <v>4378</v>
      </c>
      <c r="H1111" s="1" t="s">
        <v>4379</v>
      </c>
      <c r="I1111" s="1" t="s">
        <v>4380</v>
      </c>
      <c r="J1111" s="1" t="s">
        <v>4381</v>
      </c>
      <c r="L1111" s="1" t="s">
        <v>7</v>
      </c>
    </row>
    <row r="1112" spans="1:12" ht="15.75" customHeight="1" x14ac:dyDescent="0.25">
      <c r="A1112" s="1" t="s">
        <v>2590</v>
      </c>
      <c r="B1112" s="21">
        <v>14</v>
      </c>
      <c r="C1112" s="1" t="s">
        <v>4241</v>
      </c>
      <c r="D1112" s="21">
        <v>41</v>
      </c>
      <c r="E1112" s="1" t="s">
        <v>4340</v>
      </c>
      <c r="F1112" s="21">
        <v>13</v>
      </c>
      <c r="G1112" s="1" t="s">
        <v>4382</v>
      </c>
      <c r="H1112" s="1" t="s">
        <v>4383</v>
      </c>
      <c r="I1112" s="1" t="s">
        <v>4384</v>
      </c>
      <c r="J1112" s="1" t="s">
        <v>4385</v>
      </c>
      <c r="L1112" s="1" t="s">
        <v>9</v>
      </c>
    </row>
    <row r="1113" spans="1:12" ht="15.75" customHeight="1" x14ac:dyDescent="0.25">
      <c r="A1113" s="1" t="s">
        <v>2590</v>
      </c>
      <c r="B1113" s="21">
        <v>14</v>
      </c>
      <c r="C1113" s="1" t="s">
        <v>4241</v>
      </c>
      <c r="D1113" s="21">
        <v>42</v>
      </c>
      <c r="E1113" s="1" t="s">
        <v>4386</v>
      </c>
      <c r="F1113" s="21">
        <v>1</v>
      </c>
      <c r="G1113" s="1" t="s">
        <v>4387</v>
      </c>
      <c r="H1113" s="1" t="s">
        <v>4388</v>
      </c>
      <c r="I1113" s="1" t="s">
        <v>4389</v>
      </c>
      <c r="J1113" s="1" t="s">
        <v>4390</v>
      </c>
      <c r="K1113" s="1" t="s">
        <v>4391</v>
      </c>
      <c r="L1113" s="1" t="s">
        <v>10</v>
      </c>
    </row>
    <row r="1114" spans="1:12" ht="15.75" customHeight="1" x14ac:dyDescent="0.25">
      <c r="A1114" s="1" t="s">
        <v>2590</v>
      </c>
      <c r="B1114" s="21">
        <v>14</v>
      </c>
      <c r="C1114" s="1" t="s">
        <v>4241</v>
      </c>
      <c r="D1114" s="21">
        <v>42</v>
      </c>
      <c r="E1114" s="1" t="s">
        <v>4386</v>
      </c>
      <c r="F1114" s="21">
        <v>2</v>
      </c>
      <c r="G1114" s="1" t="s">
        <v>4392</v>
      </c>
      <c r="H1114" s="1" t="s">
        <v>4393</v>
      </c>
      <c r="I1114" s="1" t="s">
        <v>4394</v>
      </c>
      <c r="J1114" s="1" t="s">
        <v>4395</v>
      </c>
      <c r="K1114" s="1" t="s">
        <v>4396</v>
      </c>
      <c r="L1114" s="1" t="s">
        <v>9</v>
      </c>
    </row>
    <row r="1115" spans="1:12" ht="15.75" customHeight="1" x14ac:dyDescent="0.25">
      <c r="A1115" s="1" t="s">
        <v>2590</v>
      </c>
      <c r="B1115" s="21">
        <v>14</v>
      </c>
      <c r="C1115" s="1" t="s">
        <v>4241</v>
      </c>
      <c r="D1115" s="21">
        <v>42</v>
      </c>
      <c r="E1115" s="1" t="s">
        <v>4386</v>
      </c>
      <c r="F1115" s="21">
        <v>3</v>
      </c>
      <c r="G1115" s="1" t="s">
        <v>4397</v>
      </c>
      <c r="H1115" s="1" t="s">
        <v>4398</v>
      </c>
      <c r="I1115" s="1" t="s">
        <v>4399</v>
      </c>
      <c r="J1115" s="1" t="s">
        <v>4400</v>
      </c>
      <c r="K1115" s="1" t="s">
        <v>4401</v>
      </c>
      <c r="L1115" s="1" t="s">
        <v>8</v>
      </c>
    </row>
    <row r="1116" spans="1:12" ht="15.75" customHeight="1" x14ac:dyDescent="0.25">
      <c r="A1116" s="1" t="s">
        <v>2590</v>
      </c>
      <c r="B1116" s="21">
        <v>14</v>
      </c>
      <c r="C1116" s="1" t="s">
        <v>4241</v>
      </c>
      <c r="D1116" s="21">
        <v>42</v>
      </c>
      <c r="E1116" s="1" t="s">
        <v>4386</v>
      </c>
      <c r="F1116" s="21">
        <v>4</v>
      </c>
      <c r="G1116" s="1" t="s">
        <v>4402</v>
      </c>
      <c r="H1116" s="1" t="s">
        <v>4403</v>
      </c>
      <c r="I1116" s="1" t="s">
        <v>4404</v>
      </c>
      <c r="J1116" s="1" t="s">
        <v>4405</v>
      </c>
      <c r="K1116" s="1" t="s">
        <v>4406</v>
      </c>
      <c r="L1116" s="1" t="s">
        <v>8</v>
      </c>
    </row>
    <row r="1117" spans="1:12" ht="15.75" customHeight="1" x14ac:dyDescent="0.25">
      <c r="A1117" s="1" t="s">
        <v>2590</v>
      </c>
      <c r="B1117" s="21">
        <v>14</v>
      </c>
      <c r="C1117" s="1" t="s">
        <v>4241</v>
      </c>
      <c r="D1117" s="21">
        <v>42</v>
      </c>
      <c r="E1117" s="1" t="s">
        <v>4386</v>
      </c>
      <c r="F1117" s="21">
        <v>5</v>
      </c>
      <c r="G1117" s="1" t="s">
        <v>4407</v>
      </c>
      <c r="H1117" s="1" t="s">
        <v>4408</v>
      </c>
      <c r="I1117" s="1" t="s">
        <v>4409</v>
      </c>
      <c r="J1117" s="1" t="s">
        <v>4410</v>
      </c>
      <c r="K1117" s="1" t="s">
        <v>4411</v>
      </c>
      <c r="L1117" s="1" t="s">
        <v>8</v>
      </c>
    </row>
    <row r="1118" spans="1:12" ht="15.75" customHeight="1" x14ac:dyDescent="0.25">
      <c r="A1118" s="1" t="s">
        <v>2590</v>
      </c>
      <c r="B1118" s="21">
        <v>14</v>
      </c>
      <c r="C1118" s="1" t="s">
        <v>4241</v>
      </c>
      <c r="D1118" s="21">
        <v>42</v>
      </c>
      <c r="E1118" s="1" t="s">
        <v>4386</v>
      </c>
      <c r="F1118" s="21">
        <v>6</v>
      </c>
      <c r="G1118" s="1" t="s">
        <v>4412</v>
      </c>
      <c r="H1118" s="1" t="s">
        <v>4413</v>
      </c>
      <c r="I1118" s="1" t="s">
        <v>4414</v>
      </c>
      <c r="J1118" s="1" t="s">
        <v>4415</v>
      </c>
      <c r="K1118" s="1" t="s">
        <v>4416</v>
      </c>
      <c r="L1118" s="1" t="s">
        <v>8</v>
      </c>
    </row>
    <row r="1119" spans="1:12" ht="15.75" customHeight="1" x14ac:dyDescent="0.25">
      <c r="A1119" s="1" t="s">
        <v>2590</v>
      </c>
      <c r="B1119" s="21">
        <v>14</v>
      </c>
      <c r="C1119" s="1" t="s">
        <v>4241</v>
      </c>
      <c r="D1119" s="21">
        <v>42</v>
      </c>
      <c r="E1119" s="1" t="s">
        <v>4386</v>
      </c>
      <c r="F1119" s="21">
        <v>7</v>
      </c>
      <c r="G1119" s="1" t="s">
        <v>4417</v>
      </c>
      <c r="H1119" s="1" t="s">
        <v>4418</v>
      </c>
      <c r="I1119" s="1" t="s">
        <v>4419</v>
      </c>
      <c r="J1119" s="1" t="s">
        <v>4420</v>
      </c>
      <c r="K1119" s="1" t="s">
        <v>4421</v>
      </c>
      <c r="L1119" s="1" t="s">
        <v>7</v>
      </c>
    </row>
    <row r="1120" spans="1:12" ht="15.75" customHeight="1" x14ac:dyDescent="0.25">
      <c r="A1120" s="1" t="s">
        <v>2590</v>
      </c>
      <c r="B1120" s="21">
        <v>14</v>
      </c>
      <c r="C1120" s="1" t="s">
        <v>4241</v>
      </c>
      <c r="D1120" s="21">
        <v>42</v>
      </c>
      <c r="E1120" s="1" t="s">
        <v>4386</v>
      </c>
      <c r="F1120" s="21">
        <v>8</v>
      </c>
      <c r="G1120" s="1" t="s">
        <v>4422</v>
      </c>
      <c r="H1120" s="1" t="s">
        <v>4423</v>
      </c>
      <c r="I1120" s="1" t="s">
        <v>4424</v>
      </c>
      <c r="J1120" s="1" t="s">
        <v>4425</v>
      </c>
      <c r="K1120" s="1" t="s">
        <v>4426</v>
      </c>
      <c r="L1120" s="1" t="s">
        <v>9</v>
      </c>
    </row>
    <row r="1121" spans="1:12" ht="15.75" customHeight="1" x14ac:dyDescent="0.25">
      <c r="A1121" s="1" t="s">
        <v>2590</v>
      </c>
      <c r="B1121" s="21">
        <v>14</v>
      </c>
      <c r="C1121" s="1" t="s">
        <v>4241</v>
      </c>
      <c r="D1121" s="21">
        <v>42</v>
      </c>
      <c r="E1121" s="1" t="s">
        <v>4386</v>
      </c>
      <c r="F1121" s="21">
        <v>9</v>
      </c>
      <c r="G1121" s="1" t="s">
        <v>4427</v>
      </c>
      <c r="H1121" s="1" t="s">
        <v>4428</v>
      </c>
      <c r="I1121" s="1" t="s">
        <v>4429</v>
      </c>
      <c r="J1121" s="1" t="s">
        <v>4430</v>
      </c>
      <c r="K1121" s="1" t="s">
        <v>4431</v>
      </c>
      <c r="L1121" s="1" t="s">
        <v>9</v>
      </c>
    </row>
    <row r="1122" spans="1:12" ht="15.75" customHeight="1" x14ac:dyDescent="0.25">
      <c r="A1122" s="1" t="s">
        <v>2590</v>
      </c>
      <c r="B1122" s="21">
        <v>14</v>
      </c>
      <c r="C1122" s="1" t="s">
        <v>4241</v>
      </c>
      <c r="D1122" s="21">
        <v>42</v>
      </c>
      <c r="E1122" s="1" t="s">
        <v>4386</v>
      </c>
      <c r="F1122" s="21">
        <v>10</v>
      </c>
      <c r="G1122" s="1" t="s">
        <v>4432</v>
      </c>
      <c r="H1122" s="1" t="s">
        <v>4433</v>
      </c>
      <c r="I1122" s="1" t="s">
        <v>4434</v>
      </c>
      <c r="J1122" s="1" t="s">
        <v>4435</v>
      </c>
      <c r="K1122" s="1" t="s">
        <v>4436</v>
      </c>
      <c r="L1122" s="1" t="s">
        <v>8</v>
      </c>
    </row>
    <row r="1123" spans="1:12" ht="15.75" customHeight="1" x14ac:dyDescent="0.25">
      <c r="A1123" s="1" t="s">
        <v>2590</v>
      </c>
      <c r="B1123" s="21">
        <v>14</v>
      </c>
      <c r="C1123" s="1" t="s">
        <v>4241</v>
      </c>
      <c r="D1123" s="21">
        <v>42</v>
      </c>
      <c r="E1123" s="1" t="s">
        <v>4386</v>
      </c>
      <c r="F1123" s="21">
        <v>11</v>
      </c>
      <c r="G1123" s="1" t="s">
        <v>4437</v>
      </c>
      <c r="H1123" s="1" t="s">
        <v>4438</v>
      </c>
      <c r="I1123" s="1" t="s">
        <v>4439</v>
      </c>
      <c r="J1123" s="1" t="s">
        <v>4440</v>
      </c>
      <c r="K1123" s="1" t="s">
        <v>4441</v>
      </c>
      <c r="L1123" s="1" t="s">
        <v>10</v>
      </c>
    </row>
    <row r="1124" spans="1:12" ht="15.75" customHeight="1" x14ac:dyDescent="0.25">
      <c r="A1124" s="1" t="s">
        <v>2590</v>
      </c>
      <c r="B1124" s="21">
        <v>14</v>
      </c>
      <c r="C1124" s="1" t="s">
        <v>4241</v>
      </c>
      <c r="D1124" s="21">
        <v>42</v>
      </c>
      <c r="E1124" s="1" t="s">
        <v>4386</v>
      </c>
      <c r="F1124" s="21">
        <v>12</v>
      </c>
      <c r="G1124" s="1" t="s">
        <v>4442</v>
      </c>
      <c r="H1124" s="1" t="s">
        <v>4443</v>
      </c>
      <c r="I1124" s="1" t="s">
        <v>4444</v>
      </c>
      <c r="J1124" s="1" t="s">
        <v>4445</v>
      </c>
      <c r="K1124" s="1" t="s">
        <v>4446</v>
      </c>
      <c r="L1124" s="1" t="s">
        <v>8</v>
      </c>
    </row>
    <row r="1125" spans="1:12" ht="15.75" customHeight="1" x14ac:dyDescent="0.25">
      <c r="A1125" s="1" t="s">
        <v>2590</v>
      </c>
      <c r="B1125" s="21">
        <v>14</v>
      </c>
      <c r="C1125" s="1" t="s">
        <v>4241</v>
      </c>
      <c r="D1125" s="21">
        <v>42</v>
      </c>
      <c r="E1125" s="1" t="s">
        <v>4386</v>
      </c>
      <c r="F1125" s="21">
        <v>13</v>
      </c>
      <c r="G1125" s="1" t="s">
        <v>4447</v>
      </c>
      <c r="H1125" s="1" t="s">
        <v>4448</v>
      </c>
      <c r="I1125" s="1" t="s">
        <v>4449</v>
      </c>
      <c r="J1125" s="1" t="s">
        <v>4450</v>
      </c>
      <c r="K1125" s="1" t="s">
        <v>4451</v>
      </c>
      <c r="L1125" s="1" t="s">
        <v>7</v>
      </c>
    </row>
    <row r="1126" spans="1:12" ht="15.75" customHeight="1" x14ac:dyDescent="0.25">
      <c r="A1126" s="1" t="s">
        <v>2590</v>
      </c>
      <c r="B1126" s="21">
        <v>14</v>
      </c>
      <c r="C1126" s="1" t="s">
        <v>4241</v>
      </c>
      <c r="D1126" s="21">
        <v>42</v>
      </c>
      <c r="E1126" s="1" t="s">
        <v>4386</v>
      </c>
      <c r="F1126" s="21">
        <v>14</v>
      </c>
      <c r="G1126" s="1" t="s">
        <v>4452</v>
      </c>
      <c r="H1126" s="1" t="s">
        <v>4453</v>
      </c>
      <c r="L1126" s="1" t="s">
        <v>8</v>
      </c>
    </row>
    <row r="1127" spans="1:12" ht="15.75" customHeight="1" x14ac:dyDescent="0.25">
      <c r="A1127" s="1" t="s">
        <v>2590</v>
      </c>
      <c r="B1127" s="21">
        <v>14</v>
      </c>
      <c r="C1127" s="1" t="s">
        <v>4241</v>
      </c>
      <c r="D1127" s="21">
        <v>42</v>
      </c>
      <c r="E1127" s="1" t="s">
        <v>4386</v>
      </c>
      <c r="F1127" s="21">
        <v>15</v>
      </c>
      <c r="G1127" s="1" t="s">
        <v>4454</v>
      </c>
      <c r="H1127" s="1" t="s">
        <v>4455</v>
      </c>
      <c r="I1127" s="1" t="s">
        <v>4456</v>
      </c>
      <c r="J1127" s="1" t="s">
        <v>4457</v>
      </c>
      <c r="K1127" s="1" t="s">
        <v>4458</v>
      </c>
      <c r="L1127" s="1" t="s">
        <v>7</v>
      </c>
    </row>
    <row r="1128" spans="1:12" ht="15.75" customHeight="1" x14ac:dyDescent="0.25">
      <c r="A1128" s="1" t="s">
        <v>2590</v>
      </c>
      <c r="B1128" s="21">
        <v>14</v>
      </c>
      <c r="C1128" s="1" t="s">
        <v>4241</v>
      </c>
      <c r="D1128" s="21">
        <v>42</v>
      </c>
      <c r="E1128" s="1" t="s">
        <v>4386</v>
      </c>
      <c r="F1128" s="21">
        <v>16</v>
      </c>
      <c r="G1128" s="1" t="s">
        <v>4459</v>
      </c>
      <c r="H1128" s="1" t="s">
        <v>4460</v>
      </c>
      <c r="I1128" s="1" t="s">
        <v>4461</v>
      </c>
      <c r="J1128" s="1" t="s">
        <v>4462</v>
      </c>
      <c r="K1128" s="1" t="s">
        <v>4463</v>
      </c>
      <c r="L1128" s="1" t="s">
        <v>7</v>
      </c>
    </row>
    <row r="1129" spans="1:12" ht="15.75" customHeight="1" x14ac:dyDescent="0.25">
      <c r="A1129" s="1" t="s">
        <v>2590</v>
      </c>
      <c r="B1129" s="21">
        <v>14</v>
      </c>
      <c r="C1129" s="1" t="s">
        <v>4241</v>
      </c>
      <c r="D1129" s="21">
        <v>42</v>
      </c>
      <c r="E1129" s="1" t="s">
        <v>4386</v>
      </c>
      <c r="F1129" s="21">
        <v>17</v>
      </c>
      <c r="G1129" s="1" t="s">
        <v>4464</v>
      </c>
      <c r="H1129" s="1" t="s">
        <v>4465</v>
      </c>
      <c r="I1129" s="1" t="s">
        <v>4466</v>
      </c>
      <c r="J1129" s="1" t="s">
        <v>4467</v>
      </c>
      <c r="K1129" s="1" t="s">
        <v>4184</v>
      </c>
      <c r="L1129" s="1" t="s">
        <v>9</v>
      </c>
    </row>
    <row r="1130" spans="1:12" ht="15.75" customHeight="1" x14ac:dyDescent="0.25">
      <c r="A1130" s="1" t="s">
        <v>2590</v>
      </c>
      <c r="B1130" s="21">
        <v>14</v>
      </c>
      <c r="C1130" s="1" t="s">
        <v>4241</v>
      </c>
      <c r="D1130" s="21">
        <v>42</v>
      </c>
      <c r="E1130" s="1" t="s">
        <v>4386</v>
      </c>
      <c r="F1130" s="21">
        <v>18</v>
      </c>
      <c r="G1130" s="1" t="s">
        <v>4468</v>
      </c>
      <c r="H1130" s="1" t="s">
        <v>4469</v>
      </c>
      <c r="I1130" s="1" t="s">
        <v>4470</v>
      </c>
      <c r="J1130" s="1" t="s">
        <v>4471</v>
      </c>
      <c r="K1130" s="1" t="s">
        <v>4472</v>
      </c>
      <c r="L1130" s="1" t="s">
        <v>9</v>
      </c>
    </row>
    <row r="1131" spans="1:12" ht="15.75" customHeight="1" x14ac:dyDescent="0.25">
      <c r="A1131" s="1" t="s">
        <v>2590</v>
      </c>
      <c r="B1131" s="21">
        <v>14</v>
      </c>
      <c r="C1131" s="1" t="s">
        <v>4241</v>
      </c>
      <c r="D1131" s="21">
        <v>42</v>
      </c>
      <c r="E1131" s="1" t="s">
        <v>4386</v>
      </c>
      <c r="F1131" s="21">
        <v>19</v>
      </c>
      <c r="G1131" s="1" t="s">
        <v>4473</v>
      </c>
      <c r="H1131" s="1" t="s">
        <v>4474</v>
      </c>
      <c r="I1131" s="1" t="s">
        <v>4475</v>
      </c>
      <c r="J1131" s="1" t="s">
        <v>4476</v>
      </c>
      <c r="K1131" s="1" t="s">
        <v>4477</v>
      </c>
      <c r="L1131" s="1" t="s">
        <v>8</v>
      </c>
    </row>
    <row r="1132" spans="1:12" ht="15.75" customHeight="1" x14ac:dyDescent="0.25">
      <c r="A1132" s="1" t="s">
        <v>2590</v>
      </c>
      <c r="B1132" s="21">
        <v>14</v>
      </c>
      <c r="C1132" s="1" t="s">
        <v>4241</v>
      </c>
      <c r="D1132" s="21">
        <v>42</v>
      </c>
      <c r="E1132" s="1" t="s">
        <v>4386</v>
      </c>
      <c r="F1132" s="21">
        <v>20</v>
      </c>
      <c r="G1132" s="1" t="s">
        <v>4478</v>
      </c>
      <c r="H1132" s="1" t="s">
        <v>4479</v>
      </c>
      <c r="I1132" s="1" t="s">
        <v>4480</v>
      </c>
      <c r="J1132" s="1" t="s">
        <v>4481</v>
      </c>
      <c r="K1132" s="1" t="s">
        <v>4482</v>
      </c>
      <c r="L1132" s="1" t="s">
        <v>8</v>
      </c>
    </row>
    <row r="1133" spans="1:12" ht="15.75" customHeight="1" x14ac:dyDescent="0.25">
      <c r="A1133" s="1" t="s">
        <v>2590</v>
      </c>
      <c r="B1133" s="21">
        <v>14</v>
      </c>
      <c r="C1133" s="1" t="s">
        <v>4241</v>
      </c>
      <c r="D1133" s="21">
        <v>42</v>
      </c>
      <c r="E1133" s="1" t="s">
        <v>4386</v>
      </c>
      <c r="F1133" s="21">
        <v>21</v>
      </c>
      <c r="G1133" s="1" t="s">
        <v>4483</v>
      </c>
      <c r="H1133" s="1" t="s">
        <v>4484</v>
      </c>
      <c r="I1133" s="1" t="s">
        <v>4485</v>
      </c>
      <c r="J1133" s="1" t="s">
        <v>4486</v>
      </c>
      <c r="K1133" s="1" t="s">
        <v>4487</v>
      </c>
      <c r="L1133" s="1" t="s">
        <v>9</v>
      </c>
    </row>
    <row r="1134" spans="1:12" ht="15.75" customHeight="1" x14ac:dyDescent="0.25">
      <c r="A1134" s="1" t="s">
        <v>2590</v>
      </c>
      <c r="B1134" s="21">
        <v>14</v>
      </c>
      <c r="C1134" s="1" t="s">
        <v>4241</v>
      </c>
      <c r="D1134" s="21">
        <v>42</v>
      </c>
      <c r="E1134" s="1" t="s">
        <v>4386</v>
      </c>
      <c r="F1134" s="21">
        <v>22</v>
      </c>
      <c r="G1134" s="1" t="s">
        <v>4488</v>
      </c>
      <c r="H1134" s="1" t="s">
        <v>4489</v>
      </c>
      <c r="I1134" s="1" t="s">
        <v>4490</v>
      </c>
      <c r="J1134" s="1" t="s">
        <v>4491</v>
      </c>
      <c r="K1134" s="1" t="s">
        <v>4492</v>
      </c>
      <c r="L1134" s="1" t="s">
        <v>9</v>
      </c>
    </row>
    <row r="1135" spans="1:12" ht="15.75" customHeight="1" x14ac:dyDescent="0.25">
      <c r="A1135" s="1" t="s">
        <v>2590</v>
      </c>
      <c r="B1135" s="21">
        <v>14</v>
      </c>
      <c r="C1135" s="1" t="s">
        <v>4241</v>
      </c>
      <c r="D1135" s="21">
        <v>42</v>
      </c>
      <c r="E1135" s="1" t="s">
        <v>4386</v>
      </c>
      <c r="F1135" s="21">
        <v>23</v>
      </c>
      <c r="G1135" s="1" t="s">
        <v>4493</v>
      </c>
      <c r="H1135" s="1" t="s">
        <v>4494</v>
      </c>
      <c r="I1135" s="1" t="s">
        <v>4495</v>
      </c>
      <c r="J1135" s="1" t="s">
        <v>3508</v>
      </c>
      <c r="K1135" s="1" t="s">
        <v>4496</v>
      </c>
      <c r="L1135" s="1" t="s">
        <v>7</v>
      </c>
    </row>
    <row r="1136" spans="1:12" ht="15.75" customHeight="1" x14ac:dyDescent="0.25">
      <c r="A1136" s="1" t="s">
        <v>2590</v>
      </c>
      <c r="B1136" s="21">
        <v>14</v>
      </c>
      <c r="C1136" s="1" t="s">
        <v>4241</v>
      </c>
      <c r="D1136" s="21">
        <v>42</v>
      </c>
      <c r="E1136" s="1" t="s">
        <v>4386</v>
      </c>
      <c r="F1136" s="21">
        <v>24</v>
      </c>
      <c r="G1136" s="1" t="s">
        <v>4497</v>
      </c>
      <c r="H1136" s="1" t="s">
        <v>4498</v>
      </c>
      <c r="I1136" s="1" t="s">
        <v>4499</v>
      </c>
      <c r="J1136" s="1" t="s">
        <v>4500</v>
      </c>
      <c r="K1136" s="1" t="s">
        <v>4491</v>
      </c>
      <c r="L1136" s="1" t="s">
        <v>9</v>
      </c>
    </row>
    <row r="1137" spans="1:12" ht="15.75" customHeight="1" x14ac:dyDescent="0.25">
      <c r="A1137" s="1" t="s">
        <v>2590</v>
      </c>
      <c r="B1137" s="21">
        <v>14</v>
      </c>
      <c r="C1137" s="1" t="s">
        <v>4241</v>
      </c>
      <c r="D1137" s="21">
        <v>42</v>
      </c>
      <c r="E1137" s="1" t="s">
        <v>4386</v>
      </c>
      <c r="F1137" s="21">
        <v>25</v>
      </c>
      <c r="G1137" s="1" t="s">
        <v>4501</v>
      </c>
      <c r="H1137" s="1" t="s">
        <v>4502</v>
      </c>
      <c r="I1137" s="1" t="s">
        <v>4503</v>
      </c>
      <c r="J1137" s="1" t="s">
        <v>4504</v>
      </c>
      <c r="K1137" s="1" t="s">
        <v>4505</v>
      </c>
      <c r="L1137" s="1" t="s">
        <v>10</v>
      </c>
    </row>
    <row r="1138" spans="1:12" ht="15.75" customHeight="1" x14ac:dyDescent="0.25">
      <c r="A1138" s="1" t="s">
        <v>2590</v>
      </c>
      <c r="B1138" s="21">
        <v>14</v>
      </c>
      <c r="C1138" s="1" t="s">
        <v>4241</v>
      </c>
      <c r="D1138" s="21">
        <v>43</v>
      </c>
      <c r="E1138" s="1" t="s">
        <v>4506</v>
      </c>
      <c r="F1138" s="21">
        <v>1</v>
      </c>
      <c r="G1138" s="1" t="s">
        <v>4507</v>
      </c>
      <c r="H1138" s="1" t="s">
        <v>4508</v>
      </c>
      <c r="I1138" s="1" t="s">
        <v>4509</v>
      </c>
      <c r="J1138" s="1" t="s">
        <v>4510</v>
      </c>
      <c r="L1138" s="1" t="s">
        <v>7</v>
      </c>
    </row>
    <row r="1139" spans="1:12" ht="15.75" customHeight="1" x14ac:dyDescent="0.25">
      <c r="A1139" s="1" t="s">
        <v>2590</v>
      </c>
      <c r="B1139" s="21">
        <v>14</v>
      </c>
      <c r="C1139" s="1" t="s">
        <v>4241</v>
      </c>
      <c r="D1139" s="21">
        <v>43</v>
      </c>
      <c r="E1139" s="1" t="s">
        <v>4506</v>
      </c>
      <c r="F1139" s="21">
        <v>2</v>
      </c>
      <c r="G1139" s="1" t="s">
        <v>4511</v>
      </c>
      <c r="H1139" s="1" t="s">
        <v>4512</v>
      </c>
      <c r="I1139" s="1" t="s">
        <v>4513</v>
      </c>
      <c r="J1139" s="1" t="s">
        <v>4514</v>
      </c>
      <c r="L1139" s="1" t="s">
        <v>8</v>
      </c>
    </row>
    <row r="1140" spans="1:12" ht="15.75" customHeight="1" x14ac:dyDescent="0.25">
      <c r="A1140" s="1" t="s">
        <v>2590</v>
      </c>
      <c r="B1140" s="21">
        <v>14</v>
      </c>
      <c r="C1140" s="1" t="s">
        <v>4241</v>
      </c>
      <c r="D1140" s="21">
        <v>43</v>
      </c>
      <c r="E1140" s="1" t="s">
        <v>4506</v>
      </c>
      <c r="F1140" s="21">
        <v>3</v>
      </c>
      <c r="G1140" s="1" t="s">
        <v>4515</v>
      </c>
      <c r="H1140" s="1" t="s">
        <v>4516</v>
      </c>
      <c r="I1140" s="1" t="s">
        <v>4517</v>
      </c>
      <c r="J1140" s="1" t="s">
        <v>4518</v>
      </c>
      <c r="L1140" s="1" t="s">
        <v>9</v>
      </c>
    </row>
    <row r="1141" spans="1:12" ht="15.75" customHeight="1" x14ac:dyDescent="0.25">
      <c r="A1141" s="1" t="s">
        <v>2590</v>
      </c>
      <c r="B1141" s="21">
        <v>14</v>
      </c>
      <c r="C1141" s="1" t="s">
        <v>4241</v>
      </c>
      <c r="D1141" s="21">
        <v>43</v>
      </c>
      <c r="E1141" s="1" t="s">
        <v>4506</v>
      </c>
      <c r="F1141" s="21">
        <v>4</v>
      </c>
      <c r="G1141" s="1" t="s">
        <v>4519</v>
      </c>
      <c r="H1141" s="1" t="s">
        <v>4520</v>
      </c>
      <c r="I1141" s="1" t="s">
        <v>4521</v>
      </c>
      <c r="J1141" s="1" t="s">
        <v>4522</v>
      </c>
      <c r="L1141" s="1" t="s">
        <v>9</v>
      </c>
    </row>
    <row r="1142" spans="1:12" ht="15.75" customHeight="1" x14ac:dyDescent="0.25">
      <c r="A1142" s="1" t="s">
        <v>2590</v>
      </c>
      <c r="B1142" s="21">
        <v>14</v>
      </c>
      <c r="C1142" s="1" t="s">
        <v>4241</v>
      </c>
      <c r="D1142" s="21">
        <v>43</v>
      </c>
      <c r="E1142" s="1" t="s">
        <v>4506</v>
      </c>
      <c r="F1142" s="21">
        <v>5</v>
      </c>
      <c r="G1142" s="1" t="s">
        <v>4523</v>
      </c>
      <c r="H1142" s="1" t="s">
        <v>4524</v>
      </c>
      <c r="I1142" s="1" t="s">
        <v>4525</v>
      </c>
      <c r="J1142" s="1" t="s">
        <v>4526</v>
      </c>
      <c r="L1142" s="1" t="s">
        <v>8</v>
      </c>
    </row>
    <row r="1143" spans="1:12" ht="15.75" customHeight="1" x14ac:dyDescent="0.25">
      <c r="A1143" s="1" t="s">
        <v>2590</v>
      </c>
      <c r="B1143" s="21">
        <v>14</v>
      </c>
      <c r="C1143" s="1" t="s">
        <v>4241</v>
      </c>
      <c r="D1143" s="21">
        <v>43</v>
      </c>
      <c r="E1143" s="1" t="s">
        <v>4506</v>
      </c>
      <c r="F1143" s="21">
        <v>6</v>
      </c>
      <c r="G1143" s="1" t="s">
        <v>4527</v>
      </c>
      <c r="H1143" s="1" t="s">
        <v>4528</v>
      </c>
      <c r="I1143" s="1" t="s">
        <v>4529</v>
      </c>
      <c r="J1143" s="1" t="s">
        <v>4530</v>
      </c>
      <c r="L1143" s="1" t="s">
        <v>7</v>
      </c>
    </row>
    <row r="1144" spans="1:12" ht="15.75" customHeight="1" x14ac:dyDescent="0.25">
      <c r="A1144" s="1" t="s">
        <v>2590</v>
      </c>
      <c r="B1144" s="21">
        <v>14</v>
      </c>
      <c r="C1144" s="1" t="s">
        <v>4241</v>
      </c>
      <c r="D1144" s="21">
        <v>43</v>
      </c>
      <c r="E1144" s="1" t="s">
        <v>4506</v>
      </c>
      <c r="F1144" s="21">
        <v>7</v>
      </c>
      <c r="G1144" s="1" t="s">
        <v>4531</v>
      </c>
      <c r="H1144" s="1" t="s">
        <v>4532</v>
      </c>
      <c r="I1144" s="1" t="s">
        <v>4533</v>
      </c>
      <c r="J1144" s="1" t="s">
        <v>4534</v>
      </c>
      <c r="L1144" s="1" t="s">
        <v>9</v>
      </c>
    </row>
    <row r="1145" spans="1:12" ht="15.75" customHeight="1" x14ac:dyDescent="0.25">
      <c r="A1145" s="1" t="s">
        <v>2590</v>
      </c>
      <c r="B1145" s="21">
        <v>14</v>
      </c>
      <c r="C1145" s="1" t="s">
        <v>4241</v>
      </c>
      <c r="D1145" s="21">
        <v>43</v>
      </c>
      <c r="E1145" s="1" t="s">
        <v>4506</v>
      </c>
      <c r="F1145" s="21">
        <v>8</v>
      </c>
      <c r="G1145" s="1" t="s">
        <v>4535</v>
      </c>
      <c r="H1145" s="1" t="s">
        <v>4536</v>
      </c>
      <c r="I1145" s="1" t="s">
        <v>4537</v>
      </c>
      <c r="J1145" s="1" t="s">
        <v>4538</v>
      </c>
      <c r="L1145" s="1" t="s">
        <v>9</v>
      </c>
    </row>
    <row r="1146" spans="1:12" ht="15.75" customHeight="1" x14ac:dyDescent="0.25">
      <c r="A1146" s="1" t="s">
        <v>2590</v>
      </c>
      <c r="B1146" s="21">
        <v>14</v>
      </c>
      <c r="C1146" s="1" t="s">
        <v>4241</v>
      </c>
      <c r="D1146" s="21">
        <v>43</v>
      </c>
      <c r="E1146" s="1" t="s">
        <v>4506</v>
      </c>
      <c r="F1146" s="21">
        <v>9</v>
      </c>
      <c r="G1146" s="1" t="s">
        <v>4539</v>
      </c>
      <c r="H1146" s="1" t="s">
        <v>4540</v>
      </c>
      <c r="I1146" s="1" t="s">
        <v>4541</v>
      </c>
      <c r="J1146" s="1" t="s">
        <v>4542</v>
      </c>
      <c r="L1146" s="1" t="s">
        <v>8</v>
      </c>
    </row>
    <row r="1147" spans="1:12" ht="15.75" customHeight="1" x14ac:dyDescent="0.25">
      <c r="A1147" s="1" t="s">
        <v>2590</v>
      </c>
      <c r="B1147" s="21">
        <v>14</v>
      </c>
      <c r="C1147" s="1" t="s">
        <v>4241</v>
      </c>
      <c r="D1147" s="21">
        <v>43</v>
      </c>
      <c r="E1147" s="1" t="s">
        <v>4506</v>
      </c>
      <c r="F1147" s="21">
        <v>10</v>
      </c>
      <c r="G1147" s="1" t="s">
        <v>4543</v>
      </c>
      <c r="H1147" s="1" t="s">
        <v>4544</v>
      </c>
      <c r="I1147" s="1" t="s">
        <v>4542</v>
      </c>
      <c r="J1147" s="1" t="s">
        <v>4545</v>
      </c>
      <c r="L1147" s="1" t="s">
        <v>7</v>
      </c>
    </row>
    <row r="1148" spans="1:12" ht="15.75" customHeight="1" x14ac:dyDescent="0.25">
      <c r="A1148" s="1" t="s">
        <v>2590</v>
      </c>
      <c r="B1148" s="21">
        <v>14</v>
      </c>
      <c r="C1148" s="1" t="s">
        <v>4241</v>
      </c>
      <c r="D1148" s="21">
        <v>43</v>
      </c>
      <c r="E1148" s="1" t="s">
        <v>4506</v>
      </c>
      <c r="F1148" s="21">
        <v>11</v>
      </c>
      <c r="G1148" s="1" t="s">
        <v>4546</v>
      </c>
      <c r="H1148" s="1" t="s">
        <v>3507</v>
      </c>
      <c r="I1148" s="1" t="s">
        <v>3508</v>
      </c>
      <c r="J1148" s="1" t="s">
        <v>4547</v>
      </c>
      <c r="L1148" s="1" t="s">
        <v>7</v>
      </c>
    </row>
    <row r="1149" spans="1:12" ht="15.75" customHeight="1" x14ac:dyDescent="0.25">
      <c r="A1149" s="1" t="s">
        <v>2590</v>
      </c>
      <c r="B1149" s="21">
        <v>14</v>
      </c>
      <c r="C1149" s="1" t="s">
        <v>4241</v>
      </c>
      <c r="D1149" s="21">
        <v>43</v>
      </c>
      <c r="E1149" s="1" t="s">
        <v>4506</v>
      </c>
      <c r="F1149" s="21">
        <v>13</v>
      </c>
      <c r="G1149" s="1" t="s">
        <v>4548</v>
      </c>
      <c r="H1149" s="1" t="s">
        <v>4549</v>
      </c>
      <c r="I1149" s="1" t="s">
        <v>4550</v>
      </c>
      <c r="J1149" s="1" t="s">
        <v>3827</v>
      </c>
      <c r="L1149" s="1" t="s">
        <v>9</v>
      </c>
    </row>
    <row r="1150" spans="1:12" ht="15.75" customHeight="1" x14ac:dyDescent="0.25">
      <c r="A1150" s="1" t="s">
        <v>2590</v>
      </c>
      <c r="B1150" s="21">
        <v>14</v>
      </c>
      <c r="C1150" s="1" t="s">
        <v>4241</v>
      </c>
      <c r="D1150" s="21">
        <v>43</v>
      </c>
      <c r="E1150" s="1" t="s">
        <v>4506</v>
      </c>
      <c r="F1150" s="21">
        <v>14</v>
      </c>
      <c r="G1150" s="1" t="s">
        <v>4551</v>
      </c>
      <c r="H1150" s="1" t="s">
        <v>4552</v>
      </c>
      <c r="I1150" s="1" t="s">
        <v>4553</v>
      </c>
      <c r="J1150" s="1" t="s">
        <v>3827</v>
      </c>
      <c r="L1150" s="1" t="s">
        <v>9</v>
      </c>
    </row>
    <row r="1151" spans="1:12" ht="15.75" customHeight="1" x14ac:dyDescent="0.25">
      <c r="A1151" s="1" t="s">
        <v>2590</v>
      </c>
      <c r="B1151" s="21">
        <v>14</v>
      </c>
      <c r="C1151" s="1" t="s">
        <v>4241</v>
      </c>
      <c r="D1151" s="21">
        <v>43</v>
      </c>
      <c r="E1151" s="1" t="s">
        <v>4506</v>
      </c>
      <c r="F1151" s="21">
        <v>15</v>
      </c>
      <c r="G1151" s="1" t="s">
        <v>4554</v>
      </c>
      <c r="H1151" s="1" t="s">
        <v>4433</v>
      </c>
      <c r="I1151" s="1" t="s">
        <v>4434</v>
      </c>
      <c r="J1151" s="1" t="s">
        <v>3147</v>
      </c>
      <c r="L1151" s="1" t="s">
        <v>8</v>
      </c>
    </row>
    <row r="1152" spans="1:12" ht="15.75" customHeight="1" x14ac:dyDescent="0.25">
      <c r="A1152" s="1" t="s">
        <v>2590</v>
      </c>
      <c r="B1152" s="21">
        <v>14</v>
      </c>
      <c r="C1152" s="1" t="s">
        <v>4241</v>
      </c>
      <c r="D1152" s="21">
        <v>43</v>
      </c>
      <c r="E1152" s="1" t="s">
        <v>4506</v>
      </c>
      <c r="F1152" s="21">
        <v>16</v>
      </c>
      <c r="G1152" s="1" t="s">
        <v>4555</v>
      </c>
      <c r="H1152" s="1" t="s">
        <v>4556</v>
      </c>
      <c r="I1152" s="1" t="s">
        <v>2955</v>
      </c>
      <c r="J1152" s="1" t="s">
        <v>4557</v>
      </c>
      <c r="L1152" s="1" t="s">
        <v>7</v>
      </c>
    </row>
    <row r="1153" spans="1:12" ht="15.75" customHeight="1" x14ac:dyDescent="0.25">
      <c r="A1153" s="1" t="s">
        <v>2590</v>
      </c>
      <c r="B1153" s="21">
        <v>14</v>
      </c>
      <c r="C1153" s="1" t="s">
        <v>4241</v>
      </c>
      <c r="D1153" s="21">
        <v>43</v>
      </c>
      <c r="E1153" s="1" t="s">
        <v>4506</v>
      </c>
      <c r="F1153" s="21">
        <v>17</v>
      </c>
      <c r="G1153" s="1" t="s">
        <v>4558</v>
      </c>
      <c r="H1153" s="1" t="s">
        <v>4559</v>
      </c>
      <c r="I1153" s="1" t="s">
        <v>4560</v>
      </c>
      <c r="J1153" s="1" t="s">
        <v>4561</v>
      </c>
      <c r="L1153" s="1" t="s">
        <v>7</v>
      </c>
    </row>
    <row r="1154" spans="1:12" ht="15.75" customHeight="1" x14ac:dyDescent="0.25">
      <c r="A1154" s="1" t="s">
        <v>2590</v>
      </c>
      <c r="B1154" s="21">
        <v>14</v>
      </c>
      <c r="C1154" s="1" t="s">
        <v>4241</v>
      </c>
      <c r="D1154" s="21">
        <v>43</v>
      </c>
      <c r="E1154" s="1" t="s">
        <v>4506</v>
      </c>
      <c r="F1154" s="21">
        <v>18</v>
      </c>
      <c r="G1154" s="1" t="s">
        <v>4562</v>
      </c>
      <c r="H1154" s="1" t="s">
        <v>4563</v>
      </c>
      <c r="I1154" s="1" t="s">
        <v>4564</v>
      </c>
      <c r="J1154" s="1" t="s">
        <v>4565</v>
      </c>
      <c r="L1154" s="1" t="s">
        <v>9</v>
      </c>
    </row>
    <row r="1155" spans="1:12" ht="15.75" customHeight="1" x14ac:dyDescent="0.25">
      <c r="A1155" s="1" t="s">
        <v>2590</v>
      </c>
      <c r="B1155" s="21">
        <v>14</v>
      </c>
      <c r="C1155" s="1" t="s">
        <v>4241</v>
      </c>
      <c r="D1155" s="21">
        <v>43</v>
      </c>
      <c r="E1155" s="1" t="s">
        <v>4506</v>
      </c>
      <c r="F1155" s="21">
        <v>19</v>
      </c>
      <c r="G1155" s="1" t="s">
        <v>4566</v>
      </c>
      <c r="H1155" s="1" t="s">
        <v>4567</v>
      </c>
      <c r="I1155" s="1" t="s">
        <v>4568</v>
      </c>
      <c r="J1155" s="1" t="s">
        <v>4569</v>
      </c>
      <c r="L1155" s="1" t="s">
        <v>9</v>
      </c>
    </row>
    <row r="1156" spans="1:12" ht="15.75" customHeight="1" x14ac:dyDescent="0.25">
      <c r="A1156" s="1" t="s">
        <v>2590</v>
      </c>
      <c r="B1156" s="21">
        <v>14</v>
      </c>
      <c r="C1156" s="1" t="s">
        <v>4241</v>
      </c>
      <c r="D1156" s="21">
        <v>43</v>
      </c>
      <c r="E1156" s="1" t="s">
        <v>4506</v>
      </c>
      <c r="F1156" s="21">
        <v>20</v>
      </c>
      <c r="G1156" s="1" t="s">
        <v>4570</v>
      </c>
      <c r="H1156" s="1" t="s">
        <v>4571</v>
      </c>
      <c r="I1156" s="1" t="s">
        <v>4572</v>
      </c>
      <c r="J1156" s="1" t="s">
        <v>4573</v>
      </c>
      <c r="L1156" s="1" t="s">
        <v>8</v>
      </c>
    </row>
    <row r="1157" spans="1:12" ht="15.75" customHeight="1" x14ac:dyDescent="0.25">
      <c r="A1157" s="1" t="s">
        <v>2590</v>
      </c>
      <c r="B1157" s="21">
        <v>14</v>
      </c>
      <c r="C1157" s="1" t="s">
        <v>4241</v>
      </c>
      <c r="D1157" s="21">
        <v>43</v>
      </c>
      <c r="E1157" s="1" t="s">
        <v>4506</v>
      </c>
      <c r="F1157" s="21">
        <v>21</v>
      </c>
      <c r="G1157" s="1" t="s">
        <v>4574</v>
      </c>
      <c r="H1157" s="1" t="s">
        <v>4509</v>
      </c>
      <c r="I1157" s="1" t="s">
        <v>4508</v>
      </c>
      <c r="J1157" s="1" t="s">
        <v>4510</v>
      </c>
      <c r="L1157" s="1" t="s">
        <v>7</v>
      </c>
    </row>
    <row r="1158" spans="1:12" ht="15.75" customHeight="1" x14ac:dyDescent="0.25">
      <c r="A1158" s="1" t="s">
        <v>2590</v>
      </c>
      <c r="B1158" s="21">
        <v>14</v>
      </c>
      <c r="C1158" s="1" t="s">
        <v>4241</v>
      </c>
      <c r="D1158" s="21">
        <v>43</v>
      </c>
      <c r="E1158" s="1" t="s">
        <v>4506</v>
      </c>
      <c r="F1158" s="21">
        <v>22</v>
      </c>
      <c r="G1158" s="1" t="s">
        <v>4575</v>
      </c>
      <c r="H1158" s="1" t="s">
        <v>4576</v>
      </c>
      <c r="I1158" s="1" t="s">
        <v>4577</v>
      </c>
      <c r="J1158" s="1" t="s">
        <v>4578</v>
      </c>
      <c r="L1158" s="1" t="s">
        <v>9</v>
      </c>
    </row>
    <row r="1159" spans="1:12" ht="15.75" customHeight="1" x14ac:dyDescent="0.25">
      <c r="A1159" s="1" t="s">
        <v>2590</v>
      </c>
      <c r="B1159" s="21">
        <v>14</v>
      </c>
      <c r="C1159" s="1" t="s">
        <v>4241</v>
      </c>
      <c r="D1159" s="21">
        <v>43</v>
      </c>
      <c r="E1159" s="1" t="s">
        <v>4506</v>
      </c>
      <c r="F1159" s="21">
        <v>23</v>
      </c>
      <c r="G1159" s="1" t="s">
        <v>4579</v>
      </c>
      <c r="H1159" s="1" t="s">
        <v>3419</v>
      </c>
      <c r="I1159" s="1" t="s">
        <v>3823</v>
      </c>
      <c r="J1159" s="1" t="s">
        <v>3418</v>
      </c>
      <c r="L1159" s="1" t="s">
        <v>8</v>
      </c>
    </row>
    <row r="1160" spans="1:12" ht="15.75" customHeight="1" x14ac:dyDescent="0.25">
      <c r="A1160" s="1" t="s">
        <v>2590</v>
      </c>
      <c r="B1160" s="21">
        <v>14</v>
      </c>
      <c r="C1160" s="1" t="s">
        <v>4241</v>
      </c>
      <c r="D1160" s="21">
        <v>43</v>
      </c>
      <c r="E1160" s="1" t="s">
        <v>4506</v>
      </c>
      <c r="F1160" s="21">
        <v>24</v>
      </c>
      <c r="G1160" s="1" t="s">
        <v>4580</v>
      </c>
      <c r="H1160" s="1" t="s">
        <v>4581</v>
      </c>
      <c r="I1160" s="1" t="s">
        <v>4582</v>
      </c>
      <c r="J1160" s="1" t="s">
        <v>4583</v>
      </c>
      <c r="L1160" s="1" t="s">
        <v>9</v>
      </c>
    </row>
    <row r="1161" spans="1:12" ht="15.75" customHeight="1" x14ac:dyDescent="0.25">
      <c r="A1161" s="1" t="s">
        <v>2590</v>
      </c>
      <c r="B1161" s="21">
        <v>14</v>
      </c>
      <c r="C1161" s="1" t="s">
        <v>4241</v>
      </c>
      <c r="D1161" s="21">
        <v>43</v>
      </c>
      <c r="E1161" s="1" t="s">
        <v>4506</v>
      </c>
      <c r="F1161" s="21">
        <v>25</v>
      </c>
      <c r="G1161" s="1" t="s">
        <v>4584</v>
      </c>
      <c r="H1161" s="1" t="s">
        <v>4585</v>
      </c>
      <c r="I1161" s="1" t="s">
        <v>4586</v>
      </c>
      <c r="J1161" s="1" t="s">
        <v>4587</v>
      </c>
      <c r="L1161" s="1" t="s">
        <v>9</v>
      </c>
    </row>
    <row r="1162" spans="1:12" ht="15.75" customHeight="1" x14ac:dyDescent="0.25">
      <c r="A1162" s="1" t="s">
        <v>2590</v>
      </c>
      <c r="B1162" s="21">
        <v>14</v>
      </c>
      <c r="C1162" s="1" t="s">
        <v>4241</v>
      </c>
      <c r="D1162" s="21">
        <v>44</v>
      </c>
      <c r="E1162" s="1" t="s">
        <v>4588</v>
      </c>
      <c r="F1162" s="21">
        <v>1</v>
      </c>
      <c r="G1162" s="1" t="s">
        <v>4589</v>
      </c>
      <c r="H1162" s="1" t="s">
        <v>4590</v>
      </c>
      <c r="I1162" s="1" t="s">
        <v>4591</v>
      </c>
      <c r="J1162" s="1" t="s">
        <v>4592</v>
      </c>
      <c r="L1162" s="1" t="s">
        <v>8</v>
      </c>
    </row>
    <row r="1163" spans="1:12" ht="15.75" customHeight="1" x14ac:dyDescent="0.25">
      <c r="A1163" s="1" t="s">
        <v>2590</v>
      </c>
      <c r="B1163" s="21">
        <v>14</v>
      </c>
      <c r="C1163" s="1" t="s">
        <v>4241</v>
      </c>
      <c r="D1163" s="21">
        <v>44</v>
      </c>
      <c r="E1163" s="1" t="s">
        <v>4588</v>
      </c>
      <c r="F1163" s="21">
        <v>2</v>
      </c>
      <c r="G1163" s="1" t="s">
        <v>4593</v>
      </c>
      <c r="H1163" s="1" t="s">
        <v>4594</v>
      </c>
      <c r="I1163" s="1" t="s">
        <v>4595</v>
      </c>
      <c r="J1163" s="1" t="s">
        <v>4596</v>
      </c>
      <c r="L1163" s="1" t="s">
        <v>8</v>
      </c>
    </row>
    <row r="1164" spans="1:12" ht="15.75" customHeight="1" x14ac:dyDescent="0.25">
      <c r="A1164" s="1" t="s">
        <v>2590</v>
      </c>
      <c r="B1164" s="21">
        <v>14</v>
      </c>
      <c r="C1164" s="1" t="s">
        <v>4241</v>
      </c>
      <c r="D1164" s="21">
        <v>44</v>
      </c>
      <c r="E1164" s="1" t="s">
        <v>4588</v>
      </c>
      <c r="F1164" s="21">
        <v>3</v>
      </c>
      <c r="G1164" s="1" t="s">
        <v>4597</v>
      </c>
      <c r="H1164" s="1" t="s">
        <v>4598</v>
      </c>
      <c r="I1164" s="1" t="s">
        <v>4599</v>
      </c>
      <c r="J1164" s="1" t="s">
        <v>4600</v>
      </c>
      <c r="L1164" s="1" t="s">
        <v>9</v>
      </c>
    </row>
    <row r="1165" spans="1:12" ht="15.75" customHeight="1" x14ac:dyDescent="0.25">
      <c r="A1165" s="1" t="s">
        <v>2590</v>
      </c>
      <c r="B1165" s="21">
        <v>14</v>
      </c>
      <c r="C1165" s="1" t="s">
        <v>4241</v>
      </c>
      <c r="D1165" s="21">
        <v>44</v>
      </c>
      <c r="E1165" s="1" t="s">
        <v>4588</v>
      </c>
      <c r="F1165" s="21">
        <v>4</v>
      </c>
      <c r="G1165" s="1" t="s">
        <v>4601</v>
      </c>
      <c r="H1165" s="1" t="s">
        <v>4602</v>
      </c>
      <c r="I1165" s="1" t="s">
        <v>4603</v>
      </c>
      <c r="J1165" s="1" t="s">
        <v>4604</v>
      </c>
      <c r="L1165" s="1" t="s">
        <v>8</v>
      </c>
    </row>
    <row r="1166" spans="1:12" ht="15.75" customHeight="1" x14ac:dyDescent="0.25">
      <c r="A1166" s="1" t="s">
        <v>2590</v>
      </c>
      <c r="B1166" s="21">
        <v>14</v>
      </c>
      <c r="C1166" s="1" t="s">
        <v>4241</v>
      </c>
      <c r="D1166" s="21">
        <v>44</v>
      </c>
      <c r="E1166" s="1" t="s">
        <v>4588</v>
      </c>
      <c r="F1166" s="21">
        <v>5</v>
      </c>
      <c r="G1166" s="1" t="s">
        <v>4605</v>
      </c>
      <c r="H1166" s="1" t="s">
        <v>4606</v>
      </c>
      <c r="I1166" s="1" t="s">
        <v>4607</v>
      </c>
      <c r="J1166" s="1" t="s">
        <v>4608</v>
      </c>
      <c r="L1166" s="1" t="s">
        <v>9</v>
      </c>
    </row>
    <row r="1167" spans="1:12" ht="15.75" customHeight="1" x14ac:dyDescent="0.25">
      <c r="A1167" s="1" t="s">
        <v>2590</v>
      </c>
      <c r="B1167" s="21">
        <v>14</v>
      </c>
      <c r="C1167" s="1" t="s">
        <v>4241</v>
      </c>
      <c r="D1167" s="21">
        <v>44</v>
      </c>
      <c r="E1167" s="1" t="s">
        <v>4588</v>
      </c>
      <c r="F1167" s="21">
        <v>6</v>
      </c>
      <c r="G1167" s="1" t="s">
        <v>4609</v>
      </c>
      <c r="H1167" s="1" t="s">
        <v>4610</v>
      </c>
      <c r="I1167" s="1" t="s">
        <v>4611</v>
      </c>
      <c r="J1167" s="1" t="s">
        <v>4612</v>
      </c>
      <c r="L1167" s="1" t="s">
        <v>8</v>
      </c>
    </row>
    <row r="1168" spans="1:12" ht="15.75" customHeight="1" x14ac:dyDescent="0.25">
      <c r="A1168" s="1" t="s">
        <v>2590</v>
      </c>
      <c r="B1168" s="21">
        <v>14</v>
      </c>
      <c r="C1168" s="1" t="s">
        <v>4241</v>
      </c>
      <c r="D1168" s="21">
        <v>44</v>
      </c>
      <c r="E1168" s="1" t="s">
        <v>4588</v>
      </c>
      <c r="F1168" s="21">
        <v>7</v>
      </c>
      <c r="G1168" s="1" t="s">
        <v>4613</v>
      </c>
      <c r="H1168" s="1" t="s">
        <v>4614</v>
      </c>
      <c r="I1168" s="1" t="s">
        <v>4615</v>
      </c>
      <c r="J1168" s="1" t="s">
        <v>4616</v>
      </c>
      <c r="L1168" s="1" t="s">
        <v>9</v>
      </c>
    </row>
    <row r="1169" spans="1:12" ht="15.75" customHeight="1" x14ac:dyDescent="0.25">
      <c r="A1169" s="1" t="s">
        <v>2590</v>
      </c>
      <c r="B1169" s="21">
        <v>14</v>
      </c>
      <c r="C1169" s="1" t="s">
        <v>4241</v>
      </c>
      <c r="D1169" s="21">
        <v>44</v>
      </c>
      <c r="E1169" s="1" t="s">
        <v>4588</v>
      </c>
      <c r="F1169" s="21">
        <v>8</v>
      </c>
      <c r="G1169" s="1" t="s">
        <v>4617</v>
      </c>
      <c r="H1169" s="1" t="s">
        <v>4618</v>
      </c>
      <c r="I1169" s="1" t="s">
        <v>4619</v>
      </c>
      <c r="J1169" s="1" t="s">
        <v>4620</v>
      </c>
      <c r="L1169" s="1" t="s">
        <v>9</v>
      </c>
    </row>
    <row r="1170" spans="1:12" ht="15.75" customHeight="1" x14ac:dyDescent="0.25">
      <c r="A1170" s="1" t="s">
        <v>2590</v>
      </c>
      <c r="B1170" s="21">
        <v>14</v>
      </c>
      <c r="C1170" s="1" t="s">
        <v>4241</v>
      </c>
      <c r="D1170" s="21">
        <v>44</v>
      </c>
      <c r="E1170" s="1" t="s">
        <v>4588</v>
      </c>
      <c r="F1170" s="21">
        <v>9</v>
      </c>
      <c r="G1170" s="1" t="s">
        <v>4621</v>
      </c>
      <c r="H1170" s="1" t="s">
        <v>4622</v>
      </c>
      <c r="I1170" s="1" t="s">
        <v>4623</v>
      </c>
      <c r="J1170" s="1" t="s">
        <v>3564</v>
      </c>
      <c r="L1170" s="1" t="s">
        <v>9</v>
      </c>
    </row>
    <row r="1171" spans="1:12" ht="15.75" customHeight="1" x14ac:dyDescent="0.25">
      <c r="A1171" s="1" t="s">
        <v>2590</v>
      </c>
      <c r="B1171" s="21">
        <v>14</v>
      </c>
      <c r="C1171" s="1" t="s">
        <v>4241</v>
      </c>
      <c r="D1171" s="21">
        <v>44</v>
      </c>
      <c r="E1171" s="1" t="s">
        <v>4588</v>
      </c>
      <c r="F1171" s="21">
        <v>10</v>
      </c>
      <c r="G1171" s="1" t="s">
        <v>4624</v>
      </c>
      <c r="H1171" s="1" t="s">
        <v>4625</v>
      </c>
      <c r="I1171" s="1" t="s">
        <v>3564</v>
      </c>
      <c r="J1171" s="1" t="s">
        <v>4626</v>
      </c>
      <c r="L1171" s="1" t="s">
        <v>7</v>
      </c>
    </row>
    <row r="1172" spans="1:12" ht="15.75" customHeight="1" x14ac:dyDescent="0.25">
      <c r="A1172" s="1" t="s">
        <v>2590</v>
      </c>
      <c r="B1172" s="21">
        <v>14</v>
      </c>
      <c r="C1172" s="1" t="s">
        <v>4241</v>
      </c>
      <c r="D1172" s="21">
        <v>44</v>
      </c>
      <c r="E1172" s="1" t="s">
        <v>4588</v>
      </c>
      <c r="F1172" s="21">
        <v>11</v>
      </c>
      <c r="G1172" s="1" t="s">
        <v>4627</v>
      </c>
      <c r="H1172" s="1" t="s">
        <v>4628</v>
      </c>
      <c r="I1172" s="1" t="s">
        <v>4629</v>
      </c>
      <c r="J1172" s="1" t="s">
        <v>4630</v>
      </c>
      <c r="L1172" s="1" t="s">
        <v>7</v>
      </c>
    </row>
    <row r="1173" spans="1:12" ht="15.75" customHeight="1" x14ac:dyDescent="0.25">
      <c r="A1173" s="1" t="s">
        <v>2590</v>
      </c>
      <c r="B1173" s="21">
        <v>14</v>
      </c>
      <c r="C1173" s="1" t="s">
        <v>4241</v>
      </c>
      <c r="D1173" s="21">
        <v>44</v>
      </c>
      <c r="E1173" s="1" t="s">
        <v>4588</v>
      </c>
      <c r="F1173" s="21">
        <v>12</v>
      </c>
      <c r="G1173" s="1" t="s">
        <v>4631</v>
      </c>
      <c r="H1173" s="1" t="s">
        <v>4632</v>
      </c>
      <c r="I1173" s="1" t="s">
        <v>4633</v>
      </c>
      <c r="J1173" s="1" t="s">
        <v>4634</v>
      </c>
      <c r="L1173" s="1" t="s">
        <v>7</v>
      </c>
    </row>
    <row r="1174" spans="1:12" ht="15.75" customHeight="1" x14ac:dyDescent="0.25">
      <c r="A1174" s="1" t="s">
        <v>2590</v>
      </c>
      <c r="B1174" s="21">
        <v>14</v>
      </c>
      <c r="C1174" s="1" t="s">
        <v>4241</v>
      </c>
      <c r="D1174" s="21">
        <v>44</v>
      </c>
      <c r="E1174" s="1" t="s">
        <v>4588</v>
      </c>
      <c r="F1174" s="21">
        <v>13</v>
      </c>
      <c r="G1174" s="1" t="s">
        <v>4635</v>
      </c>
      <c r="H1174" s="1" t="s">
        <v>4636</v>
      </c>
      <c r="I1174" s="1" t="s">
        <v>4637</v>
      </c>
      <c r="J1174" s="1" t="s">
        <v>4638</v>
      </c>
      <c r="L1174" s="1" t="s">
        <v>8</v>
      </c>
    </row>
    <row r="1175" spans="1:12" ht="15.75" customHeight="1" x14ac:dyDescent="0.25">
      <c r="A1175" s="1" t="s">
        <v>2590</v>
      </c>
      <c r="B1175" s="21">
        <v>14</v>
      </c>
      <c r="C1175" s="1" t="s">
        <v>4241</v>
      </c>
      <c r="D1175" s="21">
        <v>44</v>
      </c>
      <c r="E1175" s="1" t="s">
        <v>4588</v>
      </c>
      <c r="F1175" s="21">
        <v>14</v>
      </c>
      <c r="G1175" s="1" t="s">
        <v>4639</v>
      </c>
      <c r="H1175" s="1" t="s">
        <v>4640</v>
      </c>
      <c r="I1175" s="1" t="s">
        <v>4641</v>
      </c>
      <c r="J1175" s="1" t="s">
        <v>4642</v>
      </c>
      <c r="L1175" s="1" t="s">
        <v>7</v>
      </c>
    </row>
    <row r="1176" spans="1:12" ht="15.75" customHeight="1" x14ac:dyDescent="0.25">
      <c r="A1176" s="1" t="s">
        <v>2590</v>
      </c>
      <c r="B1176" s="21">
        <v>14</v>
      </c>
      <c r="C1176" s="1" t="s">
        <v>4241</v>
      </c>
      <c r="D1176" s="21">
        <v>44</v>
      </c>
      <c r="E1176" s="1" t="s">
        <v>4588</v>
      </c>
      <c r="F1176" s="21">
        <v>15</v>
      </c>
      <c r="G1176" s="1" t="s">
        <v>4643</v>
      </c>
      <c r="H1176" s="1" t="s">
        <v>4644</v>
      </c>
      <c r="I1176" s="1" t="s">
        <v>4645</v>
      </c>
      <c r="J1176" s="1" t="s">
        <v>4646</v>
      </c>
      <c r="L1176" s="1" t="s">
        <v>7</v>
      </c>
    </row>
    <row r="1177" spans="1:12" ht="15.75" customHeight="1" x14ac:dyDescent="0.25">
      <c r="A1177" s="1" t="s">
        <v>2590</v>
      </c>
      <c r="B1177" s="21">
        <v>14</v>
      </c>
      <c r="C1177" s="1" t="s">
        <v>4241</v>
      </c>
      <c r="D1177" s="21">
        <v>44</v>
      </c>
      <c r="E1177" s="1" t="s">
        <v>4588</v>
      </c>
      <c r="F1177" s="21">
        <v>16</v>
      </c>
      <c r="G1177" s="1" t="s">
        <v>4647</v>
      </c>
      <c r="H1177" s="1" t="s">
        <v>4648</v>
      </c>
      <c r="I1177" s="1" t="s">
        <v>4649</v>
      </c>
      <c r="J1177" s="1" t="s">
        <v>4650</v>
      </c>
      <c r="L1177" s="1" t="s">
        <v>8</v>
      </c>
    </row>
    <row r="1178" spans="1:12" ht="15.75" customHeight="1" x14ac:dyDescent="0.25">
      <c r="A1178" s="1" t="s">
        <v>2590</v>
      </c>
      <c r="B1178" s="21">
        <v>14</v>
      </c>
      <c r="C1178" s="1" t="s">
        <v>4241</v>
      </c>
      <c r="D1178" s="21">
        <v>44</v>
      </c>
      <c r="E1178" s="1" t="s">
        <v>4588</v>
      </c>
      <c r="F1178" s="21">
        <v>17</v>
      </c>
      <c r="G1178" s="1" t="s">
        <v>4651</v>
      </c>
      <c r="H1178" s="1" t="s">
        <v>4652</v>
      </c>
      <c r="I1178" s="1" t="s">
        <v>4653</v>
      </c>
      <c r="J1178" s="1" t="s">
        <v>4654</v>
      </c>
      <c r="L1178" s="1" t="s">
        <v>8</v>
      </c>
    </row>
    <row r="1179" spans="1:12" ht="15.75" customHeight="1" x14ac:dyDescent="0.25">
      <c r="A1179" s="1" t="s">
        <v>2590</v>
      </c>
      <c r="B1179" s="21">
        <v>14</v>
      </c>
      <c r="C1179" s="1" t="s">
        <v>4241</v>
      </c>
      <c r="D1179" s="21">
        <v>44</v>
      </c>
      <c r="E1179" s="1" t="s">
        <v>4588</v>
      </c>
      <c r="F1179" s="21">
        <v>18</v>
      </c>
      <c r="G1179" s="1" t="s">
        <v>4655</v>
      </c>
      <c r="H1179" s="1" t="s">
        <v>4656</v>
      </c>
      <c r="I1179" s="1" t="s">
        <v>4657</v>
      </c>
      <c r="J1179" s="1" t="s">
        <v>3534</v>
      </c>
      <c r="L1179" s="1" t="s">
        <v>7</v>
      </c>
    </row>
    <row r="1180" spans="1:12" ht="15.75" customHeight="1" x14ac:dyDescent="0.25">
      <c r="A1180" s="1" t="s">
        <v>2590</v>
      </c>
      <c r="B1180" s="21">
        <v>14</v>
      </c>
      <c r="C1180" s="1" t="s">
        <v>4241</v>
      </c>
      <c r="D1180" s="21">
        <v>44</v>
      </c>
      <c r="E1180" s="1" t="s">
        <v>4588</v>
      </c>
      <c r="F1180" s="21">
        <v>19</v>
      </c>
      <c r="G1180" s="1" t="s">
        <v>4658</v>
      </c>
      <c r="H1180" s="1" t="s">
        <v>4659</v>
      </c>
      <c r="I1180" s="1" t="s">
        <v>4660</v>
      </c>
      <c r="J1180" s="1" t="s">
        <v>4661</v>
      </c>
      <c r="L1180" s="1" t="s">
        <v>9</v>
      </c>
    </row>
    <row r="1181" spans="1:12" ht="15.75" customHeight="1" x14ac:dyDescent="0.25">
      <c r="A1181" s="1" t="s">
        <v>2590</v>
      </c>
      <c r="B1181" s="21">
        <v>14</v>
      </c>
      <c r="C1181" s="1" t="s">
        <v>4241</v>
      </c>
      <c r="D1181" s="21">
        <v>44</v>
      </c>
      <c r="E1181" s="1" t="s">
        <v>4588</v>
      </c>
      <c r="F1181" s="21">
        <v>20</v>
      </c>
      <c r="G1181" s="1" t="s">
        <v>4662</v>
      </c>
      <c r="H1181" s="1" t="s">
        <v>4663</v>
      </c>
      <c r="I1181" s="1" t="s">
        <v>4664</v>
      </c>
      <c r="J1181" s="1" t="s">
        <v>4665</v>
      </c>
      <c r="L1181" s="1" t="s">
        <v>8</v>
      </c>
    </row>
    <row r="1182" spans="1:12" ht="15.75" customHeight="1" x14ac:dyDescent="0.25">
      <c r="A1182" s="1" t="s">
        <v>2590</v>
      </c>
      <c r="B1182" s="21">
        <v>14</v>
      </c>
      <c r="C1182" s="1" t="s">
        <v>4241</v>
      </c>
      <c r="D1182" s="21">
        <v>44</v>
      </c>
      <c r="E1182" s="1" t="s">
        <v>4588</v>
      </c>
      <c r="F1182" s="21">
        <v>21</v>
      </c>
      <c r="G1182" s="1" t="s">
        <v>4666</v>
      </c>
      <c r="H1182" s="1" t="s">
        <v>4667</v>
      </c>
      <c r="I1182" s="1" t="s">
        <v>4668</v>
      </c>
      <c r="J1182" s="1" t="s">
        <v>4669</v>
      </c>
      <c r="L1182" s="1" t="s">
        <v>9</v>
      </c>
    </row>
    <row r="1183" spans="1:12" ht="15.75" customHeight="1" x14ac:dyDescent="0.25">
      <c r="A1183" s="1" t="s">
        <v>2590</v>
      </c>
      <c r="B1183" s="21">
        <v>14</v>
      </c>
      <c r="C1183" s="1" t="s">
        <v>4241</v>
      </c>
      <c r="D1183" s="21">
        <v>44</v>
      </c>
      <c r="E1183" s="1" t="s">
        <v>4588</v>
      </c>
      <c r="F1183" s="21">
        <v>22</v>
      </c>
      <c r="G1183" s="1" t="s">
        <v>4670</v>
      </c>
      <c r="H1183" s="1" t="s">
        <v>4671</v>
      </c>
      <c r="I1183" s="1" t="s">
        <v>4672</v>
      </c>
      <c r="J1183" s="1" t="s">
        <v>4673</v>
      </c>
      <c r="L1183" s="1" t="s">
        <v>9</v>
      </c>
    </row>
    <row r="1184" spans="1:12" ht="15.75" customHeight="1" x14ac:dyDescent="0.25">
      <c r="A1184" s="1" t="s">
        <v>2590</v>
      </c>
      <c r="B1184" s="21">
        <v>14</v>
      </c>
      <c r="C1184" s="1" t="s">
        <v>4241</v>
      </c>
      <c r="D1184" s="21">
        <v>44</v>
      </c>
      <c r="E1184" s="1" t="s">
        <v>4588</v>
      </c>
      <c r="F1184" s="21">
        <v>23</v>
      </c>
      <c r="G1184" s="1" t="s">
        <v>4674</v>
      </c>
      <c r="H1184" s="1" t="s">
        <v>4675</v>
      </c>
      <c r="I1184" s="1" t="s">
        <v>4676</v>
      </c>
      <c r="J1184" s="1" t="s">
        <v>4677</v>
      </c>
      <c r="L1184" s="1" t="s">
        <v>9</v>
      </c>
    </row>
    <row r="1185" spans="1:12" ht="15.75" customHeight="1" x14ac:dyDescent="0.25">
      <c r="A1185" s="1" t="s">
        <v>2590</v>
      </c>
      <c r="B1185" s="21">
        <v>14</v>
      </c>
      <c r="C1185" s="1" t="s">
        <v>4241</v>
      </c>
      <c r="D1185" s="21">
        <v>44</v>
      </c>
      <c r="E1185" s="1" t="s">
        <v>4588</v>
      </c>
      <c r="F1185" s="21">
        <v>24</v>
      </c>
      <c r="G1185" s="1" t="s">
        <v>4678</v>
      </c>
      <c r="H1185" s="1" t="s">
        <v>4679</v>
      </c>
      <c r="I1185" s="1" t="s">
        <v>4680</v>
      </c>
      <c r="J1185" s="1" t="s">
        <v>4681</v>
      </c>
      <c r="L1185" s="1" t="s">
        <v>8</v>
      </c>
    </row>
    <row r="1186" spans="1:12" ht="15.75" customHeight="1" x14ac:dyDescent="0.25">
      <c r="A1186" s="1" t="s">
        <v>2590</v>
      </c>
      <c r="B1186" s="21">
        <v>14</v>
      </c>
      <c r="C1186" s="1" t="s">
        <v>4241</v>
      </c>
      <c r="D1186" s="21">
        <v>44</v>
      </c>
      <c r="E1186" s="1" t="s">
        <v>4588</v>
      </c>
      <c r="F1186" s="21">
        <v>25</v>
      </c>
      <c r="G1186" s="1" t="s">
        <v>4682</v>
      </c>
      <c r="H1186" s="1" t="s">
        <v>4683</v>
      </c>
      <c r="I1186" s="1" t="s">
        <v>4684</v>
      </c>
      <c r="J1186" s="1" t="s">
        <v>4685</v>
      </c>
      <c r="L1186" s="1" t="s">
        <v>9</v>
      </c>
    </row>
    <row r="1187" spans="1:12" ht="15.75" customHeight="1" x14ac:dyDescent="0.25">
      <c r="A1187" s="1" t="s">
        <v>2590</v>
      </c>
      <c r="B1187" s="21">
        <v>19</v>
      </c>
      <c r="C1187" s="1" t="s">
        <v>4686</v>
      </c>
      <c r="D1187" s="21">
        <v>45</v>
      </c>
      <c r="E1187" s="1" t="s">
        <v>4687</v>
      </c>
      <c r="F1187" s="21">
        <v>1</v>
      </c>
      <c r="G1187" s="1" t="s">
        <v>4688</v>
      </c>
      <c r="H1187" s="1" t="s">
        <v>4689</v>
      </c>
      <c r="I1187" s="1" t="s">
        <v>4690</v>
      </c>
      <c r="J1187" s="1" t="s">
        <v>4691</v>
      </c>
      <c r="L1187" s="2" t="s">
        <v>8</v>
      </c>
    </row>
    <row r="1188" spans="1:12" ht="15.75" customHeight="1" x14ac:dyDescent="0.25">
      <c r="A1188" s="1" t="s">
        <v>2590</v>
      </c>
      <c r="B1188" s="21">
        <v>19</v>
      </c>
      <c r="C1188" s="1" t="s">
        <v>4686</v>
      </c>
      <c r="D1188" s="21">
        <v>45</v>
      </c>
      <c r="E1188" s="1" t="s">
        <v>4687</v>
      </c>
      <c r="F1188" s="21">
        <v>2</v>
      </c>
      <c r="G1188" s="1" t="s">
        <v>4692</v>
      </c>
      <c r="H1188" s="1" t="s">
        <v>4693</v>
      </c>
      <c r="I1188" s="1" t="s">
        <v>4694</v>
      </c>
      <c r="J1188" s="1" t="s">
        <v>4695</v>
      </c>
      <c r="L1188" s="2" t="s">
        <v>8</v>
      </c>
    </row>
    <row r="1189" spans="1:12" ht="15.75" customHeight="1" x14ac:dyDescent="0.25">
      <c r="A1189" s="1" t="s">
        <v>2590</v>
      </c>
      <c r="B1189" s="21">
        <v>19</v>
      </c>
      <c r="C1189" s="1" t="s">
        <v>4686</v>
      </c>
      <c r="D1189" s="21">
        <v>45</v>
      </c>
      <c r="E1189" s="1" t="s">
        <v>4687</v>
      </c>
      <c r="F1189" s="21">
        <v>3</v>
      </c>
      <c r="G1189" s="1" t="s">
        <v>4696</v>
      </c>
      <c r="H1189" s="1" t="s">
        <v>4697</v>
      </c>
      <c r="I1189" s="1" t="s">
        <v>4698</v>
      </c>
      <c r="J1189" s="1" t="s">
        <v>762</v>
      </c>
      <c r="L1189" s="2" t="s">
        <v>9</v>
      </c>
    </row>
    <row r="1190" spans="1:12" ht="15.75" customHeight="1" x14ac:dyDescent="0.25">
      <c r="A1190" s="1" t="s">
        <v>2590</v>
      </c>
      <c r="B1190" s="21">
        <v>19</v>
      </c>
      <c r="C1190" s="1" t="s">
        <v>4686</v>
      </c>
      <c r="D1190" s="21">
        <v>45</v>
      </c>
      <c r="E1190" s="1" t="s">
        <v>4687</v>
      </c>
      <c r="F1190" s="21">
        <v>4</v>
      </c>
      <c r="G1190" s="1" t="s">
        <v>4699</v>
      </c>
      <c r="H1190" s="1" t="s">
        <v>4700</v>
      </c>
      <c r="I1190" s="1" t="s">
        <v>4701</v>
      </c>
      <c r="J1190" s="1" t="s">
        <v>4702</v>
      </c>
      <c r="L1190" s="2" t="s">
        <v>7</v>
      </c>
    </row>
    <row r="1191" spans="1:12" ht="15.75" customHeight="1" x14ac:dyDescent="0.25">
      <c r="A1191" s="1" t="s">
        <v>2590</v>
      </c>
      <c r="B1191" s="21">
        <v>19</v>
      </c>
      <c r="C1191" s="1" t="s">
        <v>4686</v>
      </c>
      <c r="D1191" s="21">
        <v>45</v>
      </c>
      <c r="E1191" s="1" t="s">
        <v>4687</v>
      </c>
      <c r="F1191" s="21">
        <v>5</v>
      </c>
      <c r="G1191" s="1" t="s">
        <v>4703</v>
      </c>
      <c r="H1191" s="1" t="s">
        <v>4704</v>
      </c>
      <c r="I1191" s="1" t="s">
        <v>762</v>
      </c>
      <c r="J1191" s="1" t="s">
        <v>4705</v>
      </c>
      <c r="L1191" s="2" t="s">
        <v>9</v>
      </c>
    </row>
    <row r="1192" spans="1:12" ht="15.75" customHeight="1" x14ac:dyDescent="0.25">
      <c r="A1192" s="1" t="s">
        <v>2590</v>
      </c>
      <c r="B1192" s="21">
        <v>19</v>
      </c>
      <c r="C1192" s="1" t="s">
        <v>4686</v>
      </c>
      <c r="D1192" s="21">
        <v>45</v>
      </c>
      <c r="E1192" s="1" t="s">
        <v>4687</v>
      </c>
      <c r="F1192" s="21">
        <v>6</v>
      </c>
      <c r="G1192" s="1" t="s">
        <v>4706</v>
      </c>
      <c r="H1192" s="1" t="s">
        <v>4707</v>
      </c>
      <c r="I1192" s="1" t="s">
        <v>4708</v>
      </c>
      <c r="J1192" s="1" t="s">
        <v>4691</v>
      </c>
      <c r="L1192" s="2" t="s">
        <v>8</v>
      </c>
    </row>
    <row r="1193" spans="1:12" ht="15.75" customHeight="1" x14ac:dyDescent="0.25">
      <c r="A1193" s="1" t="s">
        <v>2590</v>
      </c>
      <c r="B1193" s="21">
        <v>19</v>
      </c>
      <c r="C1193" s="1" t="s">
        <v>4686</v>
      </c>
      <c r="D1193" s="21">
        <v>45</v>
      </c>
      <c r="E1193" s="1" t="s">
        <v>4687</v>
      </c>
      <c r="F1193" s="21">
        <v>7</v>
      </c>
      <c r="G1193" s="1" t="s">
        <v>4709</v>
      </c>
      <c r="H1193" s="1" t="s">
        <v>4710</v>
      </c>
      <c r="I1193" s="1" t="s">
        <v>4711</v>
      </c>
      <c r="J1193" s="1" t="s">
        <v>4712</v>
      </c>
      <c r="L1193" s="2" t="s">
        <v>9</v>
      </c>
    </row>
    <row r="1194" spans="1:12" ht="15.75" customHeight="1" x14ac:dyDescent="0.25">
      <c r="A1194" s="1" t="s">
        <v>2590</v>
      </c>
      <c r="B1194" s="21">
        <v>19</v>
      </c>
      <c r="C1194" s="1" t="s">
        <v>4686</v>
      </c>
      <c r="D1194" s="21">
        <v>45</v>
      </c>
      <c r="E1194" s="1" t="s">
        <v>4687</v>
      </c>
      <c r="F1194" s="21">
        <v>8</v>
      </c>
      <c r="G1194" s="1" t="s">
        <v>4713</v>
      </c>
      <c r="H1194" s="1" t="s">
        <v>4705</v>
      </c>
      <c r="I1194" s="1" t="s">
        <v>4697</v>
      </c>
      <c r="J1194" s="1" t="s">
        <v>4704</v>
      </c>
      <c r="L1194" s="2" t="s">
        <v>8</v>
      </c>
    </row>
    <row r="1195" spans="1:12" ht="15.75" customHeight="1" x14ac:dyDescent="0.25">
      <c r="A1195" s="1" t="s">
        <v>2590</v>
      </c>
      <c r="B1195" s="21">
        <v>19</v>
      </c>
      <c r="C1195" s="1" t="s">
        <v>4686</v>
      </c>
      <c r="D1195" s="21">
        <v>45</v>
      </c>
      <c r="E1195" s="1" t="s">
        <v>4687</v>
      </c>
      <c r="F1195" s="21">
        <v>9</v>
      </c>
      <c r="G1195" s="1" t="s">
        <v>4714</v>
      </c>
      <c r="H1195" s="1" t="s">
        <v>4715</v>
      </c>
      <c r="I1195" s="1" t="s">
        <v>4716</v>
      </c>
      <c r="J1195" s="1" t="s">
        <v>4717</v>
      </c>
      <c r="L1195" s="2" t="s">
        <v>9</v>
      </c>
    </row>
    <row r="1196" spans="1:12" ht="15.75" customHeight="1" x14ac:dyDescent="0.25">
      <c r="A1196" s="1" t="s">
        <v>2590</v>
      </c>
      <c r="B1196" s="21">
        <v>19</v>
      </c>
      <c r="C1196" s="1" t="s">
        <v>4686</v>
      </c>
      <c r="D1196" s="21">
        <v>45</v>
      </c>
      <c r="E1196" s="1" t="s">
        <v>4687</v>
      </c>
      <c r="F1196" s="21">
        <v>10</v>
      </c>
      <c r="G1196" s="1" t="s">
        <v>4718</v>
      </c>
      <c r="H1196" s="1" t="s">
        <v>4719</v>
      </c>
      <c r="I1196" s="1" t="s">
        <v>4720</v>
      </c>
      <c r="J1196" s="1" t="s">
        <v>4721</v>
      </c>
      <c r="L1196" s="2" t="s">
        <v>9</v>
      </c>
    </row>
    <row r="1197" spans="1:12" ht="15.75" customHeight="1" x14ac:dyDescent="0.25">
      <c r="A1197" s="1" t="s">
        <v>2590</v>
      </c>
      <c r="B1197" s="21">
        <v>19</v>
      </c>
      <c r="C1197" s="1" t="s">
        <v>4686</v>
      </c>
      <c r="D1197" s="21">
        <v>45</v>
      </c>
      <c r="E1197" s="1" t="s">
        <v>4687</v>
      </c>
      <c r="F1197" s="21">
        <v>11</v>
      </c>
      <c r="G1197" s="1" t="s">
        <v>4722</v>
      </c>
      <c r="H1197" s="1" t="s">
        <v>4723</v>
      </c>
      <c r="I1197" s="1" t="s">
        <v>4724</v>
      </c>
      <c r="J1197" s="1" t="s">
        <v>4725</v>
      </c>
      <c r="L1197" s="2" t="s">
        <v>9</v>
      </c>
    </row>
    <row r="1198" spans="1:12" ht="15.75" customHeight="1" x14ac:dyDescent="0.25">
      <c r="A1198" s="1" t="s">
        <v>2590</v>
      </c>
      <c r="B1198" s="21">
        <v>19</v>
      </c>
      <c r="C1198" s="1" t="s">
        <v>4686</v>
      </c>
      <c r="D1198" s="21">
        <v>45</v>
      </c>
      <c r="E1198" s="1" t="s">
        <v>4687</v>
      </c>
      <c r="F1198" s="21">
        <v>12</v>
      </c>
      <c r="G1198" s="1" t="s">
        <v>4726</v>
      </c>
      <c r="H1198" s="1" t="s">
        <v>4727</v>
      </c>
      <c r="I1198" s="1" t="s">
        <v>4728</v>
      </c>
      <c r="J1198" s="1" t="s">
        <v>4729</v>
      </c>
      <c r="L1198" s="2" t="s">
        <v>8</v>
      </c>
    </row>
    <row r="1199" spans="1:12" ht="15.75" customHeight="1" x14ac:dyDescent="0.25">
      <c r="A1199" s="1" t="s">
        <v>2590</v>
      </c>
      <c r="B1199" s="21">
        <v>19</v>
      </c>
      <c r="C1199" s="1" t="s">
        <v>4686</v>
      </c>
      <c r="D1199" s="21">
        <v>45</v>
      </c>
      <c r="E1199" s="1" t="s">
        <v>4687</v>
      </c>
      <c r="F1199" s="21">
        <v>13</v>
      </c>
      <c r="G1199" s="1" t="s">
        <v>4730</v>
      </c>
      <c r="H1199" s="1" t="s">
        <v>4731</v>
      </c>
      <c r="I1199" s="1" t="s">
        <v>4732</v>
      </c>
      <c r="J1199" s="1" t="s">
        <v>4733</v>
      </c>
      <c r="L1199" s="2" t="s">
        <v>9</v>
      </c>
    </row>
    <row r="1200" spans="1:12" ht="15.75" customHeight="1" x14ac:dyDescent="0.25">
      <c r="A1200" s="1" t="s">
        <v>2590</v>
      </c>
      <c r="B1200" s="21">
        <v>19</v>
      </c>
      <c r="C1200" s="1" t="s">
        <v>4686</v>
      </c>
      <c r="D1200" s="21">
        <v>45</v>
      </c>
      <c r="E1200" s="1" t="s">
        <v>4687</v>
      </c>
      <c r="F1200" s="21">
        <v>14</v>
      </c>
      <c r="G1200" s="1" t="s">
        <v>4734</v>
      </c>
      <c r="H1200" s="1" t="s">
        <v>4735</v>
      </c>
      <c r="I1200" s="1" t="s">
        <v>4736</v>
      </c>
      <c r="J1200" s="1" t="s">
        <v>4737</v>
      </c>
      <c r="L1200" s="2" t="s">
        <v>9</v>
      </c>
    </row>
    <row r="1201" spans="1:12" ht="15.75" customHeight="1" x14ac:dyDescent="0.25">
      <c r="A1201" s="1" t="s">
        <v>2590</v>
      </c>
      <c r="B1201" s="21">
        <v>19</v>
      </c>
      <c r="C1201" s="1" t="s">
        <v>4686</v>
      </c>
      <c r="D1201" s="21">
        <v>45</v>
      </c>
      <c r="E1201" s="1" t="s">
        <v>4687</v>
      </c>
      <c r="F1201" s="21">
        <v>15</v>
      </c>
      <c r="G1201" s="1" t="s">
        <v>4738</v>
      </c>
      <c r="H1201" s="1" t="s">
        <v>4739</v>
      </c>
      <c r="I1201" s="1" t="s">
        <v>4740</v>
      </c>
      <c r="J1201" s="1" t="s">
        <v>4741</v>
      </c>
      <c r="L1201" s="2" t="s">
        <v>9</v>
      </c>
    </row>
    <row r="1202" spans="1:12" ht="15.75" customHeight="1" x14ac:dyDescent="0.25">
      <c r="A1202" s="1" t="s">
        <v>2590</v>
      </c>
      <c r="B1202" s="21">
        <v>19</v>
      </c>
      <c r="C1202" s="1" t="s">
        <v>4686</v>
      </c>
      <c r="D1202" s="21">
        <v>45</v>
      </c>
      <c r="E1202" s="1" t="s">
        <v>4687</v>
      </c>
      <c r="F1202" s="21">
        <v>16</v>
      </c>
      <c r="G1202" s="1" t="s">
        <v>4742</v>
      </c>
      <c r="H1202" s="1" t="s">
        <v>4743</v>
      </c>
      <c r="I1202" s="1" t="s">
        <v>4744</v>
      </c>
      <c r="J1202" s="1" t="s">
        <v>4745</v>
      </c>
      <c r="L1202" s="2" t="s">
        <v>9</v>
      </c>
    </row>
    <row r="1203" spans="1:12" ht="15.75" customHeight="1" x14ac:dyDescent="0.25">
      <c r="A1203" s="1" t="s">
        <v>2590</v>
      </c>
      <c r="B1203" s="21">
        <v>19</v>
      </c>
      <c r="C1203" s="1" t="s">
        <v>4686</v>
      </c>
      <c r="D1203" s="21">
        <v>45</v>
      </c>
      <c r="E1203" s="1" t="s">
        <v>4687</v>
      </c>
      <c r="F1203" s="21">
        <v>17</v>
      </c>
      <c r="G1203" s="1" t="s">
        <v>4746</v>
      </c>
      <c r="H1203" s="1" t="s">
        <v>4747</v>
      </c>
      <c r="I1203" s="1" t="s">
        <v>4748</v>
      </c>
      <c r="J1203" s="1" t="s">
        <v>4749</v>
      </c>
      <c r="L1203" s="2" t="s">
        <v>8</v>
      </c>
    </row>
    <row r="1204" spans="1:12" ht="15.75" customHeight="1" x14ac:dyDescent="0.25">
      <c r="A1204" s="1" t="s">
        <v>2590</v>
      </c>
      <c r="B1204" s="21">
        <v>19</v>
      </c>
      <c r="C1204" s="1" t="s">
        <v>4686</v>
      </c>
      <c r="D1204" s="21">
        <v>45</v>
      </c>
      <c r="E1204" s="1" t="s">
        <v>4687</v>
      </c>
      <c r="F1204" s="21">
        <v>18</v>
      </c>
      <c r="G1204" s="1" t="s">
        <v>4750</v>
      </c>
      <c r="H1204" s="1" t="s">
        <v>4751</v>
      </c>
      <c r="I1204" s="1" t="s">
        <v>4752</v>
      </c>
      <c r="J1204" s="1" t="s">
        <v>4753</v>
      </c>
      <c r="K1204" s="1" t="s">
        <v>4754</v>
      </c>
      <c r="L1204" s="2" t="s">
        <v>9</v>
      </c>
    </row>
    <row r="1205" spans="1:12" ht="15.75" customHeight="1" x14ac:dyDescent="0.25">
      <c r="A1205" s="1" t="s">
        <v>2590</v>
      </c>
      <c r="B1205" s="21">
        <v>19</v>
      </c>
      <c r="C1205" s="1" t="s">
        <v>4686</v>
      </c>
      <c r="D1205" s="21">
        <v>45</v>
      </c>
      <c r="E1205" s="1" t="s">
        <v>4687</v>
      </c>
      <c r="F1205" s="21">
        <v>19</v>
      </c>
      <c r="G1205" s="1" t="s">
        <v>4755</v>
      </c>
      <c r="H1205" s="1" t="s">
        <v>4756</v>
      </c>
      <c r="I1205" s="1" t="s">
        <v>4757</v>
      </c>
      <c r="J1205" s="1" t="s">
        <v>4758</v>
      </c>
      <c r="L1205" s="2" t="s">
        <v>9</v>
      </c>
    </row>
    <row r="1206" spans="1:12" ht="15.75" customHeight="1" x14ac:dyDescent="0.25">
      <c r="A1206" s="1" t="s">
        <v>2590</v>
      </c>
      <c r="B1206" s="21">
        <v>19</v>
      </c>
      <c r="C1206" s="1" t="s">
        <v>4686</v>
      </c>
      <c r="D1206" s="21">
        <v>45</v>
      </c>
      <c r="E1206" s="1" t="s">
        <v>4687</v>
      </c>
      <c r="F1206" s="21">
        <v>20</v>
      </c>
      <c r="G1206" s="1" t="s">
        <v>4759</v>
      </c>
      <c r="H1206" s="1" t="s">
        <v>4760</v>
      </c>
      <c r="I1206" s="1" t="s">
        <v>4761</v>
      </c>
      <c r="J1206" s="1" t="s">
        <v>4762</v>
      </c>
      <c r="L1206" s="2" t="s">
        <v>9</v>
      </c>
    </row>
    <row r="1207" spans="1:12" ht="15.75" customHeight="1" x14ac:dyDescent="0.25">
      <c r="A1207" s="1" t="s">
        <v>2590</v>
      </c>
      <c r="B1207" s="21">
        <v>19</v>
      </c>
      <c r="C1207" s="1" t="s">
        <v>4686</v>
      </c>
      <c r="D1207" s="21">
        <v>45</v>
      </c>
      <c r="E1207" s="1" t="s">
        <v>4687</v>
      </c>
      <c r="F1207" s="21">
        <v>21</v>
      </c>
      <c r="G1207" s="1" t="s">
        <v>4763</v>
      </c>
      <c r="H1207" s="1" t="s">
        <v>4764</v>
      </c>
      <c r="I1207" s="1" t="s">
        <v>4765</v>
      </c>
      <c r="J1207" s="1" t="s">
        <v>4766</v>
      </c>
      <c r="L1207" s="2" t="s">
        <v>9</v>
      </c>
    </row>
    <row r="1208" spans="1:12" ht="15.75" customHeight="1" x14ac:dyDescent="0.25">
      <c r="A1208" s="1" t="s">
        <v>2590</v>
      </c>
      <c r="B1208" s="21">
        <v>19</v>
      </c>
      <c r="C1208" s="1" t="s">
        <v>4686</v>
      </c>
      <c r="D1208" s="21">
        <v>45</v>
      </c>
      <c r="E1208" s="1" t="s">
        <v>4687</v>
      </c>
      <c r="F1208" s="21">
        <v>22</v>
      </c>
      <c r="G1208" s="1" t="s">
        <v>4767</v>
      </c>
      <c r="H1208" s="1" t="s">
        <v>4768</v>
      </c>
      <c r="I1208" s="1" t="s">
        <v>4769</v>
      </c>
      <c r="J1208" s="1" t="s">
        <v>4770</v>
      </c>
      <c r="K1208" s="1" t="s">
        <v>4771</v>
      </c>
      <c r="L1208" s="2" t="s">
        <v>9</v>
      </c>
    </row>
    <row r="1209" spans="1:12" ht="15.75" customHeight="1" x14ac:dyDescent="0.25">
      <c r="A1209" s="1" t="s">
        <v>2590</v>
      </c>
      <c r="B1209" s="21">
        <v>19</v>
      </c>
      <c r="C1209" s="1" t="s">
        <v>4686</v>
      </c>
      <c r="D1209" s="21">
        <v>45</v>
      </c>
      <c r="E1209" s="1" t="s">
        <v>4687</v>
      </c>
      <c r="F1209" s="21">
        <v>23</v>
      </c>
      <c r="G1209" s="1" t="s">
        <v>4772</v>
      </c>
      <c r="H1209" s="1" t="s">
        <v>4773</v>
      </c>
      <c r="I1209" s="1" t="s">
        <v>4774</v>
      </c>
      <c r="J1209" s="1" t="s">
        <v>4775</v>
      </c>
      <c r="L1209" s="2" t="s">
        <v>9</v>
      </c>
    </row>
    <row r="1210" spans="1:12" ht="15.75" customHeight="1" x14ac:dyDescent="0.25">
      <c r="A1210" s="1" t="s">
        <v>2590</v>
      </c>
      <c r="B1210" s="21">
        <v>19</v>
      </c>
      <c r="C1210" s="1" t="s">
        <v>4686</v>
      </c>
      <c r="D1210" s="21">
        <v>45</v>
      </c>
      <c r="E1210" s="1" t="s">
        <v>4687</v>
      </c>
      <c r="F1210" s="21">
        <v>24</v>
      </c>
      <c r="G1210" s="1" t="s">
        <v>4776</v>
      </c>
      <c r="H1210" s="1" t="s">
        <v>4777</v>
      </c>
      <c r="I1210" s="1" t="s">
        <v>4778</v>
      </c>
      <c r="J1210" s="1" t="s">
        <v>4779</v>
      </c>
      <c r="L1210" s="2" t="s">
        <v>9</v>
      </c>
    </row>
    <row r="1211" spans="1:12" ht="15.75" customHeight="1" x14ac:dyDescent="0.25">
      <c r="A1211" s="1" t="s">
        <v>2590</v>
      </c>
      <c r="B1211" s="21">
        <v>19</v>
      </c>
      <c r="C1211" s="1" t="s">
        <v>4686</v>
      </c>
      <c r="D1211" s="21">
        <v>45</v>
      </c>
      <c r="E1211" s="1" t="s">
        <v>4687</v>
      </c>
      <c r="F1211" s="21">
        <v>25</v>
      </c>
      <c r="G1211" s="1" t="s">
        <v>4780</v>
      </c>
      <c r="H1211" s="1" t="s">
        <v>4781</v>
      </c>
      <c r="I1211" s="1" t="s">
        <v>4782</v>
      </c>
      <c r="J1211" s="1" t="s">
        <v>4783</v>
      </c>
      <c r="L1211" s="2" t="s">
        <v>9</v>
      </c>
    </row>
    <row r="1212" spans="1:12" ht="15.75" customHeight="1" x14ac:dyDescent="0.25">
      <c r="A1212" s="1" t="s">
        <v>2590</v>
      </c>
      <c r="B1212" s="21">
        <v>20</v>
      </c>
      <c r="C1212" s="1" t="s">
        <v>4784</v>
      </c>
      <c r="D1212" s="21">
        <v>45</v>
      </c>
      <c r="E1212" s="1" t="s">
        <v>4785</v>
      </c>
      <c r="F1212" s="21">
        <v>1</v>
      </c>
      <c r="G1212" s="2" t="s">
        <v>4786</v>
      </c>
      <c r="H1212" s="2" t="s">
        <v>4787</v>
      </c>
      <c r="I1212" s="2" t="s">
        <v>4788</v>
      </c>
      <c r="J1212" s="2" t="s">
        <v>4789</v>
      </c>
      <c r="K1212" s="2" t="s">
        <v>4790</v>
      </c>
      <c r="L1212" s="2" t="s">
        <v>8</v>
      </c>
    </row>
    <row r="1213" spans="1:12" ht="15.75" customHeight="1" x14ac:dyDescent="0.25">
      <c r="A1213" s="1" t="s">
        <v>2590</v>
      </c>
      <c r="B1213" s="21">
        <v>20</v>
      </c>
      <c r="C1213" s="1" t="s">
        <v>4784</v>
      </c>
      <c r="D1213" s="21">
        <v>45</v>
      </c>
      <c r="E1213" s="1" t="s">
        <v>4785</v>
      </c>
      <c r="F1213" s="21">
        <v>2</v>
      </c>
      <c r="G1213" s="2" t="s">
        <v>4791</v>
      </c>
      <c r="H1213" s="2" t="s">
        <v>4792</v>
      </c>
      <c r="I1213" s="2" t="s">
        <v>4793</v>
      </c>
      <c r="J1213" s="2" t="s">
        <v>4794</v>
      </c>
      <c r="K1213" s="2" t="s">
        <v>4795</v>
      </c>
      <c r="L1213" s="2" t="s">
        <v>7</v>
      </c>
    </row>
    <row r="1214" spans="1:12" ht="15.75" customHeight="1" x14ac:dyDescent="0.25">
      <c r="A1214" s="1" t="s">
        <v>2590</v>
      </c>
      <c r="B1214" s="21">
        <v>20</v>
      </c>
      <c r="C1214" s="1" t="s">
        <v>4784</v>
      </c>
      <c r="D1214" s="21">
        <v>45</v>
      </c>
      <c r="E1214" s="1" t="s">
        <v>4785</v>
      </c>
      <c r="F1214" s="21">
        <v>3</v>
      </c>
      <c r="G1214" s="2" t="s">
        <v>4796</v>
      </c>
      <c r="H1214" s="2" t="s">
        <v>4797</v>
      </c>
      <c r="I1214" s="2" t="s">
        <v>4798</v>
      </c>
      <c r="J1214" s="2" t="s">
        <v>4799</v>
      </c>
      <c r="K1214" s="2" t="s">
        <v>4800</v>
      </c>
      <c r="L1214" s="2" t="s">
        <v>10</v>
      </c>
    </row>
    <row r="1215" spans="1:12" ht="15.75" customHeight="1" x14ac:dyDescent="0.25">
      <c r="A1215" s="1" t="s">
        <v>2590</v>
      </c>
      <c r="B1215" s="21">
        <v>20</v>
      </c>
      <c r="C1215" s="1" t="s">
        <v>4784</v>
      </c>
      <c r="D1215" s="21">
        <v>45</v>
      </c>
      <c r="E1215" s="1" t="s">
        <v>4785</v>
      </c>
      <c r="F1215" s="21">
        <v>4</v>
      </c>
      <c r="G1215" s="2" t="s">
        <v>4801</v>
      </c>
      <c r="H1215" s="2" t="s">
        <v>4802</v>
      </c>
      <c r="I1215" s="2" t="s">
        <v>4803</v>
      </c>
      <c r="J1215" s="2" t="s">
        <v>4804</v>
      </c>
      <c r="K1215" s="2" t="s">
        <v>4805</v>
      </c>
      <c r="L1215" s="2" t="s">
        <v>7</v>
      </c>
    </row>
    <row r="1216" spans="1:12" ht="15.75" customHeight="1" x14ac:dyDescent="0.25">
      <c r="A1216" s="1" t="s">
        <v>2590</v>
      </c>
      <c r="B1216" s="21">
        <v>20</v>
      </c>
      <c r="C1216" s="1" t="s">
        <v>4784</v>
      </c>
      <c r="D1216" s="21">
        <v>45</v>
      </c>
      <c r="E1216" s="1" t="s">
        <v>4785</v>
      </c>
      <c r="F1216" s="21">
        <v>6</v>
      </c>
      <c r="G1216" s="2" t="s">
        <v>4806</v>
      </c>
      <c r="H1216" s="2" t="s">
        <v>4807</v>
      </c>
      <c r="I1216" s="2" t="s">
        <v>4808</v>
      </c>
      <c r="J1216" s="2" t="s">
        <v>4809</v>
      </c>
      <c r="K1216" s="2" t="s">
        <v>4810</v>
      </c>
      <c r="L1216" s="2" t="s">
        <v>8</v>
      </c>
    </row>
    <row r="1217" spans="1:12" ht="15.75" customHeight="1" x14ac:dyDescent="0.25">
      <c r="A1217" s="1" t="s">
        <v>2590</v>
      </c>
      <c r="B1217" s="21">
        <v>20</v>
      </c>
      <c r="C1217" s="1" t="s">
        <v>4784</v>
      </c>
      <c r="D1217" s="21">
        <v>45</v>
      </c>
      <c r="E1217" s="1" t="s">
        <v>4785</v>
      </c>
      <c r="F1217" s="21">
        <v>7</v>
      </c>
      <c r="G1217" s="2" t="s">
        <v>4811</v>
      </c>
      <c r="H1217" s="2" t="s">
        <v>4812</v>
      </c>
      <c r="I1217" s="2" t="s">
        <v>4813</v>
      </c>
      <c r="J1217" s="2" t="s">
        <v>4814</v>
      </c>
      <c r="K1217" s="2" t="s">
        <v>4815</v>
      </c>
      <c r="L1217" s="2" t="s">
        <v>7</v>
      </c>
    </row>
    <row r="1218" spans="1:12" ht="15.75" customHeight="1" x14ac:dyDescent="0.25">
      <c r="A1218" s="1" t="s">
        <v>2590</v>
      </c>
      <c r="B1218" s="21">
        <v>20</v>
      </c>
      <c r="C1218" s="1" t="s">
        <v>4784</v>
      </c>
      <c r="D1218" s="21">
        <v>45</v>
      </c>
      <c r="E1218" s="1" t="s">
        <v>4785</v>
      </c>
      <c r="F1218" s="21">
        <v>8</v>
      </c>
      <c r="G1218" s="2" t="s">
        <v>4816</v>
      </c>
      <c r="H1218" s="2" t="s">
        <v>4817</v>
      </c>
      <c r="I1218" s="2" t="s">
        <v>4818</v>
      </c>
      <c r="J1218" s="2" t="s">
        <v>4819</v>
      </c>
      <c r="K1218" s="2" t="s">
        <v>4820</v>
      </c>
      <c r="L1218" s="2" t="s">
        <v>9</v>
      </c>
    </row>
    <row r="1219" spans="1:12" ht="15.75" customHeight="1" x14ac:dyDescent="0.25">
      <c r="A1219" s="1" t="s">
        <v>2590</v>
      </c>
      <c r="B1219" s="21">
        <v>20</v>
      </c>
      <c r="C1219" s="1" t="s">
        <v>4784</v>
      </c>
      <c r="D1219" s="21">
        <v>45</v>
      </c>
      <c r="E1219" s="1" t="s">
        <v>4785</v>
      </c>
      <c r="F1219" s="21">
        <v>9</v>
      </c>
      <c r="G1219" s="2" t="s">
        <v>4821</v>
      </c>
      <c r="H1219" s="2" t="s">
        <v>4822</v>
      </c>
      <c r="I1219" s="2" t="s">
        <v>4823</v>
      </c>
      <c r="J1219" s="2" t="s">
        <v>4824</v>
      </c>
      <c r="K1219" s="2" t="s">
        <v>4825</v>
      </c>
      <c r="L1219" s="2" t="s">
        <v>10</v>
      </c>
    </row>
    <row r="1220" spans="1:12" ht="15.75" customHeight="1" x14ac:dyDescent="0.25">
      <c r="A1220" s="1" t="s">
        <v>2590</v>
      </c>
      <c r="B1220" s="21">
        <v>20</v>
      </c>
      <c r="C1220" s="1" t="s">
        <v>4784</v>
      </c>
      <c r="D1220" s="21">
        <v>45</v>
      </c>
      <c r="E1220" s="1" t="s">
        <v>4785</v>
      </c>
      <c r="F1220" s="21">
        <v>10</v>
      </c>
      <c r="G1220" s="2" t="s">
        <v>4826</v>
      </c>
      <c r="H1220" s="2" t="s">
        <v>4827</v>
      </c>
      <c r="I1220" s="2" t="s">
        <v>4828</v>
      </c>
      <c r="J1220" s="2" t="s">
        <v>4829</v>
      </c>
      <c r="K1220" s="2" t="s">
        <v>4830</v>
      </c>
      <c r="L1220" s="2" t="s">
        <v>7</v>
      </c>
    </row>
    <row r="1221" spans="1:12" ht="15.75" customHeight="1" x14ac:dyDescent="0.25">
      <c r="A1221" s="1" t="s">
        <v>2590</v>
      </c>
      <c r="B1221" s="21">
        <v>20</v>
      </c>
      <c r="C1221" s="1" t="s">
        <v>4784</v>
      </c>
      <c r="D1221" s="21">
        <v>45</v>
      </c>
      <c r="E1221" s="1" t="s">
        <v>4785</v>
      </c>
      <c r="F1221" s="21">
        <v>11</v>
      </c>
      <c r="G1221" s="2" t="s">
        <v>4831</v>
      </c>
      <c r="H1221" s="2" t="s">
        <v>4832</v>
      </c>
      <c r="I1221" s="2" t="s">
        <v>4833</v>
      </c>
      <c r="J1221" s="2" t="s">
        <v>4834</v>
      </c>
      <c r="K1221" s="2" t="s">
        <v>4835</v>
      </c>
      <c r="L1221" s="2" t="s">
        <v>9</v>
      </c>
    </row>
    <row r="1222" spans="1:12" ht="15.75" customHeight="1" x14ac:dyDescent="0.25">
      <c r="A1222" s="1" t="s">
        <v>2590</v>
      </c>
      <c r="B1222" s="21">
        <v>20</v>
      </c>
      <c r="C1222" s="1" t="s">
        <v>4784</v>
      </c>
      <c r="D1222" s="21">
        <v>45</v>
      </c>
      <c r="E1222" s="1" t="s">
        <v>4785</v>
      </c>
      <c r="F1222" s="21">
        <v>12</v>
      </c>
      <c r="G1222" s="2" t="s">
        <v>4836</v>
      </c>
      <c r="H1222" s="2" t="s">
        <v>780</v>
      </c>
      <c r="I1222" s="2" t="s">
        <v>4837</v>
      </c>
      <c r="J1222" s="2" t="s">
        <v>4838</v>
      </c>
      <c r="K1222" s="2" t="s">
        <v>4839</v>
      </c>
      <c r="L1222" s="2" t="s">
        <v>8</v>
      </c>
    </row>
    <row r="1223" spans="1:12" ht="15.75" customHeight="1" x14ac:dyDescent="0.25">
      <c r="A1223" s="1" t="s">
        <v>2590</v>
      </c>
      <c r="B1223" s="21">
        <v>20</v>
      </c>
      <c r="C1223" s="1" t="s">
        <v>4784</v>
      </c>
      <c r="D1223" s="21">
        <v>45</v>
      </c>
      <c r="E1223" s="1" t="s">
        <v>4785</v>
      </c>
      <c r="F1223" s="21">
        <v>13</v>
      </c>
      <c r="G1223" s="2" t="s">
        <v>4840</v>
      </c>
      <c r="H1223" s="2" t="s">
        <v>4832</v>
      </c>
      <c r="I1223" s="2" t="s">
        <v>4833</v>
      </c>
      <c r="J1223" s="2" t="s">
        <v>4834</v>
      </c>
      <c r="K1223" s="2" t="s">
        <v>4835</v>
      </c>
      <c r="L1223" s="2" t="s">
        <v>7</v>
      </c>
    </row>
    <row r="1224" spans="1:12" ht="15.75" customHeight="1" x14ac:dyDescent="0.25">
      <c r="A1224" s="1" t="s">
        <v>2590</v>
      </c>
      <c r="B1224" s="21">
        <v>20</v>
      </c>
      <c r="C1224" s="1" t="s">
        <v>4784</v>
      </c>
      <c r="D1224" s="21">
        <v>45</v>
      </c>
      <c r="E1224" s="1" t="s">
        <v>4785</v>
      </c>
      <c r="F1224" s="21">
        <v>14</v>
      </c>
      <c r="G1224" s="2" t="s">
        <v>4841</v>
      </c>
      <c r="H1224" s="2" t="s">
        <v>4842</v>
      </c>
      <c r="I1224" s="2" t="s">
        <v>4843</v>
      </c>
      <c r="J1224" s="2" t="s">
        <v>4844</v>
      </c>
      <c r="K1224" s="2" t="s">
        <v>4845</v>
      </c>
      <c r="L1224" s="2" t="s">
        <v>9</v>
      </c>
    </row>
    <row r="1225" spans="1:12" ht="15.75" customHeight="1" x14ac:dyDescent="0.25">
      <c r="A1225" s="1" t="s">
        <v>2590</v>
      </c>
      <c r="B1225" s="21">
        <v>20</v>
      </c>
      <c r="C1225" s="1" t="s">
        <v>4784</v>
      </c>
      <c r="D1225" s="21">
        <v>45</v>
      </c>
      <c r="E1225" s="1" t="s">
        <v>4785</v>
      </c>
      <c r="F1225" s="21">
        <v>15</v>
      </c>
      <c r="G1225" s="2" t="s">
        <v>4846</v>
      </c>
      <c r="H1225" s="2" t="s">
        <v>4847</v>
      </c>
      <c r="I1225" s="2" t="s">
        <v>4848</v>
      </c>
      <c r="J1225" s="2" t="s">
        <v>4849</v>
      </c>
      <c r="K1225" s="2" t="s">
        <v>4850</v>
      </c>
      <c r="L1225" s="2" t="s">
        <v>8</v>
      </c>
    </row>
    <row r="1226" spans="1:12" ht="15.75" customHeight="1" x14ac:dyDescent="0.25">
      <c r="A1226" s="1" t="s">
        <v>2590</v>
      </c>
      <c r="B1226" s="21">
        <v>20</v>
      </c>
      <c r="C1226" s="1" t="s">
        <v>4784</v>
      </c>
      <c r="D1226" s="21">
        <v>45</v>
      </c>
      <c r="E1226" s="1" t="s">
        <v>4785</v>
      </c>
      <c r="F1226" s="21">
        <v>16</v>
      </c>
      <c r="G1226" s="2" t="s">
        <v>4851</v>
      </c>
      <c r="H1226" s="2" t="s">
        <v>4852</v>
      </c>
      <c r="I1226" s="2" t="s">
        <v>4853</v>
      </c>
      <c r="J1226" s="2" t="s">
        <v>4854</v>
      </c>
      <c r="K1226" s="2" t="s">
        <v>4855</v>
      </c>
      <c r="L1226" s="2" t="s">
        <v>8</v>
      </c>
    </row>
    <row r="1227" spans="1:12" ht="15.75" customHeight="1" x14ac:dyDescent="0.25">
      <c r="A1227" s="1" t="s">
        <v>2590</v>
      </c>
      <c r="B1227" s="21">
        <v>20</v>
      </c>
      <c r="C1227" s="1" t="s">
        <v>4784</v>
      </c>
      <c r="D1227" s="21">
        <v>45</v>
      </c>
      <c r="E1227" s="1" t="s">
        <v>4785</v>
      </c>
      <c r="F1227" s="21">
        <v>17</v>
      </c>
      <c r="G1227" s="2" t="s">
        <v>4856</v>
      </c>
      <c r="H1227" s="2" t="s">
        <v>4857</v>
      </c>
      <c r="I1227" s="2" t="s">
        <v>4858</v>
      </c>
      <c r="J1227" s="2" t="s">
        <v>4859</v>
      </c>
      <c r="K1227" s="2" t="s">
        <v>4860</v>
      </c>
      <c r="L1227" s="2" t="s">
        <v>9</v>
      </c>
    </row>
    <row r="1228" spans="1:12" ht="15.75" customHeight="1" x14ac:dyDescent="0.25">
      <c r="A1228" s="1" t="s">
        <v>2590</v>
      </c>
      <c r="B1228" s="21">
        <v>20</v>
      </c>
      <c r="C1228" s="1" t="s">
        <v>4784</v>
      </c>
      <c r="D1228" s="21">
        <v>45</v>
      </c>
      <c r="E1228" s="1" t="s">
        <v>4785</v>
      </c>
      <c r="F1228" s="21">
        <v>18</v>
      </c>
      <c r="G1228" s="2" t="s">
        <v>4856</v>
      </c>
      <c r="H1228" s="2" t="s">
        <v>4861</v>
      </c>
      <c r="I1228" s="2" t="s">
        <v>4862</v>
      </c>
      <c r="J1228" s="2" t="s">
        <v>4863</v>
      </c>
      <c r="K1228" s="2" t="s">
        <v>4864</v>
      </c>
      <c r="L1228" s="2" t="s">
        <v>9</v>
      </c>
    </row>
    <row r="1229" spans="1:12" ht="15.75" customHeight="1" x14ac:dyDescent="0.25">
      <c r="A1229" s="1" t="s">
        <v>2590</v>
      </c>
      <c r="B1229" s="21">
        <v>20</v>
      </c>
      <c r="C1229" s="1" t="s">
        <v>4784</v>
      </c>
      <c r="D1229" s="21">
        <v>45</v>
      </c>
      <c r="E1229" s="1" t="s">
        <v>4785</v>
      </c>
      <c r="F1229" s="21">
        <v>19</v>
      </c>
      <c r="G1229" s="2" t="s">
        <v>4865</v>
      </c>
      <c r="H1229" s="2" t="s">
        <v>4866</v>
      </c>
      <c r="I1229" s="2" t="s">
        <v>4867</v>
      </c>
      <c r="J1229" s="2" t="s">
        <v>4868</v>
      </c>
      <c r="K1229" s="2" t="s">
        <v>4869</v>
      </c>
      <c r="L1229" s="2" t="s">
        <v>8</v>
      </c>
    </row>
    <row r="1230" spans="1:12" ht="15.75" customHeight="1" x14ac:dyDescent="0.25">
      <c r="A1230" s="1" t="s">
        <v>2590</v>
      </c>
      <c r="B1230" s="21">
        <v>20</v>
      </c>
      <c r="C1230" s="1" t="s">
        <v>4784</v>
      </c>
      <c r="D1230" s="21">
        <v>45</v>
      </c>
      <c r="E1230" s="1" t="s">
        <v>4785</v>
      </c>
      <c r="F1230" s="21">
        <v>20</v>
      </c>
      <c r="G1230" s="2" t="s">
        <v>4870</v>
      </c>
      <c r="H1230" s="2" t="s">
        <v>4871</v>
      </c>
      <c r="I1230" s="2" t="s">
        <v>4872</v>
      </c>
      <c r="J1230" s="2" t="s">
        <v>780</v>
      </c>
      <c r="K1230" s="2" t="s">
        <v>1596</v>
      </c>
      <c r="L1230" s="2" t="s">
        <v>8</v>
      </c>
    </row>
    <row r="1231" spans="1:12" ht="15.75" customHeight="1" x14ac:dyDescent="0.25">
      <c r="A1231" s="1" t="s">
        <v>2590</v>
      </c>
      <c r="B1231" s="21">
        <v>20</v>
      </c>
      <c r="C1231" s="1" t="s">
        <v>4784</v>
      </c>
      <c r="D1231" s="21">
        <v>45</v>
      </c>
      <c r="E1231" s="1" t="s">
        <v>4785</v>
      </c>
      <c r="F1231" s="21">
        <v>22</v>
      </c>
      <c r="G1231" s="2" t="s">
        <v>4873</v>
      </c>
      <c r="H1231" s="2" t="s">
        <v>4874</v>
      </c>
      <c r="I1231" s="2" t="s">
        <v>4875</v>
      </c>
      <c r="J1231" s="2" t="s">
        <v>4876</v>
      </c>
      <c r="K1231" s="2" t="s">
        <v>4877</v>
      </c>
      <c r="L1231" s="2" t="s">
        <v>8</v>
      </c>
    </row>
    <row r="1232" spans="1:12" ht="15.75" customHeight="1" x14ac:dyDescent="0.25">
      <c r="A1232" s="1" t="s">
        <v>2590</v>
      </c>
      <c r="B1232" s="21">
        <v>20</v>
      </c>
      <c r="C1232" s="1" t="s">
        <v>4784</v>
      </c>
      <c r="D1232" s="21">
        <v>45</v>
      </c>
      <c r="E1232" s="1" t="s">
        <v>4785</v>
      </c>
      <c r="F1232" s="21">
        <v>23</v>
      </c>
      <c r="G1232" s="2" t="s">
        <v>4878</v>
      </c>
      <c r="H1232" s="2" t="s">
        <v>4879</v>
      </c>
      <c r="I1232" s="2" t="s">
        <v>4880</v>
      </c>
      <c r="J1232" s="2" t="s">
        <v>4881</v>
      </c>
      <c r="K1232" s="2" t="s">
        <v>4882</v>
      </c>
      <c r="L1232" s="2" t="s">
        <v>7</v>
      </c>
    </row>
    <row r="1233" spans="1:12" ht="15.75" customHeight="1" x14ac:dyDescent="0.25">
      <c r="A1233" s="1" t="s">
        <v>2590</v>
      </c>
      <c r="B1233" s="21">
        <v>20</v>
      </c>
      <c r="C1233" s="1" t="s">
        <v>4784</v>
      </c>
      <c r="D1233" s="21">
        <v>45</v>
      </c>
      <c r="E1233" s="1" t="s">
        <v>4785</v>
      </c>
      <c r="F1233" s="21">
        <v>24</v>
      </c>
      <c r="G1233" s="2" t="s">
        <v>4883</v>
      </c>
      <c r="H1233" s="4" t="s">
        <v>9837</v>
      </c>
      <c r="I1233" s="4" t="s">
        <v>9838</v>
      </c>
      <c r="J1233" s="4" t="s">
        <v>9839</v>
      </c>
      <c r="K1233" s="4" t="s">
        <v>9840</v>
      </c>
      <c r="L1233" s="2" t="s">
        <v>8</v>
      </c>
    </row>
    <row r="1234" spans="1:12" ht="15.75" customHeight="1" x14ac:dyDescent="0.25">
      <c r="A1234" s="1" t="s">
        <v>2590</v>
      </c>
      <c r="B1234" s="21">
        <v>20</v>
      </c>
      <c r="C1234" s="1" t="s">
        <v>4784</v>
      </c>
      <c r="D1234" s="21">
        <v>45</v>
      </c>
      <c r="E1234" s="1" t="s">
        <v>4785</v>
      </c>
      <c r="F1234" s="21">
        <v>25</v>
      </c>
      <c r="G1234" s="2" t="s">
        <v>4884</v>
      </c>
      <c r="H1234" s="2" t="s">
        <v>4885</v>
      </c>
      <c r="I1234" s="2" t="s">
        <v>4886</v>
      </c>
      <c r="J1234" s="2" t="s">
        <v>4887</v>
      </c>
      <c r="K1234" s="2" t="s">
        <v>4888</v>
      </c>
      <c r="L1234" s="2" t="s">
        <v>10</v>
      </c>
    </row>
    <row r="1235" spans="1:12" ht="15.75" customHeight="1" x14ac:dyDescent="0.25">
      <c r="A1235" s="1" t="s">
        <v>2590</v>
      </c>
      <c r="B1235" s="21">
        <v>16</v>
      </c>
      <c r="C1235" s="9" t="s">
        <v>4889</v>
      </c>
      <c r="D1235" s="21">
        <v>46</v>
      </c>
      <c r="E1235" s="9" t="s">
        <v>8381</v>
      </c>
      <c r="F1235" s="21">
        <v>1</v>
      </c>
      <c r="G1235" s="2" t="s">
        <v>4890</v>
      </c>
      <c r="H1235" s="2" t="s">
        <v>4891</v>
      </c>
      <c r="I1235" s="2" t="s">
        <v>4892</v>
      </c>
      <c r="J1235" s="2" t="s">
        <v>4893</v>
      </c>
      <c r="K1235" s="2"/>
      <c r="L1235" s="2" t="s">
        <v>7</v>
      </c>
    </row>
    <row r="1236" spans="1:12" ht="15.75" customHeight="1" x14ac:dyDescent="0.25">
      <c r="A1236" s="1" t="s">
        <v>2590</v>
      </c>
      <c r="B1236" s="21">
        <v>16</v>
      </c>
      <c r="C1236" s="9" t="s">
        <v>4889</v>
      </c>
      <c r="D1236" s="21">
        <v>46</v>
      </c>
      <c r="E1236" s="9" t="s">
        <v>8381</v>
      </c>
      <c r="F1236" s="21">
        <v>2</v>
      </c>
      <c r="G1236" s="2" t="s">
        <v>4894</v>
      </c>
      <c r="H1236" s="2" t="s">
        <v>4895</v>
      </c>
      <c r="I1236" s="2" t="s">
        <v>4896</v>
      </c>
      <c r="J1236" s="2" t="s">
        <v>4897</v>
      </c>
      <c r="K1236" s="2"/>
      <c r="L1236" s="2" t="s">
        <v>9</v>
      </c>
    </row>
    <row r="1237" spans="1:12" ht="15.75" customHeight="1" x14ac:dyDescent="0.25">
      <c r="A1237" s="1" t="s">
        <v>2590</v>
      </c>
      <c r="B1237" s="21">
        <v>16</v>
      </c>
      <c r="C1237" s="9" t="s">
        <v>4889</v>
      </c>
      <c r="D1237" s="21">
        <v>46</v>
      </c>
      <c r="E1237" s="9" t="s">
        <v>8381</v>
      </c>
      <c r="F1237" s="21">
        <v>3</v>
      </c>
      <c r="G1237" s="2" t="s">
        <v>4898</v>
      </c>
      <c r="H1237" s="2" t="s">
        <v>4899</v>
      </c>
      <c r="I1237" s="2" t="s">
        <v>4900</v>
      </c>
      <c r="J1237" s="2" t="s">
        <v>3066</v>
      </c>
      <c r="K1237" s="2"/>
      <c r="L1237" s="2" t="s">
        <v>9</v>
      </c>
    </row>
    <row r="1238" spans="1:12" ht="15.75" customHeight="1" x14ac:dyDescent="0.25">
      <c r="A1238" s="1" t="s">
        <v>2590</v>
      </c>
      <c r="B1238" s="21">
        <v>16</v>
      </c>
      <c r="C1238" s="9" t="s">
        <v>4889</v>
      </c>
      <c r="D1238" s="21">
        <v>46</v>
      </c>
      <c r="E1238" s="9" t="s">
        <v>8381</v>
      </c>
      <c r="F1238" s="21">
        <v>4</v>
      </c>
      <c r="G1238" s="2" t="s">
        <v>4901</v>
      </c>
      <c r="H1238" s="2" t="s">
        <v>4902</v>
      </c>
      <c r="I1238" s="2" t="s">
        <v>4903</v>
      </c>
      <c r="J1238" s="2" t="s">
        <v>4904</v>
      </c>
      <c r="K1238" s="2"/>
      <c r="L1238" s="2" t="s">
        <v>7</v>
      </c>
    </row>
    <row r="1239" spans="1:12" ht="15.75" customHeight="1" x14ac:dyDescent="0.25">
      <c r="A1239" s="1" t="s">
        <v>2590</v>
      </c>
      <c r="B1239" s="21">
        <v>16</v>
      </c>
      <c r="C1239" s="9" t="s">
        <v>4889</v>
      </c>
      <c r="D1239" s="21">
        <v>46</v>
      </c>
      <c r="E1239" s="9" t="s">
        <v>8381</v>
      </c>
      <c r="F1239" s="21">
        <v>5</v>
      </c>
      <c r="G1239" s="2" t="s">
        <v>4905</v>
      </c>
      <c r="H1239" s="2" t="s">
        <v>4906</v>
      </c>
      <c r="I1239" s="2" t="s">
        <v>4907</v>
      </c>
      <c r="J1239" s="2" t="s">
        <v>4908</v>
      </c>
      <c r="K1239" s="2"/>
      <c r="L1239" s="2" t="s">
        <v>7</v>
      </c>
    </row>
    <row r="1240" spans="1:12" ht="15.75" customHeight="1" x14ac:dyDescent="0.25">
      <c r="A1240" s="1" t="s">
        <v>2590</v>
      </c>
      <c r="B1240" s="21">
        <v>16</v>
      </c>
      <c r="C1240" s="9" t="s">
        <v>4889</v>
      </c>
      <c r="D1240" s="21">
        <v>46</v>
      </c>
      <c r="E1240" s="9" t="s">
        <v>8381</v>
      </c>
      <c r="F1240" s="21">
        <v>6</v>
      </c>
      <c r="G1240" s="2" t="s">
        <v>4909</v>
      </c>
      <c r="H1240" s="2">
        <v>10</v>
      </c>
      <c r="I1240" s="2">
        <v>12</v>
      </c>
      <c r="J1240" s="2">
        <v>14</v>
      </c>
      <c r="K1240" s="2"/>
      <c r="L1240" s="2" t="s">
        <v>8</v>
      </c>
    </row>
    <row r="1241" spans="1:12" ht="15.75" customHeight="1" x14ac:dyDescent="0.25">
      <c r="A1241" s="1" t="s">
        <v>2590</v>
      </c>
      <c r="B1241" s="21">
        <v>16</v>
      </c>
      <c r="C1241" s="9" t="s">
        <v>4889</v>
      </c>
      <c r="D1241" s="21">
        <v>46</v>
      </c>
      <c r="E1241" s="9" t="s">
        <v>8381</v>
      </c>
      <c r="F1241" s="21">
        <v>7</v>
      </c>
      <c r="G1241" s="2" t="s">
        <v>4910</v>
      </c>
      <c r="H1241" s="2" t="s">
        <v>4911</v>
      </c>
      <c r="I1241" s="2" t="s">
        <v>4912</v>
      </c>
      <c r="J1241" s="2" t="s">
        <v>4913</v>
      </c>
      <c r="K1241" s="2"/>
      <c r="L1241" s="2" t="s">
        <v>7</v>
      </c>
    </row>
    <row r="1242" spans="1:12" ht="15.75" customHeight="1" x14ac:dyDescent="0.25">
      <c r="A1242" s="1" t="s">
        <v>2590</v>
      </c>
      <c r="B1242" s="21">
        <v>16</v>
      </c>
      <c r="C1242" s="9" t="s">
        <v>4889</v>
      </c>
      <c r="D1242" s="21">
        <v>46</v>
      </c>
      <c r="E1242" s="9" t="s">
        <v>8381</v>
      </c>
      <c r="F1242" s="21">
        <v>8</v>
      </c>
      <c r="G1242" s="2" t="s">
        <v>4914</v>
      </c>
      <c r="H1242" s="2" t="s">
        <v>4915</v>
      </c>
      <c r="I1242" s="2" t="s">
        <v>4916</v>
      </c>
      <c r="J1242" s="2" t="s">
        <v>4917</v>
      </c>
      <c r="K1242" s="2"/>
      <c r="L1242" s="2" t="s">
        <v>7</v>
      </c>
    </row>
    <row r="1243" spans="1:12" ht="15.75" customHeight="1" x14ac:dyDescent="0.25">
      <c r="A1243" s="1" t="s">
        <v>2590</v>
      </c>
      <c r="B1243" s="21">
        <v>16</v>
      </c>
      <c r="C1243" s="9" t="s">
        <v>4889</v>
      </c>
      <c r="D1243" s="21">
        <v>46</v>
      </c>
      <c r="E1243" s="9" t="s">
        <v>8381</v>
      </c>
      <c r="F1243" s="21">
        <v>9</v>
      </c>
      <c r="G1243" s="2" t="s">
        <v>4918</v>
      </c>
      <c r="H1243" s="2" t="s">
        <v>4919</v>
      </c>
      <c r="I1243" s="2" t="s">
        <v>4920</v>
      </c>
      <c r="J1243" s="2" t="s">
        <v>4921</v>
      </c>
      <c r="K1243" s="2"/>
      <c r="L1243" s="2" t="s">
        <v>9</v>
      </c>
    </row>
    <row r="1244" spans="1:12" ht="15.75" customHeight="1" x14ac:dyDescent="0.25">
      <c r="A1244" s="1" t="s">
        <v>2590</v>
      </c>
      <c r="B1244" s="21">
        <v>16</v>
      </c>
      <c r="C1244" s="9" t="s">
        <v>4889</v>
      </c>
      <c r="D1244" s="21">
        <v>46</v>
      </c>
      <c r="E1244" s="9" t="s">
        <v>8381</v>
      </c>
      <c r="F1244" s="21">
        <v>10</v>
      </c>
      <c r="G1244" s="2" t="s">
        <v>4922</v>
      </c>
      <c r="H1244" s="2" t="s">
        <v>4923</v>
      </c>
      <c r="I1244" s="2" t="s">
        <v>4924</v>
      </c>
      <c r="J1244" s="2" t="s">
        <v>4925</v>
      </c>
      <c r="K1244" s="2"/>
      <c r="L1244" s="2" t="s">
        <v>7</v>
      </c>
    </row>
    <row r="1245" spans="1:12" ht="15.75" customHeight="1" x14ac:dyDescent="0.25">
      <c r="A1245" s="1" t="s">
        <v>2590</v>
      </c>
      <c r="B1245" s="21">
        <v>16</v>
      </c>
      <c r="C1245" s="9" t="s">
        <v>4889</v>
      </c>
      <c r="D1245" s="21">
        <v>46</v>
      </c>
      <c r="E1245" s="9" t="s">
        <v>8381</v>
      </c>
      <c r="F1245" s="21">
        <v>11</v>
      </c>
      <c r="G1245" s="2" t="s">
        <v>4926</v>
      </c>
      <c r="H1245" s="2" t="s">
        <v>4927</v>
      </c>
      <c r="I1245" s="2" t="s">
        <v>4928</v>
      </c>
      <c r="J1245" s="2" t="s">
        <v>4929</v>
      </c>
      <c r="K1245" s="2"/>
      <c r="L1245" s="2" t="s">
        <v>9</v>
      </c>
    </row>
    <row r="1246" spans="1:12" ht="15.75" customHeight="1" x14ac:dyDescent="0.25">
      <c r="A1246" s="1" t="s">
        <v>2590</v>
      </c>
      <c r="B1246" s="21">
        <v>16</v>
      </c>
      <c r="C1246" s="9" t="s">
        <v>4889</v>
      </c>
      <c r="D1246" s="21">
        <v>46</v>
      </c>
      <c r="E1246" s="9" t="s">
        <v>8381</v>
      </c>
      <c r="F1246" s="21">
        <v>12</v>
      </c>
      <c r="G1246" s="2" t="s">
        <v>4930</v>
      </c>
      <c r="H1246" s="2" t="s">
        <v>4931</v>
      </c>
      <c r="I1246" s="2" t="s">
        <v>4932</v>
      </c>
      <c r="J1246" s="2" t="s">
        <v>4933</v>
      </c>
      <c r="K1246" s="2"/>
      <c r="L1246" s="2" t="s">
        <v>7</v>
      </c>
    </row>
    <row r="1247" spans="1:12" ht="15.75" customHeight="1" x14ac:dyDescent="0.25">
      <c r="A1247" s="1" t="s">
        <v>2590</v>
      </c>
      <c r="B1247" s="21">
        <v>16</v>
      </c>
      <c r="C1247" s="9" t="s">
        <v>4889</v>
      </c>
      <c r="D1247" s="21">
        <v>46</v>
      </c>
      <c r="E1247" s="9" t="s">
        <v>8381</v>
      </c>
      <c r="F1247" s="21">
        <v>13</v>
      </c>
      <c r="G1247" s="2" t="s">
        <v>4934</v>
      </c>
      <c r="H1247" s="2" t="s">
        <v>4935</v>
      </c>
      <c r="I1247" s="2" t="s">
        <v>4936</v>
      </c>
      <c r="J1247" s="2" t="s">
        <v>4937</v>
      </c>
      <c r="K1247" s="2"/>
      <c r="L1247" s="2" t="s">
        <v>8</v>
      </c>
    </row>
    <row r="1248" spans="1:12" ht="15.75" customHeight="1" x14ac:dyDescent="0.25">
      <c r="A1248" s="1" t="s">
        <v>2590</v>
      </c>
      <c r="B1248" s="21">
        <v>16</v>
      </c>
      <c r="C1248" s="9" t="s">
        <v>4889</v>
      </c>
      <c r="D1248" s="21">
        <v>46</v>
      </c>
      <c r="E1248" s="9" t="s">
        <v>8381</v>
      </c>
      <c r="F1248" s="21">
        <v>14</v>
      </c>
      <c r="G1248" s="2" t="s">
        <v>4938</v>
      </c>
      <c r="H1248" s="2" t="s">
        <v>4939</v>
      </c>
      <c r="I1248" s="2" t="s">
        <v>4940</v>
      </c>
      <c r="J1248" s="2" t="s">
        <v>4941</v>
      </c>
      <c r="K1248" s="2"/>
      <c r="L1248" s="2" t="s">
        <v>9</v>
      </c>
    </row>
    <row r="1249" spans="1:12" ht="15.75" customHeight="1" x14ac:dyDescent="0.25">
      <c r="A1249" s="1" t="s">
        <v>2590</v>
      </c>
      <c r="B1249" s="21">
        <v>16</v>
      </c>
      <c r="C1249" s="9" t="s">
        <v>4889</v>
      </c>
      <c r="D1249" s="21">
        <v>46</v>
      </c>
      <c r="E1249" s="9" t="s">
        <v>8381</v>
      </c>
      <c r="F1249" s="21">
        <v>15</v>
      </c>
      <c r="G1249" s="2" t="s">
        <v>4942</v>
      </c>
      <c r="H1249" s="2" t="s">
        <v>4943</v>
      </c>
      <c r="I1249" s="2" t="s">
        <v>4944</v>
      </c>
      <c r="J1249" s="2" t="s">
        <v>3066</v>
      </c>
      <c r="K1249" s="2"/>
      <c r="L1249" s="2" t="s">
        <v>7</v>
      </c>
    </row>
    <row r="1250" spans="1:12" ht="15.75" customHeight="1" x14ac:dyDescent="0.25">
      <c r="A1250" s="1" t="s">
        <v>2590</v>
      </c>
      <c r="B1250" s="21">
        <v>16</v>
      </c>
      <c r="C1250" s="9" t="s">
        <v>4889</v>
      </c>
      <c r="D1250" s="21">
        <v>46</v>
      </c>
      <c r="E1250" s="9" t="s">
        <v>8381</v>
      </c>
      <c r="F1250" s="21">
        <v>16</v>
      </c>
      <c r="G1250" s="2" t="s">
        <v>4945</v>
      </c>
      <c r="H1250" s="2" t="s">
        <v>4946</v>
      </c>
      <c r="I1250" s="2" t="s">
        <v>4947</v>
      </c>
      <c r="J1250" s="2" t="s">
        <v>4948</v>
      </c>
      <c r="K1250" s="2"/>
      <c r="L1250" s="2" t="s">
        <v>7</v>
      </c>
    </row>
    <row r="1251" spans="1:12" ht="15.75" customHeight="1" x14ac:dyDescent="0.25">
      <c r="A1251" s="1" t="s">
        <v>2590</v>
      </c>
      <c r="B1251" s="21">
        <v>16</v>
      </c>
      <c r="C1251" s="9" t="s">
        <v>4889</v>
      </c>
      <c r="D1251" s="21">
        <v>46</v>
      </c>
      <c r="E1251" s="9" t="s">
        <v>8381</v>
      </c>
      <c r="F1251" s="21">
        <v>17</v>
      </c>
      <c r="G1251" s="2" t="s">
        <v>4949</v>
      </c>
      <c r="H1251" s="2" t="s">
        <v>4950</v>
      </c>
      <c r="I1251" s="2" t="s">
        <v>4951</v>
      </c>
      <c r="J1251" s="2" t="s">
        <v>4952</v>
      </c>
      <c r="K1251" s="2"/>
      <c r="L1251" s="2" t="s">
        <v>9</v>
      </c>
    </row>
    <row r="1252" spans="1:12" ht="15.75" customHeight="1" x14ac:dyDescent="0.25">
      <c r="A1252" s="1" t="s">
        <v>2590</v>
      </c>
      <c r="B1252" s="21">
        <v>16</v>
      </c>
      <c r="C1252" s="9" t="s">
        <v>4889</v>
      </c>
      <c r="D1252" s="21">
        <v>46</v>
      </c>
      <c r="E1252" s="9" t="s">
        <v>8381</v>
      </c>
      <c r="F1252" s="21">
        <v>18</v>
      </c>
      <c r="G1252" s="2" t="s">
        <v>4953</v>
      </c>
      <c r="H1252" s="2" t="s">
        <v>4954</v>
      </c>
      <c r="I1252" s="2" t="s">
        <v>4955</v>
      </c>
      <c r="J1252" s="2" t="s">
        <v>4956</v>
      </c>
      <c r="K1252" s="2"/>
      <c r="L1252" s="2" t="s">
        <v>8</v>
      </c>
    </row>
    <row r="1253" spans="1:12" ht="15.75" customHeight="1" x14ac:dyDescent="0.25">
      <c r="A1253" s="1" t="s">
        <v>2590</v>
      </c>
      <c r="B1253" s="21">
        <v>16</v>
      </c>
      <c r="C1253" s="9" t="s">
        <v>4889</v>
      </c>
      <c r="D1253" s="21">
        <v>46</v>
      </c>
      <c r="E1253" s="9" t="s">
        <v>8381</v>
      </c>
      <c r="F1253" s="21">
        <v>19</v>
      </c>
      <c r="G1253" s="2" t="s">
        <v>4957</v>
      </c>
      <c r="H1253" s="2" t="s">
        <v>4958</v>
      </c>
      <c r="I1253" s="2" t="s">
        <v>4959</v>
      </c>
      <c r="J1253" s="2" t="s">
        <v>4960</v>
      </c>
      <c r="K1253" s="2"/>
      <c r="L1253" s="2" t="s">
        <v>7</v>
      </c>
    </row>
    <row r="1254" spans="1:12" ht="15.75" customHeight="1" x14ac:dyDescent="0.25">
      <c r="A1254" s="1" t="s">
        <v>2590</v>
      </c>
      <c r="B1254" s="21">
        <v>16</v>
      </c>
      <c r="C1254" s="9" t="s">
        <v>4889</v>
      </c>
      <c r="D1254" s="21">
        <v>46</v>
      </c>
      <c r="E1254" s="9" t="s">
        <v>8381</v>
      </c>
      <c r="F1254" s="21">
        <v>20</v>
      </c>
      <c r="G1254" s="2" t="s">
        <v>4961</v>
      </c>
      <c r="H1254" s="2" t="s">
        <v>4962</v>
      </c>
      <c r="I1254" s="2" t="s">
        <v>4963</v>
      </c>
      <c r="J1254" s="2" t="s">
        <v>3066</v>
      </c>
      <c r="K1254" s="2"/>
      <c r="L1254" s="2" t="s">
        <v>8</v>
      </c>
    </row>
    <row r="1255" spans="1:12" ht="15.75" customHeight="1" x14ac:dyDescent="0.25">
      <c r="A1255" s="1" t="s">
        <v>2590</v>
      </c>
      <c r="B1255" s="21">
        <v>16</v>
      </c>
      <c r="C1255" s="9" t="s">
        <v>4889</v>
      </c>
      <c r="D1255" s="21">
        <v>46</v>
      </c>
      <c r="E1255" s="9" t="s">
        <v>8381</v>
      </c>
      <c r="F1255" s="21">
        <v>21</v>
      </c>
      <c r="G1255" s="2" t="s">
        <v>4964</v>
      </c>
      <c r="H1255" s="2" t="s">
        <v>4965</v>
      </c>
      <c r="I1255" s="2" t="s">
        <v>4966</v>
      </c>
      <c r="J1255" s="2" t="s">
        <v>4967</v>
      </c>
      <c r="K1255" s="2"/>
      <c r="L1255" s="2" t="s">
        <v>9</v>
      </c>
    </row>
    <row r="1256" spans="1:12" ht="15.75" customHeight="1" x14ac:dyDescent="0.25">
      <c r="A1256" s="1" t="s">
        <v>2590</v>
      </c>
      <c r="B1256" s="21">
        <v>16</v>
      </c>
      <c r="C1256" s="9" t="s">
        <v>4889</v>
      </c>
      <c r="D1256" s="21">
        <v>46</v>
      </c>
      <c r="E1256" s="9" t="s">
        <v>8381</v>
      </c>
      <c r="F1256" s="21">
        <v>22</v>
      </c>
      <c r="G1256" s="2" t="s">
        <v>4968</v>
      </c>
      <c r="H1256" s="2" t="s">
        <v>4969</v>
      </c>
      <c r="I1256" s="2" t="s">
        <v>4970</v>
      </c>
      <c r="J1256" s="2" t="s">
        <v>4971</v>
      </c>
      <c r="K1256" s="2"/>
      <c r="L1256" s="2" t="s">
        <v>9</v>
      </c>
    </row>
    <row r="1257" spans="1:12" ht="15.75" customHeight="1" x14ac:dyDescent="0.25">
      <c r="A1257" s="1" t="s">
        <v>2590</v>
      </c>
      <c r="B1257" s="21">
        <v>16</v>
      </c>
      <c r="C1257" s="9" t="s">
        <v>4889</v>
      </c>
      <c r="D1257" s="21">
        <v>46</v>
      </c>
      <c r="E1257" s="9" t="s">
        <v>8381</v>
      </c>
      <c r="F1257" s="21">
        <v>23</v>
      </c>
      <c r="G1257" s="2" t="s">
        <v>4972</v>
      </c>
      <c r="H1257" s="2" t="s">
        <v>4973</v>
      </c>
      <c r="I1257" s="2" t="s">
        <v>4974</v>
      </c>
      <c r="J1257" s="2" t="s">
        <v>4975</v>
      </c>
      <c r="K1257" s="2"/>
      <c r="L1257" s="2" t="s">
        <v>8</v>
      </c>
    </row>
    <row r="1258" spans="1:12" ht="15.75" customHeight="1" x14ac:dyDescent="0.25">
      <c r="A1258" s="1" t="s">
        <v>2590</v>
      </c>
      <c r="B1258" s="21">
        <v>16</v>
      </c>
      <c r="C1258" s="9" t="s">
        <v>4889</v>
      </c>
      <c r="D1258" s="21">
        <v>46</v>
      </c>
      <c r="E1258" s="9" t="s">
        <v>8381</v>
      </c>
      <c r="F1258" s="21">
        <v>24</v>
      </c>
      <c r="G1258" s="2" t="s">
        <v>4976</v>
      </c>
      <c r="H1258" s="2" t="s">
        <v>4977</v>
      </c>
      <c r="I1258" s="2" t="s">
        <v>4978</v>
      </c>
      <c r="J1258" s="2" t="s">
        <v>4979</v>
      </c>
      <c r="K1258" s="2"/>
      <c r="L1258" s="2" t="s">
        <v>9</v>
      </c>
    </row>
    <row r="1259" spans="1:12" ht="15.75" customHeight="1" x14ac:dyDescent="0.25">
      <c r="A1259" s="1" t="s">
        <v>2590</v>
      </c>
      <c r="B1259" s="21">
        <v>16</v>
      </c>
      <c r="C1259" s="9" t="s">
        <v>4889</v>
      </c>
      <c r="D1259" s="21">
        <v>46</v>
      </c>
      <c r="E1259" s="9" t="s">
        <v>8381</v>
      </c>
      <c r="F1259" s="21">
        <v>25</v>
      </c>
      <c r="G1259" s="2" t="s">
        <v>4980</v>
      </c>
      <c r="H1259" s="2" t="s">
        <v>4981</v>
      </c>
      <c r="I1259" s="2" t="s">
        <v>4982</v>
      </c>
      <c r="J1259" s="2" t="s">
        <v>4983</v>
      </c>
      <c r="K1259" s="2"/>
      <c r="L1259" s="2" t="s">
        <v>8</v>
      </c>
    </row>
    <row r="1260" spans="1:12" ht="15.75" customHeight="1" x14ac:dyDescent="0.25">
      <c r="A1260" s="1" t="s">
        <v>2590</v>
      </c>
      <c r="B1260" s="21">
        <v>16</v>
      </c>
      <c r="C1260" s="9" t="s">
        <v>4889</v>
      </c>
      <c r="D1260" s="21">
        <v>46</v>
      </c>
      <c r="E1260" s="9" t="s">
        <v>8381</v>
      </c>
      <c r="F1260" s="21">
        <v>26</v>
      </c>
      <c r="G1260" s="2" t="s">
        <v>4984</v>
      </c>
      <c r="H1260" s="2" t="s">
        <v>4985</v>
      </c>
      <c r="I1260" s="2" t="s">
        <v>4986</v>
      </c>
      <c r="J1260" s="2" t="s">
        <v>3066</v>
      </c>
      <c r="K1260" s="2"/>
      <c r="L1260" s="2" t="s">
        <v>9</v>
      </c>
    </row>
    <row r="1261" spans="1:12" ht="15.75" customHeight="1" x14ac:dyDescent="0.25">
      <c r="A1261" s="1" t="s">
        <v>2590</v>
      </c>
      <c r="B1261" s="21">
        <v>16</v>
      </c>
      <c r="C1261" s="9" t="s">
        <v>4889</v>
      </c>
      <c r="D1261" s="21">
        <v>46</v>
      </c>
      <c r="E1261" s="9" t="s">
        <v>8381</v>
      </c>
      <c r="F1261" s="21">
        <v>27</v>
      </c>
      <c r="G1261" s="2" t="s">
        <v>4987</v>
      </c>
      <c r="H1261" s="2" t="s">
        <v>4988</v>
      </c>
      <c r="I1261" s="2" t="s">
        <v>4989</v>
      </c>
      <c r="J1261" s="2" t="s">
        <v>3066</v>
      </c>
      <c r="K1261" s="2"/>
      <c r="L1261" s="2" t="s">
        <v>7</v>
      </c>
    </row>
    <row r="1262" spans="1:12" ht="15.75" customHeight="1" x14ac:dyDescent="0.25">
      <c r="A1262" s="1" t="s">
        <v>2590</v>
      </c>
      <c r="B1262" s="21">
        <v>16</v>
      </c>
      <c r="C1262" s="9" t="s">
        <v>4889</v>
      </c>
      <c r="D1262" s="21">
        <v>46</v>
      </c>
      <c r="E1262" s="9" t="s">
        <v>8381</v>
      </c>
      <c r="F1262" s="21">
        <v>28</v>
      </c>
      <c r="G1262" s="2" t="s">
        <v>4990</v>
      </c>
      <c r="H1262" s="2" t="s">
        <v>4991</v>
      </c>
      <c r="I1262" s="2" t="s">
        <v>4992</v>
      </c>
      <c r="J1262" s="2" t="s">
        <v>4993</v>
      </c>
      <c r="K1262" s="2"/>
      <c r="L1262" s="2" t="s">
        <v>8</v>
      </c>
    </row>
    <row r="1263" spans="1:12" ht="15.75" customHeight="1" x14ac:dyDescent="0.25">
      <c r="A1263" s="1" t="s">
        <v>2590</v>
      </c>
      <c r="B1263" s="21">
        <v>16</v>
      </c>
      <c r="C1263" s="9" t="s">
        <v>4889</v>
      </c>
      <c r="D1263" s="21">
        <v>46</v>
      </c>
      <c r="E1263" s="9" t="s">
        <v>8381</v>
      </c>
      <c r="F1263" s="21">
        <v>29</v>
      </c>
      <c r="G1263" s="2" t="s">
        <v>4994</v>
      </c>
      <c r="H1263" s="2" t="s">
        <v>4995</v>
      </c>
      <c r="I1263" s="2" t="s">
        <v>4996</v>
      </c>
      <c r="J1263" s="2" t="s">
        <v>4997</v>
      </c>
      <c r="K1263" s="2"/>
      <c r="L1263" s="2" t="s">
        <v>9</v>
      </c>
    </row>
    <row r="1264" spans="1:12" ht="15.75" customHeight="1" x14ac:dyDescent="0.25">
      <c r="A1264" s="1" t="s">
        <v>2590</v>
      </c>
      <c r="B1264" s="21">
        <v>16</v>
      </c>
      <c r="C1264" s="9" t="s">
        <v>4889</v>
      </c>
      <c r="D1264" s="21">
        <v>46</v>
      </c>
      <c r="E1264" s="9" t="s">
        <v>8381</v>
      </c>
      <c r="F1264" s="21">
        <v>30</v>
      </c>
      <c r="G1264" s="2" t="s">
        <v>4998</v>
      </c>
      <c r="H1264" s="2" t="s">
        <v>4999</v>
      </c>
      <c r="I1264" s="2" t="s">
        <v>5000</v>
      </c>
      <c r="J1264" s="2" t="s">
        <v>5001</v>
      </c>
      <c r="K1264" s="2"/>
      <c r="L1264" s="2" t="s">
        <v>8</v>
      </c>
    </row>
    <row r="1265" spans="1:12" ht="15.75" customHeight="1" x14ac:dyDescent="0.25">
      <c r="A1265" s="1" t="s">
        <v>2590</v>
      </c>
      <c r="B1265" s="21">
        <v>16</v>
      </c>
      <c r="C1265" s="9" t="s">
        <v>4889</v>
      </c>
      <c r="D1265" s="21">
        <v>46</v>
      </c>
      <c r="E1265" s="9" t="s">
        <v>8381</v>
      </c>
      <c r="F1265" s="23">
        <v>31</v>
      </c>
      <c r="G1265" s="2" t="s">
        <v>5002</v>
      </c>
      <c r="H1265" s="2" t="s">
        <v>5003</v>
      </c>
      <c r="I1265" s="2" t="s">
        <v>3500</v>
      </c>
      <c r="J1265" s="2" t="s">
        <v>2296</v>
      </c>
      <c r="K1265" s="2"/>
      <c r="L1265" s="2" t="s">
        <v>8</v>
      </c>
    </row>
    <row r="1266" spans="1:12" ht="15.75" customHeight="1" x14ac:dyDescent="0.25">
      <c r="A1266" s="1" t="s">
        <v>2590</v>
      </c>
      <c r="B1266" s="21">
        <v>16</v>
      </c>
      <c r="C1266" s="9" t="s">
        <v>4889</v>
      </c>
      <c r="D1266" s="21">
        <v>46</v>
      </c>
      <c r="E1266" s="9" t="s">
        <v>8381</v>
      </c>
      <c r="F1266" s="23">
        <v>32</v>
      </c>
      <c r="G1266" s="2" t="s">
        <v>5004</v>
      </c>
      <c r="H1266" s="2" t="s">
        <v>4906</v>
      </c>
      <c r="I1266" s="2" t="s">
        <v>4907</v>
      </c>
      <c r="J1266" s="2" t="s">
        <v>4908</v>
      </c>
      <c r="K1266" s="2"/>
      <c r="L1266" s="2" t="s">
        <v>9</v>
      </c>
    </row>
    <row r="1267" spans="1:12" ht="15.75" customHeight="1" x14ac:dyDescent="0.25">
      <c r="A1267" s="1" t="s">
        <v>2590</v>
      </c>
      <c r="B1267" s="21">
        <v>16</v>
      </c>
      <c r="C1267" s="9" t="s">
        <v>4889</v>
      </c>
      <c r="D1267" s="21">
        <v>46</v>
      </c>
      <c r="E1267" s="9" t="s">
        <v>8381</v>
      </c>
      <c r="F1267" s="23">
        <v>33</v>
      </c>
      <c r="G1267" s="2" t="s">
        <v>5005</v>
      </c>
      <c r="H1267" s="2" t="s">
        <v>5006</v>
      </c>
      <c r="I1267" s="2" t="s">
        <v>5007</v>
      </c>
      <c r="J1267" s="2" t="s">
        <v>5008</v>
      </c>
      <c r="K1267" s="2"/>
      <c r="L1267" s="2" t="s">
        <v>7</v>
      </c>
    </row>
    <row r="1268" spans="1:12" ht="15.75" customHeight="1" x14ac:dyDescent="0.25">
      <c r="A1268" s="1" t="s">
        <v>2590</v>
      </c>
      <c r="B1268" s="21">
        <v>16</v>
      </c>
      <c r="C1268" s="9" t="s">
        <v>4889</v>
      </c>
      <c r="D1268" s="21">
        <v>46</v>
      </c>
      <c r="E1268" s="9" t="s">
        <v>8381</v>
      </c>
      <c r="F1268" s="23">
        <v>34</v>
      </c>
      <c r="G1268" s="2" t="s">
        <v>5009</v>
      </c>
      <c r="H1268" s="2" t="s">
        <v>4667</v>
      </c>
      <c r="I1268" s="2" t="s">
        <v>4109</v>
      </c>
      <c r="J1268" s="2" t="s">
        <v>3066</v>
      </c>
      <c r="K1268" s="2"/>
      <c r="L1268" s="2" t="s">
        <v>9</v>
      </c>
    </row>
    <row r="1269" spans="1:12" ht="15.75" customHeight="1" x14ac:dyDescent="0.25">
      <c r="A1269" s="1" t="s">
        <v>2590</v>
      </c>
      <c r="B1269" s="21">
        <v>16</v>
      </c>
      <c r="C1269" s="9" t="s">
        <v>4889</v>
      </c>
      <c r="D1269" s="21">
        <v>46</v>
      </c>
      <c r="E1269" s="9" t="s">
        <v>8381</v>
      </c>
      <c r="F1269" s="23">
        <v>35</v>
      </c>
      <c r="G1269" s="2" t="s">
        <v>5010</v>
      </c>
      <c r="H1269" s="2" t="s">
        <v>5011</v>
      </c>
      <c r="I1269" s="2" t="s">
        <v>5012</v>
      </c>
      <c r="J1269" s="2" t="s">
        <v>5013</v>
      </c>
      <c r="K1269" s="2"/>
      <c r="L1269" s="2" t="s">
        <v>8</v>
      </c>
    </row>
    <row r="1270" spans="1:12" ht="15.75" customHeight="1" x14ac:dyDescent="0.25">
      <c r="A1270" s="1" t="s">
        <v>2590</v>
      </c>
      <c r="B1270" s="21">
        <v>16</v>
      </c>
      <c r="C1270" s="9" t="s">
        <v>4889</v>
      </c>
      <c r="D1270" s="21">
        <v>46</v>
      </c>
      <c r="E1270" s="9" t="s">
        <v>8381</v>
      </c>
      <c r="F1270" s="23">
        <v>36</v>
      </c>
      <c r="G1270" s="2" t="s">
        <v>5014</v>
      </c>
      <c r="H1270" s="2" t="s">
        <v>5015</v>
      </c>
      <c r="I1270" s="2" t="s">
        <v>5016</v>
      </c>
      <c r="J1270" s="2" t="s">
        <v>3066</v>
      </c>
      <c r="K1270" s="2"/>
      <c r="L1270" s="2" t="s">
        <v>9</v>
      </c>
    </row>
    <row r="1271" spans="1:12" ht="15.75" customHeight="1" x14ac:dyDescent="0.25">
      <c r="A1271" s="1" t="s">
        <v>2590</v>
      </c>
      <c r="B1271" s="21">
        <v>16</v>
      </c>
      <c r="C1271" s="9" t="s">
        <v>4889</v>
      </c>
      <c r="D1271" s="21">
        <v>46</v>
      </c>
      <c r="E1271" s="9" t="s">
        <v>8381</v>
      </c>
      <c r="F1271" s="23">
        <v>37</v>
      </c>
      <c r="G1271" s="2" t="s">
        <v>5017</v>
      </c>
      <c r="H1271" s="2" t="s">
        <v>5018</v>
      </c>
      <c r="I1271" s="2" t="s">
        <v>5019</v>
      </c>
      <c r="J1271" s="2" t="s">
        <v>5020</v>
      </c>
      <c r="K1271" s="2"/>
      <c r="L1271" s="2" t="s">
        <v>7</v>
      </c>
    </row>
    <row r="1272" spans="1:12" ht="15.75" customHeight="1" x14ac:dyDescent="0.25">
      <c r="A1272" s="1" t="s">
        <v>2590</v>
      </c>
      <c r="B1272" s="21">
        <v>16</v>
      </c>
      <c r="C1272" s="9" t="s">
        <v>4889</v>
      </c>
      <c r="D1272" s="21">
        <v>46</v>
      </c>
      <c r="E1272" s="9" t="s">
        <v>8381</v>
      </c>
      <c r="F1272" s="23">
        <v>38</v>
      </c>
      <c r="G1272" s="2" t="s">
        <v>5021</v>
      </c>
      <c r="H1272" s="2" t="s">
        <v>5022</v>
      </c>
      <c r="I1272" s="2" t="s">
        <v>5023</v>
      </c>
      <c r="J1272" s="2" t="s">
        <v>5024</v>
      </c>
      <c r="K1272" s="2"/>
      <c r="L1272" s="2" t="s">
        <v>7</v>
      </c>
    </row>
    <row r="1273" spans="1:12" ht="15.75" customHeight="1" x14ac:dyDescent="0.25">
      <c r="A1273" s="1" t="s">
        <v>2590</v>
      </c>
      <c r="B1273" s="21">
        <v>16</v>
      </c>
      <c r="C1273" s="9" t="s">
        <v>4889</v>
      </c>
      <c r="D1273" s="21">
        <v>46</v>
      </c>
      <c r="E1273" s="9" t="s">
        <v>8381</v>
      </c>
      <c r="F1273" s="23">
        <v>39</v>
      </c>
      <c r="G1273" s="2" t="s">
        <v>5025</v>
      </c>
      <c r="H1273" s="2" t="s">
        <v>5026</v>
      </c>
      <c r="I1273" s="2" t="s">
        <v>5027</v>
      </c>
      <c r="J1273" s="2" t="s">
        <v>5028</v>
      </c>
      <c r="K1273" s="2"/>
      <c r="L1273" s="2" t="s">
        <v>7</v>
      </c>
    </row>
    <row r="1274" spans="1:12" ht="15.75" customHeight="1" x14ac:dyDescent="0.25">
      <c r="A1274" s="1" t="s">
        <v>2590</v>
      </c>
      <c r="B1274" s="21">
        <v>16</v>
      </c>
      <c r="C1274" s="9" t="s">
        <v>4889</v>
      </c>
      <c r="D1274" s="21">
        <v>46</v>
      </c>
      <c r="E1274" s="9" t="s">
        <v>8381</v>
      </c>
      <c r="F1274" s="23">
        <v>40</v>
      </c>
      <c r="G1274" s="2" t="s">
        <v>5029</v>
      </c>
      <c r="H1274" s="2" t="s">
        <v>5030</v>
      </c>
      <c r="I1274" s="2" t="s">
        <v>5031</v>
      </c>
      <c r="J1274" s="2" t="s">
        <v>5032</v>
      </c>
      <c r="K1274" s="2"/>
      <c r="L1274" s="2" t="s">
        <v>8</v>
      </c>
    </row>
    <row r="1275" spans="1:12" ht="15.75" customHeight="1" x14ac:dyDescent="0.25">
      <c r="A1275" s="1" t="s">
        <v>2590</v>
      </c>
      <c r="B1275" s="21">
        <v>16</v>
      </c>
      <c r="C1275" s="9" t="s">
        <v>4889</v>
      </c>
      <c r="D1275" s="21">
        <v>46</v>
      </c>
      <c r="E1275" s="9" t="s">
        <v>8381</v>
      </c>
      <c r="F1275" s="23">
        <v>41</v>
      </c>
      <c r="G1275" s="2" t="s">
        <v>5033</v>
      </c>
      <c r="H1275" s="2" t="s">
        <v>5034</v>
      </c>
      <c r="I1275" s="2" t="s">
        <v>5035</v>
      </c>
      <c r="J1275" s="2" t="s">
        <v>5036</v>
      </c>
      <c r="K1275" s="2"/>
      <c r="L1275" s="2" t="s">
        <v>8</v>
      </c>
    </row>
    <row r="1276" spans="1:12" ht="15.75" customHeight="1" x14ac:dyDescent="0.25">
      <c r="A1276" s="1" t="s">
        <v>2590</v>
      </c>
      <c r="B1276" s="21">
        <v>16</v>
      </c>
      <c r="C1276" s="9" t="s">
        <v>4889</v>
      </c>
      <c r="D1276" s="21">
        <v>46</v>
      </c>
      <c r="E1276" s="9" t="s">
        <v>8381</v>
      </c>
      <c r="F1276" s="23">
        <v>43</v>
      </c>
      <c r="G1276" s="2" t="s">
        <v>5037</v>
      </c>
      <c r="H1276" s="2" t="s">
        <v>5038</v>
      </c>
      <c r="I1276" s="2" t="s">
        <v>5039</v>
      </c>
      <c r="J1276" s="2" t="s">
        <v>5040</v>
      </c>
      <c r="K1276" s="2"/>
      <c r="L1276" s="2" t="s">
        <v>9</v>
      </c>
    </row>
    <row r="1277" spans="1:12" ht="15.75" customHeight="1" x14ac:dyDescent="0.25">
      <c r="A1277" s="1" t="s">
        <v>2590</v>
      </c>
      <c r="B1277" s="21">
        <v>16</v>
      </c>
      <c r="C1277" s="9" t="s">
        <v>4889</v>
      </c>
      <c r="D1277" s="21">
        <v>46</v>
      </c>
      <c r="E1277" s="9" t="s">
        <v>8381</v>
      </c>
      <c r="F1277" s="23">
        <v>44</v>
      </c>
      <c r="G1277" s="2" t="s">
        <v>5041</v>
      </c>
      <c r="H1277" s="2" t="s">
        <v>5042</v>
      </c>
      <c r="I1277" s="2" t="s">
        <v>5043</v>
      </c>
      <c r="J1277" s="2" t="s">
        <v>5044</v>
      </c>
      <c r="K1277" s="2"/>
      <c r="L1277" s="2" t="s">
        <v>7</v>
      </c>
    </row>
    <row r="1278" spans="1:12" ht="15.75" customHeight="1" x14ac:dyDescent="0.25">
      <c r="A1278" s="1" t="s">
        <v>2590</v>
      </c>
      <c r="B1278" s="21">
        <v>16</v>
      </c>
      <c r="C1278" s="9" t="s">
        <v>4889</v>
      </c>
      <c r="D1278" s="21">
        <v>46</v>
      </c>
      <c r="E1278" s="9" t="s">
        <v>8381</v>
      </c>
      <c r="F1278" s="23">
        <v>45</v>
      </c>
      <c r="G1278" s="2" t="s">
        <v>5045</v>
      </c>
      <c r="H1278" s="2" t="s">
        <v>5046</v>
      </c>
      <c r="I1278" s="2" t="s">
        <v>4904</v>
      </c>
      <c r="J1278" s="2" t="s">
        <v>5047</v>
      </c>
      <c r="K1278" s="2"/>
      <c r="L1278" s="2" t="s">
        <v>7</v>
      </c>
    </row>
    <row r="1279" spans="1:12" ht="15.75" customHeight="1" x14ac:dyDescent="0.25">
      <c r="A1279" s="1" t="s">
        <v>2590</v>
      </c>
      <c r="B1279" s="21">
        <v>16</v>
      </c>
      <c r="C1279" s="9" t="s">
        <v>4889</v>
      </c>
      <c r="D1279" s="21">
        <v>46</v>
      </c>
      <c r="E1279" s="9" t="s">
        <v>8381</v>
      </c>
      <c r="F1279" s="23">
        <v>46</v>
      </c>
      <c r="G1279" s="2" t="s">
        <v>5048</v>
      </c>
      <c r="H1279" s="2" t="s">
        <v>5049</v>
      </c>
      <c r="I1279" s="2" t="s">
        <v>5050</v>
      </c>
      <c r="J1279" s="2" t="s">
        <v>3066</v>
      </c>
      <c r="K1279" s="2"/>
      <c r="L1279" s="2" t="s">
        <v>9</v>
      </c>
    </row>
    <row r="1280" spans="1:12" ht="15.75" customHeight="1" x14ac:dyDescent="0.25">
      <c r="A1280" s="1" t="s">
        <v>2590</v>
      </c>
      <c r="B1280" s="21">
        <v>16</v>
      </c>
      <c r="C1280" s="9" t="s">
        <v>4889</v>
      </c>
      <c r="D1280" s="21">
        <v>46</v>
      </c>
      <c r="E1280" s="9" t="s">
        <v>8381</v>
      </c>
      <c r="F1280" s="23">
        <v>47</v>
      </c>
      <c r="G1280" s="2" t="s">
        <v>5051</v>
      </c>
      <c r="H1280" s="2" t="s">
        <v>5032</v>
      </c>
      <c r="I1280" s="2" t="s">
        <v>5052</v>
      </c>
      <c r="J1280" s="2" t="s">
        <v>5053</v>
      </c>
      <c r="K1280" s="2"/>
      <c r="L1280" s="2" t="s">
        <v>9</v>
      </c>
    </row>
    <row r="1281" spans="1:12" ht="15.75" customHeight="1" x14ac:dyDescent="0.25">
      <c r="A1281" s="1" t="s">
        <v>2590</v>
      </c>
      <c r="B1281" s="21">
        <v>16</v>
      </c>
      <c r="C1281" s="9" t="s">
        <v>4889</v>
      </c>
      <c r="D1281" s="21">
        <v>46</v>
      </c>
      <c r="E1281" s="9" t="s">
        <v>8381</v>
      </c>
      <c r="F1281" s="23">
        <v>48</v>
      </c>
      <c r="G1281" s="2" t="s">
        <v>5054</v>
      </c>
      <c r="H1281" s="2" t="s">
        <v>5055</v>
      </c>
      <c r="I1281" s="2" t="s">
        <v>5056</v>
      </c>
      <c r="J1281" s="2" t="s">
        <v>5057</v>
      </c>
      <c r="K1281" s="2"/>
      <c r="L1281" s="2" t="s">
        <v>8</v>
      </c>
    </row>
    <row r="1282" spans="1:12" ht="15.75" customHeight="1" x14ac:dyDescent="0.25">
      <c r="A1282" s="1" t="s">
        <v>2590</v>
      </c>
      <c r="B1282" s="21">
        <v>16</v>
      </c>
      <c r="C1282" s="9" t="s">
        <v>4889</v>
      </c>
      <c r="D1282" s="21">
        <v>46</v>
      </c>
      <c r="E1282" s="9" t="s">
        <v>8381</v>
      </c>
      <c r="F1282" s="23">
        <v>49</v>
      </c>
      <c r="G1282" s="2" t="s">
        <v>5058</v>
      </c>
      <c r="H1282" s="2" t="s">
        <v>5059</v>
      </c>
      <c r="I1282" s="2" t="s">
        <v>5060</v>
      </c>
      <c r="J1282" s="2" t="s">
        <v>5061</v>
      </c>
      <c r="K1282" s="2"/>
      <c r="L1282" s="2" t="s">
        <v>7</v>
      </c>
    </row>
    <row r="1283" spans="1:12" ht="15.75" customHeight="1" x14ac:dyDescent="0.25">
      <c r="A1283" s="1" t="s">
        <v>2590</v>
      </c>
      <c r="B1283" s="21">
        <v>16</v>
      </c>
      <c r="C1283" s="9" t="s">
        <v>4889</v>
      </c>
      <c r="D1283" s="21">
        <v>46</v>
      </c>
      <c r="E1283" s="9" t="s">
        <v>8381</v>
      </c>
      <c r="F1283" s="23">
        <v>50</v>
      </c>
      <c r="G1283" s="2" t="s">
        <v>5062</v>
      </c>
      <c r="H1283" s="2" t="s">
        <v>5063</v>
      </c>
      <c r="I1283" s="2" t="s">
        <v>5064</v>
      </c>
      <c r="J1283" s="2" t="s">
        <v>5065</v>
      </c>
      <c r="K1283" s="2"/>
      <c r="L1283" s="2" t="s">
        <v>8</v>
      </c>
    </row>
    <row r="1284" spans="1:12" ht="15.75" customHeight="1" x14ac:dyDescent="0.25">
      <c r="A1284" s="1" t="s">
        <v>2590</v>
      </c>
      <c r="B1284" s="21">
        <v>15</v>
      </c>
      <c r="C1284" s="9" t="s">
        <v>5066</v>
      </c>
      <c r="D1284" s="21">
        <v>47</v>
      </c>
      <c r="E1284" s="9" t="s">
        <v>8382</v>
      </c>
      <c r="F1284" s="23">
        <v>1</v>
      </c>
      <c r="G1284" s="2" t="s">
        <v>5067</v>
      </c>
      <c r="H1284" s="2" t="s">
        <v>5068</v>
      </c>
      <c r="I1284" s="2" t="s">
        <v>5069</v>
      </c>
      <c r="J1284" s="2" t="s">
        <v>5070</v>
      </c>
      <c r="K1284" s="2"/>
      <c r="L1284" s="2" t="s">
        <v>7</v>
      </c>
    </row>
    <row r="1285" spans="1:12" ht="15.75" customHeight="1" x14ac:dyDescent="0.25">
      <c r="A1285" s="1" t="s">
        <v>2590</v>
      </c>
      <c r="B1285" s="21">
        <v>15</v>
      </c>
      <c r="C1285" s="9" t="s">
        <v>5066</v>
      </c>
      <c r="D1285" s="21">
        <v>47</v>
      </c>
      <c r="E1285" s="9" t="s">
        <v>8382</v>
      </c>
      <c r="F1285" s="23">
        <v>2</v>
      </c>
      <c r="G1285" s="2" t="s">
        <v>5071</v>
      </c>
      <c r="H1285" s="2" t="s">
        <v>5072</v>
      </c>
      <c r="I1285" s="2" t="s">
        <v>5073</v>
      </c>
      <c r="J1285" s="2" t="s">
        <v>5074</v>
      </c>
      <c r="K1285" s="2"/>
      <c r="L1285" s="2" t="s">
        <v>7</v>
      </c>
    </row>
    <row r="1286" spans="1:12" ht="15.75" customHeight="1" x14ac:dyDescent="0.25">
      <c r="A1286" s="1" t="s">
        <v>2590</v>
      </c>
      <c r="B1286" s="21">
        <v>15</v>
      </c>
      <c r="C1286" s="9" t="s">
        <v>5066</v>
      </c>
      <c r="D1286" s="21">
        <v>47</v>
      </c>
      <c r="E1286" s="9" t="s">
        <v>8382</v>
      </c>
      <c r="F1286" s="23">
        <v>3</v>
      </c>
      <c r="G1286" s="2" t="s">
        <v>5075</v>
      </c>
      <c r="H1286" s="2" t="s">
        <v>5076</v>
      </c>
      <c r="I1286" s="2" t="s">
        <v>5077</v>
      </c>
      <c r="J1286" s="2" t="s">
        <v>5078</v>
      </c>
      <c r="K1286" s="2"/>
      <c r="L1286" s="2" t="s">
        <v>8</v>
      </c>
    </row>
    <row r="1287" spans="1:12" ht="15.75" customHeight="1" x14ac:dyDescent="0.25">
      <c r="A1287" s="1" t="s">
        <v>2590</v>
      </c>
      <c r="B1287" s="21">
        <v>15</v>
      </c>
      <c r="C1287" s="9" t="s">
        <v>5066</v>
      </c>
      <c r="D1287" s="21">
        <v>47</v>
      </c>
      <c r="E1287" s="9" t="s">
        <v>8382</v>
      </c>
      <c r="F1287" s="23">
        <v>4</v>
      </c>
      <c r="G1287" s="2" t="s">
        <v>5079</v>
      </c>
      <c r="H1287" s="2" t="s">
        <v>5080</v>
      </c>
      <c r="I1287" s="2" t="s">
        <v>3236</v>
      </c>
      <c r="J1287" s="2" t="s">
        <v>5081</v>
      </c>
      <c r="K1287" s="2"/>
      <c r="L1287" s="2" t="s">
        <v>8</v>
      </c>
    </row>
    <row r="1288" spans="1:12" ht="15.75" customHeight="1" x14ac:dyDescent="0.25">
      <c r="A1288" s="1" t="s">
        <v>2590</v>
      </c>
      <c r="B1288" s="21">
        <v>15</v>
      </c>
      <c r="C1288" s="9" t="s">
        <v>5066</v>
      </c>
      <c r="D1288" s="21">
        <v>47</v>
      </c>
      <c r="E1288" s="9" t="s">
        <v>8382</v>
      </c>
      <c r="F1288" s="23">
        <v>5</v>
      </c>
      <c r="G1288" s="2" t="s">
        <v>5082</v>
      </c>
      <c r="H1288" s="2" t="s">
        <v>5083</v>
      </c>
      <c r="I1288" s="2" t="s">
        <v>5084</v>
      </c>
      <c r="J1288" s="2" t="s">
        <v>5085</v>
      </c>
      <c r="K1288" s="2"/>
      <c r="L1288" s="2" t="s">
        <v>7</v>
      </c>
    </row>
    <row r="1289" spans="1:12" ht="15.75" customHeight="1" x14ac:dyDescent="0.25">
      <c r="A1289" s="1" t="s">
        <v>2590</v>
      </c>
      <c r="B1289" s="21">
        <v>15</v>
      </c>
      <c r="C1289" s="9" t="s">
        <v>5066</v>
      </c>
      <c r="D1289" s="21">
        <v>47</v>
      </c>
      <c r="E1289" s="9" t="s">
        <v>8382</v>
      </c>
      <c r="F1289" s="23">
        <v>6</v>
      </c>
      <c r="G1289" s="2" t="s">
        <v>5086</v>
      </c>
      <c r="H1289" s="2" t="s">
        <v>5087</v>
      </c>
      <c r="I1289" s="2" t="s">
        <v>5088</v>
      </c>
      <c r="J1289" s="2" t="s">
        <v>5089</v>
      </c>
      <c r="K1289" s="2"/>
      <c r="L1289" s="2" t="s">
        <v>8</v>
      </c>
    </row>
    <row r="1290" spans="1:12" ht="15.75" customHeight="1" x14ac:dyDescent="0.25">
      <c r="A1290" s="1" t="s">
        <v>2590</v>
      </c>
      <c r="B1290" s="21">
        <v>15</v>
      </c>
      <c r="C1290" s="9" t="s">
        <v>5066</v>
      </c>
      <c r="D1290" s="21">
        <v>47</v>
      </c>
      <c r="E1290" s="9" t="s">
        <v>8382</v>
      </c>
      <c r="F1290" s="23">
        <v>7</v>
      </c>
      <c r="G1290" s="2" t="s">
        <v>5090</v>
      </c>
      <c r="H1290" s="2" t="s">
        <v>5091</v>
      </c>
      <c r="I1290" s="2" t="s">
        <v>5092</v>
      </c>
      <c r="J1290" s="2" t="s">
        <v>5093</v>
      </c>
      <c r="K1290" s="2"/>
      <c r="L1290" s="2" t="s">
        <v>8</v>
      </c>
    </row>
    <row r="1291" spans="1:12" ht="15.75" customHeight="1" x14ac:dyDescent="0.25">
      <c r="A1291" s="1" t="s">
        <v>2590</v>
      </c>
      <c r="B1291" s="21">
        <v>15</v>
      </c>
      <c r="C1291" s="9" t="s">
        <v>5066</v>
      </c>
      <c r="D1291" s="21">
        <v>47</v>
      </c>
      <c r="E1291" s="9" t="s">
        <v>8382</v>
      </c>
      <c r="F1291" s="23">
        <v>8</v>
      </c>
      <c r="G1291" s="2" t="s">
        <v>5094</v>
      </c>
      <c r="H1291" s="2" t="s">
        <v>5095</v>
      </c>
      <c r="I1291" s="2" t="s">
        <v>5096</v>
      </c>
      <c r="J1291" s="2" t="s">
        <v>5097</v>
      </c>
      <c r="K1291" s="2"/>
      <c r="L1291" s="2" t="s">
        <v>9</v>
      </c>
    </row>
    <row r="1292" spans="1:12" ht="15.75" customHeight="1" x14ac:dyDescent="0.25">
      <c r="A1292" s="1" t="s">
        <v>2590</v>
      </c>
      <c r="B1292" s="21">
        <v>15</v>
      </c>
      <c r="C1292" s="9" t="s">
        <v>5066</v>
      </c>
      <c r="D1292" s="21">
        <v>47</v>
      </c>
      <c r="E1292" s="9" t="s">
        <v>8382</v>
      </c>
      <c r="F1292" s="23">
        <v>9</v>
      </c>
      <c r="G1292" s="2" t="s">
        <v>5098</v>
      </c>
      <c r="H1292" s="2" t="s">
        <v>5099</v>
      </c>
      <c r="I1292" s="2" t="s">
        <v>5100</v>
      </c>
      <c r="J1292" s="2" t="s">
        <v>5101</v>
      </c>
      <c r="K1292" s="2"/>
      <c r="L1292" s="2" t="s">
        <v>7</v>
      </c>
    </row>
    <row r="1293" spans="1:12" ht="15.75" customHeight="1" x14ac:dyDescent="0.25">
      <c r="A1293" s="1" t="s">
        <v>2590</v>
      </c>
      <c r="B1293" s="21">
        <v>15</v>
      </c>
      <c r="C1293" s="9" t="s">
        <v>5066</v>
      </c>
      <c r="D1293" s="21">
        <v>47</v>
      </c>
      <c r="E1293" s="9" t="s">
        <v>8382</v>
      </c>
      <c r="F1293" s="23">
        <v>10</v>
      </c>
      <c r="G1293" s="2" t="s">
        <v>5102</v>
      </c>
      <c r="H1293" s="2" t="s">
        <v>5103</v>
      </c>
      <c r="I1293" s="2" t="s">
        <v>5104</v>
      </c>
      <c r="J1293" s="2" t="s">
        <v>5105</v>
      </c>
      <c r="K1293" s="2"/>
      <c r="L1293" s="2" t="s">
        <v>7</v>
      </c>
    </row>
    <row r="1294" spans="1:12" ht="15.75" customHeight="1" x14ac:dyDescent="0.25">
      <c r="A1294" s="1" t="s">
        <v>2590</v>
      </c>
      <c r="B1294" s="21">
        <v>15</v>
      </c>
      <c r="C1294" s="9" t="s">
        <v>5066</v>
      </c>
      <c r="D1294" s="21">
        <v>47</v>
      </c>
      <c r="E1294" s="9" t="s">
        <v>8382</v>
      </c>
      <c r="F1294" s="23">
        <v>11</v>
      </c>
      <c r="G1294" s="2" t="s">
        <v>5106</v>
      </c>
      <c r="H1294" s="2" t="s">
        <v>5107</v>
      </c>
      <c r="I1294" s="2" t="s">
        <v>3100</v>
      </c>
      <c r="J1294" s="2" t="s">
        <v>5108</v>
      </c>
      <c r="K1294" s="2"/>
      <c r="L1294" s="2" t="s">
        <v>7</v>
      </c>
    </row>
    <row r="1295" spans="1:12" ht="15.75" customHeight="1" x14ac:dyDescent="0.25">
      <c r="A1295" s="1" t="s">
        <v>2590</v>
      </c>
      <c r="B1295" s="21">
        <v>15</v>
      </c>
      <c r="C1295" s="9" t="s">
        <v>5066</v>
      </c>
      <c r="D1295" s="21">
        <v>47</v>
      </c>
      <c r="E1295" s="9" t="s">
        <v>8382</v>
      </c>
      <c r="F1295" s="23">
        <v>12</v>
      </c>
      <c r="G1295" s="2" t="s">
        <v>5109</v>
      </c>
      <c r="H1295" s="2" t="s">
        <v>5110</v>
      </c>
      <c r="I1295" s="2" t="s">
        <v>5111</v>
      </c>
      <c r="J1295" s="2" t="s">
        <v>5112</v>
      </c>
      <c r="K1295" s="2"/>
      <c r="L1295" s="2" t="s">
        <v>9</v>
      </c>
    </row>
    <row r="1296" spans="1:12" ht="15.75" customHeight="1" x14ac:dyDescent="0.25">
      <c r="A1296" s="1" t="s">
        <v>2590</v>
      </c>
      <c r="B1296" s="21">
        <v>15</v>
      </c>
      <c r="C1296" s="9" t="s">
        <v>5066</v>
      </c>
      <c r="D1296" s="21">
        <v>47</v>
      </c>
      <c r="E1296" s="9" t="s">
        <v>8382</v>
      </c>
      <c r="F1296" s="23">
        <v>13</v>
      </c>
      <c r="G1296" s="2" t="s">
        <v>5113</v>
      </c>
      <c r="H1296" s="2" t="s">
        <v>5077</v>
      </c>
      <c r="I1296" s="2" t="s">
        <v>5076</v>
      </c>
      <c r="J1296" s="2" t="s">
        <v>5078</v>
      </c>
      <c r="K1296" s="2"/>
      <c r="L1296" s="2" t="s">
        <v>8</v>
      </c>
    </row>
    <row r="1297" spans="1:12" ht="15.75" customHeight="1" x14ac:dyDescent="0.25">
      <c r="A1297" s="1" t="s">
        <v>2590</v>
      </c>
      <c r="B1297" s="21">
        <v>15</v>
      </c>
      <c r="C1297" s="9" t="s">
        <v>5066</v>
      </c>
      <c r="D1297" s="21">
        <v>47</v>
      </c>
      <c r="E1297" s="9" t="s">
        <v>8382</v>
      </c>
      <c r="F1297" s="23">
        <v>14</v>
      </c>
      <c r="G1297" s="2" t="s">
        <v>5114</v>
      </c>
      <c r="H1297" s="2" t="s">
        <v>5115</v>
      </c>
      <c r="I1297" s="2" t="s">
        <v>5116</v>
      </c>
      <c r="J1297" s="2" t="s">
        <v>5117</v>
      </c>
      <c r="K1297" s="2"/>
      <c r="L1297" s="2" t="s">
        <v>8</v>
      </c>
    </row>
    <row r="1298" spans="1:12" ht="15.75" customHeight="1" x14ac:dyDescent="0.25">
      <c r="A1298" s="1" t="s">
        <v>2590</v>
      </c>
      <c r="B1298" s="21">
        <v>15</v>
      </c>
      <c r="C1298" s="9" t="s">
        <v>5066</v>
      </c>
      <c r="D1298" s="21">
        <v>47</v>
      </c>
      <c r="E1298" s="9" t="s">
        <v>8382</v>
      </c>
      <c r="F1298" s="23">
        <v>15</v>
      </c>
      <c r="G1298" s="2" t="s">
        <v>5118</v>
      </c>
      <c r="H1298" s="2" t="s">
        <v>5119</v>
      </c>
      <c r="I1298" s="2" t="s">
        <v>5120</v>
      </c>
      <c r="J1298" s="2" t="s">
        <v>5121</v>
      </c>
      <c r="K1298" s="2"/>
      <c r="L1298" s="2" t="s">
        <v>9</v>
      </c>
    </row>
    <row r="1299" spans="1:12" ht="15.75" customHeight="1" x14ac:dyDescent="0.25">
      <c r="A1299" s="1" t="s">
        <v>2590</v>
      </c>
      <c r="B1299" s="21">
        <v>15</v>
      </c>
      <c r="C1299" s="9" t="s">
        <v>5066</v>
      </c>
      <c r="D1299" s="21">
        <v>47</v>
      </c>
      <c r="E1299" s="9" t="s">
        <v>8382</v>
      </c>
      <c r="F1299" s="23">
        <v>16</v>
      </c>
      <c r="G1299" s="2" t="s">
        <v>5122</v>
      </c>
      <c r="H1299" s="2" t="s">
        <v>5123</v>
      </c>
      <c r="I1299" s="2" t="s">
        <v>5124</v>
      </c>
      <c r="J1299" s="2" t="s">
        <v>5125</v>
      </c>
      <c r="K1299" s="2"/>
      <c r="L1299" s="2" t="s">
        <v>8</v>
      </c>
    </row>
    <row r="1300" spans="1:12" ht="15.75" customHeight="1" x14ac:dyDescent="0.25">
      <c r="A1300" s="1" t="s">
        <v>2590</v>
      </c>
      <c r="B1300" s="21">
        <v>15</v>
      </c>
      <c r="C1300" s="9" t="s">
        <v>5066</v>
      </c>
      <c r="D1300" s="21">
        <v>47</v>
      </c>
      <c r="E1300" s="9" t="s">
        <v>8382</v>
      </c>
      <c r="F1300" s="23">
        <v>17</v>
      </c>
      <c r="G1300" s="2" t="s">
        <v>5126</v>
      </c>
      <c r="H1300" s="2" t="s">
        <v>5127</v>
      </c>
      <c r="I1300" s="2" t="s">
        <v>5128</v>
      </c>
      <c r="J1300" s="2" t="s">
        <v>5129</v>
      </c>
      <c r="K1300" s="2"/>
      <c r="L1300" s="2" t="s">
        <v>7</v>
      </c>
    </row>
    <row r="1301" spans="1:12" ht="15.75" customHeight="1" x14ac:dyDescent="0.25">
      <c r="A1301" s="1" t="s">
        <v>2590</v>
      </c>
      <c r="B1301" s="21">
        <v>15</v>
      </c>
      <c r="C1301" s="9" t="s">
        <v>5066</v>
      </c>
      <c r="D1301" s="21">
        <v>47</v>
      </c>
      <c r="E1301" s="9" t="s">
        <v>8382</v>
      </c>
      <c r="F1301" s="23">
        <v>18</v>
      </c>
      <c r="G1301" s="2" t="s">
        <v>5130</v>
      </c>
      <c r="H1301" s="2" t="s">
        <v>5131</v>
      </c>
      <c r="I1301" s="2" t="s">
        <v>5132</v>
      </c>
      <c r="J1301" s="2" t="s">
        <v>5133</v>
      </c>
      <c r="K1301" s="2"/>
      <c r="L1301" s="2" t="s">
        <v>7</v>
      </c>
    </row>
    <row r="1302" spans="1:12" ht="15.75" customHeight="1" x14ac:dyDescent="0.25">
      <c r="A1302" s="1" t="s">
        <v>2590</v>
      </c>
      <c r="B1302" s="21">
        <v>15</v>
      </c>
      <c r="C1302" s="9" t="s">
        <v>5066</v>
      </c>
      <c r="D1302" s="21">
        <v>47</v>
      </c>
      <c r="E1302" s="9" t="s">
        <v>8382</v>
      </c>
      <c r="F1302" s="23">
        <v>19</v>
      </c>
      <c r="G1302" s="2" t="s">
        <v>5134</v>
      </c>
      <c r="H1302" s="2" t="s">
        <v>5135</v>
      </c>
      <c r="I1302" s="2" t="s">
        <v>5136</v>
      </c>
      <c r="J1302" s="2" t="s">
        <v>5137</v>
      </c>
      <c r="K1302" s="2"/>
      <c r="L1302" s="2" t="s">
        <v>8</v>
      </c>
    </row>
    <row r="1303" spans="1:12" ht="15.75" customHeight="1" x14ac:dyDescent="0.25">
      <c r="A1303" s="1" t="s">
        <v>2590</v>
      </c>
      <c r="B1303" s="21">
        <v>15</v>
      </c>
      <c r="C1303" s="9" t="s">
        <v>5066</v>
      </c>
      <c r="D1303" s="21">
        <v>47</v>
      </c>
      <c r="E1303" s="9" t="s">
        <v>8382</v>
      </c>
      <c r="F1303" s="23">
        <v>20</v>
      </c>
      <c r="G1303" s="2" t="s">
        <v>5138</v>
      </c>
      <c r="H1303" s="2" t="s">
        <v>5139</v>
      </c>
      <c r="I1303" s="2" t="s">
        <v>5140</v>
      </c>
      <c r="J1303" s="2" t="s">
        <v>5141</v>
      </c>
      <c r="K1303" s="2"/>
      <c r="L1303" s="2" t="s">
        <v>7</v>
      </c>
    </row>
    <row r="1304" spans="1:12" ht="15.75" customHeight="1" x14ac:dyDescent="0.25">
      <c r="A1304" s="1" t="s">
        <v>2590</v>
      </c>
      <c r="B1304" s="21">
        <v>15</v>
      </c>
      <c r="C1304" s="9" t="s">
        <v>5066</v>
      </c>
      <c r="D1304" s="21">
        <v>47</v>
      </c>
      <c r="E1304" s="9" t="s">
        <v>8382</v>
      </c>
      <c r="F1304" s="23">
        <v>21</v>
      </c>
      <c r="G1304" s="2" t="s">
        <v>5142</v>
      </c>
      <c r="H1304" s="2" t="s">
        <v>5143</v>
      </c>
      <c r="I1304" s="2" t="s">
        <v>5144</v>
      </c>
      <c r="J1304" s="2" t="s">
        <v>5145</v>
      </c>
      <c r="K1304" s="2"/>
      <c r="L1304" s="2" t="s">
        <v>9</v>
      </c>
    </row>
    <row r="1305" spans="1:12" ht="15.75" customHeight="1" x14ac:dyDescent="0.25">
      <c r="A1305" s="1" t="s">
        <v>2590</v>
      </c>
      <c r="B1305" s="21">
        <v>15</v>
      </c>
      <c r="C1305" s="9" t="s">
        <v>5066</v>
      </c>
      <c r="D1305" s="21">
        <v>47</v>
      </c>
      <c r="E1305" s="9" t="s">
        <v>8382</v>
      </c>
      <c r="F1305" s="23">
        <v>22</v>
      </c>
      <c r="G1305" s="2" t="s">
        <v>5146</v>
      </c>
      <c r="H1305" s="2" t="s">
        <v>5147</v>
      </c>
      <c r="I1305" s="2" t="s">
        <v>5148</v>
      </c>
      <c r="J1305" s="2" t="s">
        <v>5149</v>
      </c>
      <c r="K1305" s="2"/>
      <c r="L1305" s="2" t="s">
        <v>8</v>
      </c>
    </row>
    <row r="1306" spans="1:12" ht="15.75" customHeight="1" x14ac:dyDescent="0.25">
      <c r="A1306" s="1" t="s">
        <v>2590</v>
      </c>
      <c r="B1306" s="21">
        <v>15</v>
      </c>
      <c r="C1306" s="9" t="s">
        <v>5066</v>
      </c>
      <c r="D1306" s="21">
        <v>47</v>
      </c>
      <c r="E1306" s="9" t="s">
        <v>8382</v>
      </c>
      <c r="F1306" s="23">
        <v>23</v>
      </c>
      <c r="G1306" s="2" t="s">
        <v>5150</v>
      </c>
      <c r="H1306" s="2" t="s">
        <v>5151</v>
      </c>
      <c r="I1306" s="2" t="s">
        <v>5152</v>
      </c>
      <c r="J1306" s="2" t="s">
        <v>5153</v>
      </c>
      <c r="K1306" s="2"/>
      <c r="L1306" s="2" t="s">
        <v>8</v>
      </c>
    </row>
    <row r="1307" spans="1:12" ht="15.75" customHeight="1" x14ac:dyDescent="0.25">
      <c r="A1307" s="1" t="s">
        <v>2590</v>
      </c>
      <c r="B1307" s="21">
        <v>15</v>
      </c>
      <c r="C1307" s="9" t="s">
        <v>5066</v>
      </c>
      <c r="D1307" s="21">
        <v>47</v>
      </c>
      <c r="E1307" s="9" t="s">
        <v>8382</v>
      </c>
      <c r="F1307" s="23">
        <v>24</v>
      </c>
      <c r="G1307" s="2" t="s">
        <v>5154</v>
      </c>
      <c r="H1307" s="2" t="s">
        <v>5155</v>
      </c>
      <c r="I1307" s="2" t="s">
        <v>5156</v>
      </c>
      <c r="J1307" s="2" t="s">
        <v>5157</v>
      </c>
      <c r="K1307" s="2"/>
      <c r="L1307" s="2" t="s">
        <v>9</v>
      </c>
    </row>
    <row r="1308" spans="1:12" ht="15.75" customHeight="1" x14ac:dyDescent="0.25">
      <c r="A1308" s="1" t="s">
        <v>2590</v>
      </c>
      <c r="B1308" s="21">
        <v>15</v>
      </c>
      <c r="C1308" s="9" t="s">
        <v>5066</v>
      </c>
      <c r="D1308" s="21">
        <v>47</v>
      </c>
      <c r="E1308" s="9" t="s">
        <v>8382</v>
      </c>
      <c r="F1308" s="23">
        <v>25</v>
      </c>
      <c r="G1308" s="2" t="s">
        <v>5158</v>
      </c>
      <c r="H1308" s="2" t="s">
        <v>5159</v>
      </c>
      <c r="I1308" s="2" t="s">
        <v>9828</v>
      </c>
      <c r="J1308" s="2" t="s">
        <v>9829</v>
      </c>
      <c r="K1308" s="2"/>
      <c r="L1308" s="2" t="s">
        <v>8</v>
      </c>
    </row>
    <row r="1309" spans="1:12" ht="15.75" customHeight="1" x14ac:dyDescent="0.25">
      <c r="A1309" s="1" t="s">
        <v>2590</v>
      </c>
      <c r="B1309" s="21">
        <v>15</v>
      </c>
      <c r="C1309" s="9" t="s">
        <v>5066</v>
      </c>
      <c r="D1309" s="21">
        <v>47</v>
      </c>
      <c r="E1309" s="9" t="s">
        <v>8382</v>
      </c>
      <c r="F1309" s="23">
        <v>26</v>
      </c>
      <c r="G1309" s="2" t="s">
        <v>5160</v>
      </c>
      <c r="H1309" s="2" t="s">
        <v>5161</v>
      </c>
      <c r="I1309" s="2" t="s">
        <v>5162</v>
      </c>
      <c r="J1309" s="2" t="s">
        <v>5163</v>
      </c>
      <c r="K1309" s="2"/>
      <c r="L1309" s="2" t="s">
        <v>7</v>
      </c>
    </row>
    <row r="1310" spans="1:12" ht="15.75" customHeight="1" x14ac:dyDescent="0.25">
      <c r="A1310" s="1" t="s">
        <v>2590</v>
      </c>
      <c r="B1310" s="21">
        <v>15</v>
      </c>
      <c r="C1310" s="9" t="s">
        <v>5066</v>
      </c>
      <c r="D1310" s="21">
        <v>47</v>
      </c>
      <c r="E1310" s="9" t="s">
        <v>8382</v>
      </c>
      <c r="F1310" s="23">
        <v>27</v>
      </c>
      <c r="G1310" s="2" t="s">
        <v>5164</v>
      </c>
      <c r="H1310" s="2" t="s">
        <v>5165</v>
      </c>
      <c r="I1310" s="2" t="s">
        <v>5166</v>
      </c>
      <c r="J1310" s="2" t="s">
        <v>5167</v>
      </c>
      <c r="K1310" s="2"/>
      <c r="L1310" s="2" t="s">
        <v>8</v>
      </c>
    </row>
    <row r="1311" spans="1:12" ht="15.75" customHeight="1" x14ac:dyDescent="0.25">
      <c r="A1311" s="1" t="s">
        <v>2590</v>
      </c>
      <c r="B1311" s="21">
        <v>15</v>
      </c>
      <c r="C1311" s="9" t="s">
        <v>5066</v>
      </c>
      <c r="D1311" s="21">
        <v>47</v>
      </c>
      <c r="E1311" s="9" t="s">
        <v>8382</v>
      </c>
      <c r="F1311" s="23">
        <v>28</v>
      </c>
      <c r="G1311" s="2" t="s">
        <v>5168</v>
      </c>
      <c r="H1311" s="2" t="s">
        <v>5169</v>
      </c>
      <c r="I1311" s="2" t="s">
        <v>5170</v>
      </c>
      <c r="J1311" s="2" t="s">
        <v>5171</v>
      </c>
      <c r="K1311" s="2"/>
      <c r="L1311" s="2" t="s">
        <v>7</v>
      </c>
    </row>
    <row r="1312" spans="1:12" ht="15.75" customHeight="1" x14ac:dyDescent="0.25">
      <c r="A1312" s="1" t="s">
        <v>2590</v>
      </c>
      <c r="B1312" s="21">
        <v>15</v>
      </c>
      <c r="C1312" s="9" t="s">
        <v>5066</v>
      </c>
      <c r="D1312" s="21">
        <v>47</v>
      </c>
      <c r="E1312" s="9" t="s">
        <v>8382</v>
      </c>
      <c r="F1312" s="23">
        <v>29</v>
      </c>
      <c r="G1312" s="2" t="s">
        <v>5172</v>
      </c>
      <c r="H1312" s="2" t="s">
        <v>5173</v>
      </c>
      <c r="I1312" s="2" t="s">
        <v>5174</v>
      </c>
      <c r="J1312" s="2" t="s">
        <v>5175</v>
      </c>
      <c r="K1312" s="2"/>
      <c r="L1312" s="2" t="s">
        <v>7</v>
      </c>
    </row>
    <row r="1313" spans="1:12" ht="15.75" customHeight="1" x14ac:dyDescent="0.25">
      <c r="A1313" s="1" t="s">
        <v>2590</v>
      </c>
      <c r="B1313" s="21">
        <v>15</v>
      </c>
      <c r="C1313" s="9" t="s">
        <v>5066</v>
      </c>
      <c r="D1313" s="21">
        <v>47</v>
      </c>
      <c r="E1313" s="9" t="s">
        <v>8382</v>
      </c>
      <c r="F1313" s="23">
        <v>30</v>
      </c>
      <c r="G1313" s="2" t="s">
        <v>5176</v>
      </c>
      <c r="H1313" s="2" t="s">
        <v>5177</v>
      </c>
      <c r="I1313" s="2" t="s">
        <v>5178</v>
      </c>
      <c r="J1313" s="2" t="s">
        <v>5179</v>
      </c>
      <c r="K1313" s="2"/>
      <c r="L1313" s="2" t="s">
        <v>9</v>
      </c>
    </row>
    <row r="1314" spans="1:12" ht="15.75" customHeight="1" x14ac:dyDescent="0.25">
      <c r="A1314" s="1" t="s">
        <v>2590</v>
      </c>
      <c r="B1314" s="21">
        <v>15</v>
      </c>
      <c r="C1314" s="9" t="s">
        <v>5066</v>
      </c>
      <c r="D1314" s="21">
        <v>47</v>
      </c>
      <c r="E1314" s="9" t="s">
        <v>8382</v>
      </c>
      <c r="F1314" s="23">
        <v>31</v>
      </c>
      <c r="G1314" s="2" t="s">
        <v>5180</v>
      </c>
      <c r="H1314" s="2" t="s">
        <v>5181</v>
      </c>
      <c r="I1314" s="2" t="s">
        <v>5182</v>
      </c>
      <c r="J1314" s="2" t="s">
        <v>5183</v>
      </c>
      <c r="K1314" s="2"/>
      <c r="L1314" s="2" t="s">
        <v>9</v>
      </c>
    </row>
    <row r="1315" spans="1:12" ht="15.75" customHeight="1" x14ac:dyDescent="0.25">
      <c r="A1315" s="1" t="s">
        <v>2590</v>
      </c>
      <c r="B1315" s="21">
        <v>15</v>
      </c>
      <c r="C1315" s="9" t="s">
        <v>5066</v>
      </c>
      <c r="D1315" s="21">
        <v>47</v>
      </c>
      <c r="E1315" s="9" t="s">
        <v>8382</v>
      </c>
      <c r="F1315" s="23">
        <v>32</v>
      </c>
      <c r="G1315" s="2" t="s">
        <v>5184</v>
      </c>
      <c r="H1315" s="2" t="s">
        <v>5185</v>
      </c>
      <c r="I1315" s="2" t="s">
        <v>5186</v>
      </c>
      <c r="J1315" s="2" t="s">
        <v>5187</v>
      </c>
      <c r="K1315" s="2"/>
      <c r="L1315" s="2" t="s">
        <v>7</v>
      </c>
    </row>
    <row r="1316" spans="1:12" ht="15.75" customHeight="1" x14ac:dyDescent="0.25">
      <c r="A1316" s="1" t="s">
        <v>2590</v>
      </c>
      <c r="B1316" s="21">
        <v>15</v>
      </c>
      <c r="C1316" s="9" t="s">
        <v>5066</v>
      </c>
      <c r="D1316" s="21">
        <v>47</v>
      </c>
      <c r="E1316" s="9" t="s">
        <v>8382</v>
      </c>
      <c r="F1316" s="23">
        <v>33</v>
      </c>
      <c r="G1316" s="2" t="s">
        <v>5188</v>
      </c>
      <c r="H1316" s="2" t="s">
        <v>5189</v>
      </c>
      <c r="I1316" s="2" t="s">
        <v>5190</v>
      </c>
      <c r="J1316" s="2" t="s">
        <v>5191</v>
      </c>
      <c r="K1316" s="2"/>
      <c r="L1316" s="2" t="s">
        <v>9</v>
      </c>
    </row>
    <row r="1317" spans="1:12" ht="15.75" customHeight="1" x14ac:dyDescent="0.25">
      <c r="A1317" s="1" t="s">
        <v>2590</v>
      </c>
      <c r="B1317" s="21">
        <v>15</v>
      </c>
      <c r="C1317" s="9" t="s">
        <v>5066</v>
      </c>
      <c r="D1317" s="21">
        <v>47</v>
      </c>
      <c r="E1317" s="9" t="s">
        <v>8382</v>
      </c>
      <c r="F1317" s="23">
        <v>34</v>
      </c>
      <c r="G1317" s="2" t="s">
        <v>5192</v>
      </c>
      <c r="H1317" s="2" t="s">
        <v>5193</v>
      </c>
      <c r="I1317" s="2" t="s">
        <v>3237</v>
      </c>
      <c r="J1317" s="2" t="s">
        <v>5194</v>
      </c>
      <c r="K1317" s="2"/>
      <c r="L1317" s="2" t="s">
        <v>8</v>
      </c>
    </row>
    <row r="1318" spans="1:12" ht="15.75" customHeight="1" x14ac:dyDescent="0.25">
      <c r="A1318" s="1" t="s">
        <v>2590</v>
      </c>
      <c r="B1318" s="21">
        <v>15</v>
      </c>
      <c r="C1318" s="9" t="s">
        <v>5066</v>
      </c>
      <c r="D1318" s="21">
        <v>47</v>
      </c>
      <c r="E1318" s="9" t="s">
        <v>8382</v>
      </c>
      <c r="F1318" s="23">
        <v>35</v>
      </c>
      <c r="G1318" s="2" t="s">
        <v>5195</v>
      </c>
      <c r="H1318" s="2" t="s">
        <v>5196</v>
      </c>
      <c r="I1318" s="2" t="s">
        <v>5197</v>
      </c>
      <c r="J1318" s="2" t="s">
        <v>5198</v>
      </c>
      <c r="K1318" s="2"/>
      <c r="L1318" s="2" t="s">
        <v>8</v>
      </c>
    </row>
    <row r="1319" spans="1:12" ht="15.75" customHeight="1" x14ac:dyDescent="0.25">
      <c r="A1319" s="1" t="s">
        <v>2590</v>
      </c>
      <c r="B1319" s="21">
        <v>15</v>
      </c>
      <c r="C1319" s="9" t="s">
        <v>5066</v>
      </c>
      <c r="D1319" s="21">
        <v>47</v>
      </c>
      <c r="E1319" s="9" t="s">
        <v>8382</v>
      </c>
      <c r="F1319" s="23">
        <v>36</v>
      </c>
      <c r="G1319" s="2" t="s">
        <v>5199</v>
      </c>
      <c r="H1319" s="2" t="s">
        <v>5200</v>
      </c>
      <c r="I1319" s="2" t="s">
        <v>5201</v>
      </c>
      <c r="J1319" s="2" t="s">
        <v>5202</v>
      </c>
      <c r="K1319" s="2"/>
      <c r="L1319" s="2" t="s">
        <v>8</v>
      </c>
    </row>
    <row r="1320" spans="1:12" ht="15.75" customHeight="1" x14ac:dyDescent="0.25">
      <c r="A1320" s="1" t="s">
        <v>2590</v>
      </c>
      <c r="B1320" s="21">
        <v>15</v>
      </c>
      <c r="C1320" s="9" t="s">
        <v>5066</v>
      </c>
      <c r="D1320" s="21">
        <v>47</v>
      </c>
      <c r="E1320" s="9" t="s">
        <v>8382</v>
      </c>
      <c r="F1320" s="23">
        <v>37</v>
      </c>
      <c r="G1320" s="2" t="s">
        <v>5203</v>
      </c>
      <c r="H1320" s="2" t="s">
        <v>5204</v>
      </c>
      <c r="I1320" s="2" t="s">
        <v>5205</v>
      </c>
      <c r="J1320" s="2" t="s">
        <v>5206</v>
      </c>
      <c r="K1320" s="2"/>
      <c r="L1320" s="2" t="s">
        <v>8</v>
      </c>
    </row>
    <row r="1321" spans="1:12" ht="15.75" customHeight="1" x14ac:dyDescent="0.25">
      <c r="A1321" s="1" t="s">
        <v>2590</v>
      </c>
      <c r="B1321" s="21">
        <v>15</v>
      </c>
      <c r="C1321" s="9" t="s">
        <v>5066</v>
      </c>
      <c r="D1321" s="21">
        <v>47</v>
      </c>
      <c r="E1321" s="9" t="s">
        <v>8382</v>
      </c>
      <c r="F1321" s="23">
        <v>38</v>
      </c>
      <c r="G1321" s="2" t="s">
        <v>5207</v>
      </c>
      <c r="H1321" s="2" t="s">
        <v>5208</v>
      </c>
      <c r="I1321" s="2" t="s">
        <v>5209</v>
      </c>
      <c r="J1321" s="2" t="s">
        <v>5210</v>
      </c>
      <c r="K1321" s="2"/>
      <c r="L1321" s="2" t="s">
        <v>8</v>
      </c>
    </row>
    <row r="1322" spans="1:12" ht="15.75" customHeight="1" x14ac:dyDescent="0.25">
      <c r="A1322" s="1" t="s">
        <v>2590</v>
      </c>
      <c r="B1322" s="21">
        <v>15</v>
      </c>
      <c r="C1322" s="9" t="s">
        <v>5066</v>
      </c>
      <c r="D1322" s="21">
        <v>47</v>
      </c>
      <c r="E1322" s="9" t="s">
        <v>8382</v>
      </c>
      <c r="F1322" s="23">
        <v>39</v>
      </c>
      <c r="G1322" s="2" t="s">
        <v>5211</v>
      </c>
      <c r="H1322" s="2" t="s">
        <v>5212</v>
      </c>
      <c r="I1322" s="2" t="s">
        <v>5213</v>
      </c>
      <c r="J1322" s="2" t="s">
        <v>3066</v>
      </c>
      <c r="K1322" s="2"/>
      <c r="L1322" s="2" t="s">
        <v>7</v>
      </c>
    </row>
    <row r="1323" spans="1:12" ht="15.75" customHeight="1" x14ac:dyDescent="0.25">
      <c r="A1323" s="1" t="s">
        <v>2590</v>
      </c>
      <c r="B1323" s="21">
        <v>15</v>
      </c>
      <c r="C1323" s="9" t="s">
        <v>5066</v>
      </c>
      <c r="D1323" s="21">
        <v>47</v>
      </c>
      <c r="E1323" s="9" t="s">
        <v>8382</v>
      </c>
      <c r="F1323" s="23">
        <v>40</v>
      </c>
      <c r="G1323" s="2" t="s">
        <v>5214</v>
      </c>
      <c r="H1323" s="2" t="s">
        <v>5215</v>
      </c>
      <c r="I1323" s="2" t="s">
        <v>5216</v>
      </c>
      <c r="J1323" s="2" t="s">
        <v>5217</v>
      </c>
      <c r="K1323" s="2"/>
      <c r="L1323" s="2" t="s">
        <v>8</v>
      </c>
    </row>
    <row r="1324" spans="1:12" ht="15.75" customHeight="1" x14ac:dyDescent="0.25">
      <c r="A1324" s="1" t="s">
        <v>2590</v>
      </c>
      <c r="B1324" s="21">
        <v>15</v>
      </c>
      <c r="C1324" s="9" t="s">
        <v>5066</v>
      </c>
      <c r="D1324" s="21">
        <v>47</v>
      </c>
      <c r="E1324" s="9" t="s">
        <v>8382</v>
      </c>
      <c r="F1324" s="23">
        <v>41</v>
      </c>
      <c r="G1324" s="2" t="s">
        <v>5218</v>
      </c>
      <c r="H1324" s="2" t="s">
        <v>5219</v>
      </c>
      <c r="I1324" s="2" t="s">
        <v>5220</v>
      </c>
      <c r="J1324" s="2" t="s">
        <v>5221</v>
      </c>
      <c r="K1324" s="2"/>
      <c r="L1324" s="2" t="s">
        <v>7</v>
      </c>
    </row>
    <row r="1325" spans="1:12" ht="15.75" customHeight="1" x14ac:dyDescent="0.25">
      <c r="A1325" s="1" t="s">
        <v>2590</v>
      </c>
      <c r="B1325" s="21">
        <v>15</v>
      </c>
      <c r="C1325" s="9" t="s">
        <v>5066</v>
      </c>
      <c r="D1325" s="21">
        <v>47</v>
      </c>
      <c r="E1325" s="9" t="s">
        <v>8382</v>
      </c>
      <c r="F1325" s="23">
        <v>42</v>
      </c>
      <c r="G1325" s="2" t="s">
        <v>5222</v>
      </c>
      <c r="H1325" s="2" t="s">
        <v>5223</v>
      </c>
      <c r="I1325" s="2" t="s">
        <v>5224</v>
      </c>
      <c r="J1325" s="2" t="s">
        <v>5225</v>
      </c>
      <c r="K1325" s="2"/>
      <c r="L1325" s="2" t="s">
        <v>7</v>
      </c>
    </row>
    <row r="1326" spans="1:12" ht="15.75" customHeight="1" x14ac:dyDescent="0.25">
      <c r="A1326" s="1" t="s">
        <v>2590</v>
      </c>
      <c r="B1326" s="21">
        <v>15</v>
      </c>
      <c r="C1326" s="9" t="s">
        <v>5066</v>
      </c>
      <c r="D1326" s="21">
        <v>47</v>
      </c>
      <c r="E1326" s="9" t="s">
        <v>8382</v>
      </c>
      <c r="F1326" s="23">
        <v>43</v>
      </c>
      <c r="G1326" s="2" t="s">
        <v>5226</v>
      </c>
      <c r="H1326" s="2" t="s">
        <v>5227</v>
      </c>
      <c r="I1326" s="2" t="s">
        <v>5228</v>
      </c>
      <c r="J1326" s="2" t="s">
        <v>5229</v>
      </c>
      <c r="K1326" s="2"/>
      <c r="L1326" s="2" t="s">
        <v>9</v>
      </c>
    </row>
    <row r="1327" spans="1:12" ht="15.75" customHeight="1" x14ac:dyDescent="0.25">
      <c r="A1327" s="1" t="s">
        <v>2590</v>
      </c>
      <c r="B1327" s="21">
        <v>15</v>
      </c>
      <c r="C1327" s="9" t="s">
        <v>5066</v>
      </c>
      <c r="D1327" s="21">
        <v>47</v>
      </c>
      <c r="E1327" s="9" t="s">
        <v>8382</v>
      </c>
      <c r="F1327" s="23">
        <v>44</v>
      </c>
      <c r="G1327" s="2" t="s">
        <v>5230</v>
      </c>
      <c r="H1327" s="2" t="s">
        <v>5231</v>
      </c>
      <c r="I1327" s="2" t="s">
        <v>5232</v>
      </c>
      <c r="J1327" s="2" t="s">
        <v>5233</v>
      </c>
      <c r="K1327" s="2"/>
      <c r="L1327" s="2" t="s">
        <v>9</v>
      </c>
    </row>
    <row r="1328" spans="1:12" ht="15.75" customHeight="1" x14ac:dyDescent="0.25">
      <c r="A1328" s="1" t="s">
        <v>2590</v>
      </c>
      <c r="B1328" s="21">
        <v>15</v>
      </c>
      <c r="C1328" s="9" t="s">
        <v>5066</v>
      </c>
      <c r="D1328" s="21">
        <v>47</v>
      </c>
      <c r="E1328" s="9" t="s">
        <v>8382</v>
      </c>
      <c r="F1328" s="23">
        <v>45</v>
      </c>
      <c r="G1328" s="2" t="s">
        <v>5234</v>
      </c>
      <c r="H1328" s="2" t="s">
        <v>5235</v>
      </c>
      <c r="I1328" s="2" t="s">
        <v>5236</v>
      </c>
      <c r="J1328" s="2" t="s">
        <v>5237</v>
      </c>
      <c r="K1328" s="2"/>
      <c r="L1328" s="2" t="s">
        <v>8</v>
      </c>
    </row>
    <row r="1329" spans="1:12" ht="15.75" customHeight="1" x14ac:dyDescent="0.25">
      <c r="A1329" s="1" t="s">
        <v>2590</v>
      </c>
      <c r="B1329" s="21">
        <v>15</v>
      </c>
      <c r="C1329" s="9" t="s">
        <v>5066</v>
      </c>
      <c r="D1329" s="21">
        <v>47</v>
      </c>
      <c r="E1329" s="9" t="s">
        <v>8382</v>
      </c>
      <c r="F1329" s="23">
        <v>46</v>
      </c>
      <c r="G1329" s="2" t="s">
        <v>5238</v>
      </c>
      <c r="H1329" s="2" t="s">
        <v>5095</v>
      </c>
      <c r="I1329" s="2" t="s">
        <v>5096</v>
      </c>
      <c r="J1329" s="2" t="s">
        <v>5097</v>
      </c>
      <c r="K1329" s="2"/>
      <c r="L1329" s="2" t="s">
        <v>8</v>
      </c>
    </row>
    <row r="1330" spans="1:12" ht="15.75" customHeight="1" x14ac:dyDescent="0.25">
      <c r="A1330" s="1" t="s">
        <v>2590</v>
      </c>
      <c r="B1330" s="21">
        <v>15</v>
      </c>
      <c r="C1330" s="9" t="s">
        <v>5066</v>
      </c>
      <c r="D1330" s="21">
        <v>47</v>
      </c>
      <c r="E1330" s="9" t="s">
        <v>8382</v>
      </c>
      <c r="F1330" s="23">
        <v>47</v>
      </c>
      <c r="G1330" s="2" t="s">
        <v>5239</v>
      </c>
      <c r="H1330" s="2" t="s">
        <v>5240</v>
      </c>
      <c r="I1330" s="2" t="s">
        <v>5241</v>
      </c>
      <c r="J1330" s="2" t="s">
        <v>5242</v>
      </c>
      <c r="K1330" s="2"/>
      <c r="L1330" s="2" t="s">
        <v>8</v>
      </c>
    </row>
    <row r="1331" spans="1:12" ht="15.75" customHeight="1" x14ac:dyDescent="0.25">
      <c r="A1331" s="1" t="s">
        <v>2590</v>
      </c>
      <c r="B1331" s="21">
        <v>15</v>
      </c>
      <c r="C1331" s="9" t="s">
        <v>5066</v>
      </c>
      <c r="D1331" s="21">
        <v>47</v>
      </c>
      <c r="E1331" s="9" t="s">
        <v>8382</v>
      </c>
      <c r="F1331" s="23">
        <v>48</v>
      </c>
      <c r="G1331" s="2" t="s">
        <v>5243</v>
      </c>
      <c r="H1331" s="2" t="s">
        <v>5244</v>
      </c>
      <c r="I1331" s="2" t="s">
        <v>5245</v>
      </c>
      <c r="J1331" s="2" t="s">
        <v>5246</v>
      </c>
      <c r="K1331" s="2"/>
      <c r="L1331" s="2" t="s">
        <v>9</v>
      </c>
    </row>
    <row r="1332" spans="1:12" ht="15.75" customHeight="1" x14ac:dyDescent="0.25">
      <c r="A1332" s="1" t="s">
        <v>2590</v>
      </c>
      <c r="B1332" s="21">
        <v>15</v>
      </c>
      <c r="C1332" s="9" t="s">
        <v>5066</v>
      </c>
      <c r="D1332" s="21">
        <v>47</v>
      </c>
      <c r="E1332" s="9" t="s">
        <v>8382</v>
      </c>
      <c r="F1332" s="23">
        <v>49</v>
      </c>
      <c r="G1332" s="2" t="s">
        <v>5247</v>
      </c>
      <c r="H1332" s="2" t="s">
        <v>5248</v>
      </c>
      <c r="I1332" s="2" t="s">
        <v>5249</v>
      </c>
      <c r="J1332" s="2" t="s">
        <v>5250</v>
      </c>
      <c r="K1332" s="2"/>
      <c r="L1332" s="2" t="s">
        <v>9</v>
      </c>
    </row>
    <row r="1333" spans="1:12" ht="15.75" customHeight="1" x14ac:dyDescent="0.25">
      <c r="A1333" s="1" t="s">
        <v>2590</v>
      </c>
      <c r="B1333" s="21">
        <v>15</v>
      </c>
      <c r="C1333" s="9" t="s">
        <v>5066</v>
      </c>
      <c r="D1333" s="21">
        <v>47</v>
      </c>
      <c r="E1333" s="9" t="s">
        <v>8382</v>
      </c>
      <c r="F1333" s="23">
        <v>50</v>
      </c>
      <c r="G1333" s="2" t="s">
        <v>5251</v>
      </c>
      <c r="H1333" s="2" t="s">
        <v>5252</v>
      </c>
      <c r="I1333" s="2" t="s">
        <v>5253</v>
      </c>
      <c r="J1333" s="2" t="s">
        <v>5254</v>
      </c>
      <c r="K1333" s="2"/>
      <c r="L1333" s="2" t="s">
        <v>9</v>
      </c>
    </row>
    <row r="1334" spans="1:12" ht="15.75" customHeight="1" x14ac:dyDescent="0.25">
      <c r="A1334" s="1" t="s">
        <v>2590</v>
      </c>
      <c r="B1334" s="21">
        <v>17</v>
      </c>
      <c r="C1334" s="1" t="s">
        <v>5255</v>
      </c>
      <c r="D1334" s="21">
        <v>48</v>
      </c>
      <c r="E1334" s="1" t="s">
        <v>5256</v>
      </c>
      <c r="F1334" s="23">
        <v>1</v>
      </c>
      <c r="G1334" s="2" t="s">
        <v>5257</v>
      </c>
      <c r="H1334" s="2" t="s">
        <v>5258</v>
      </c>
      <c r="I1334" s="2" t="s">
        <v>5259</v>
      </c>
      <c r="J1334" s="2" t="s">
        <v>5260</v>
      </c>
      <c r="K1334" s="2"/>
      <c r="L1334" s="2" t="s">
        <v>9</v>
      </c>
    </row>
    <row r="1335" spans="1:12" ht="15.75" customHeight="1" x14ac:dyDescent="0.25">
      <c r="A1335" s="1" t="s">
        <v>2590</v>
      </c>
      <c r="B1335" s="21">
        <v>17</v>
      </c>
      <c r="C1335" s="1" t="s">
        <v>5255</v>
      </c>
      <c r="D1335" s="21">
        <v>48</v>
      </c>
      <c r="E1335" s="1" t="s">
        <v>5256</v>
      </c>
      <c r="F1335" s="23">
        <v>2</v>
      </c>
      <c r="G1335" s="2" t="s">
        <v>5261</v>
      </c>
      <c r="H1335" s="2" t="s">
        <v>5262</v>
      </c>
      <c r="I1335" s="2" t="s">
        <v>5263</v>
      </c>
      <c r="J1335" s="2" t="s">
        <v>5264</v>
      </c>
      <c r="K1335" s="2"/>
      <c r="L1335" s="2" t="s">
        <v>8</v>
      </c>
    </row>
    <row r="1336" spans="1:12" ht="15.75" customHeight="1" x14ac:dyDescent="0.25">
      <c r="A1336" s="1" t="s">
        <v>2590</v>
      </c>
      <c r="B1336" s="21">
        <v>17</v>
      </c>
      <c r="C1336" s="1" t="s">
        <v>5255</v>
      </c>
      <c r="D1336" s="21">
        <v>48</v>
      </c>
      <c r="E1336" s="1" t="s">
        <v>5256</v>
      </c>
      <c r="F1336" s="23">
        <v>3</v>
      </c>
      <c r="G1336" s="2" t="s">
        <v>5265</v>
      </c>
      <c r="H1336" s="2" t="s">
        <v>5266</v>
      </c>
      <c r="I1336" s="2" t="s">
        <v>5267</v>
      </c>
      <c r="J1336" s="2" t="s">
        <v>5268</v>
      </c>
      <c r="K1336" s="2"/>
      <c r="L1336" s="2" t="s">
        <v>8</v>
      </c>
    </row>
    <row r="1337" spans="1:12" ht="15.75" customHeight="1" x14ac:dyDescent="0.25">
      <c r="A1337" s="1" t="s">
        <v>2590</v>
      </c>
      <c r="B1337" s="21">
        <v>17</v>
      </c>
      <c r="C1337" s="1" t="s">
        <v>5255</v>
      </c>
      <c r="D1337" s="21">
        <v>48</v>
      </c>
      <c r="E1337" s="1" t="s">
        <v>5256</v>
      </c>
      <c r="F1337" s="23">
        <v>4</v>
      </c>
      <c r="G1337" s="2" t="s">
        <v>5269</v>
      </c>
      <c r="H1337" s="2" t="s">
        <v>5270</v>
      </c>
      <c r="I1337" s="2" t="s">
        <v>5271</v>
      </c>
      <c r="J1337" s="2" t="s">
        <v>5272</v>
      </c>
      <c r="K1337" s="2"/>
      <c r="L1337" s="2" t="s">
        <v>9</v>
      </c>
    </row>
    <row r="1338" spans="1:12" ht="15.75" customHeight="1" x14ac:dyDescent="0.25">
      <c r="A1338" s="1" t="s">
        <v>2590</v>
      </c>
      <c r="B1338" s="21">
        <v>17</v>
      </c>
      <c r="C1338" s="1" t="s">
        <v>5255</v>
      </c>
      <c r="D1338" s="21">
        <v>48</v>
      </c>
      <c r="E1338" s="1" t="s">
        <v>5256</v>
      </c>
      <c r="F1338" s="23">
        <v>5</v>
      </c>
      <c r="G1338" s="2" t="s">
        <v>5273</v>
      </c>
      <c r="H1338" s="2" t="s">
        <v>5274</v>
      </c>
      <c r="I1338" s="2" t="s">
        <v>5275</v>
      </c>
      <c r="J1338" s="2" t="s">
        <v>5276</v>
      </c>
      <c r="K1338" s="2"/>
      <c r="L1338" s="2" t="s">
        <v>8</v>
      </c>
    </row>
    <row r="1339" spans="1:12" ht="15.75" customHeight="1" x14ac:dyDescent="0.25">
      <c r="A1339" s="1" t="s">
        <v>2590</v>
      </c>
      <c r="B1339" s="21">
        <v>17</v>
      </c>
      <c r="C1339" s="1" t="s">
        <v>5255</v>
      </c>
      <c r="D1339" s="21">
        <v>48</v>
      </c>
      <c r="E1339" s="1" t="s">
        <v>5256</v>
      </c>
      <c r="F1339" s="23">
        <v>6</v>
      </c>
      <c r="G1339" s="2" t="s">
        <v>5277</v>
      </c>
      <c r="H1339" s="2" t="s">
        <v>5278</v>
      </c>
      <c r="I1339" s="2" t="s">
        <v>5279</v>
      </c>
      <c r="J1339" s="2" t="s">
        <v>5280</v>
      </c>
      <c r="K1339" s="2"/>
      <c r="L1339" s="2" t="s">
        <v>7</v>
      </c>
    </row>
    <row r="1340" spans="1:12" ht="15.75" customHeight="1" x14ac:dyDescent="0.25">
      <c r="A1340" s="1" t="s">
        <v>2590</v>
      </c>
      <c r="B1340" s="21">
        <v>17</v>
      </c>
      <c r="C1340" s="1" t="s">
        <v>5255</v>
      </c>
      <c r="D1340" s="21">
        <v>48</v>
      </c>
      <c r="E1340" s="1" t="s">
        <v>5256</v>
      </c>
      <c r="F1340" s="23">
        <v>7</v>
      </c>
      <c r="G1340" s="2" t="s">
        <v>5281</v>
      </c>
      <c r="H1340" s="2" t="s">
        <v>5282</v>
      </c>
      <c r="I1340" s="2" t="s">
        <v>5283</v>
      </c>
      <c r="J1340" s="2" t="s">
        <v>5284</v>
      </c>
      <c r="K1340" s="2"/>
      <c r="L1340" s="2" t="s">
        <v>9</v>
      </c>
    </row>
    <row r="1341" spans="1:12" ht="15.75" customHeight="1" x14ac:dyDescent="0.25">
      <c r="A1341" s="1" t="s">
        <v>2590</v>
      </c>
      <c r="B1341" s="21">
        <v>17</v>
      </c>
      <c r="C1341" s="1" t="s">
        <v>5255</v>
      </c>
      <c r="D1341" s="21">
        <v>48</v>
      </c>
      <c r="E1341" s="1" t="s">
        <v>5256</v>
      </c>
      <c r="F1341" s="23">
        <v>8</v>
      </c>
      <c r="G1341" s="2" t="s">
        <v>5285</v>
      </c>
      <c r="H1341" s="2" t="s">
        <v>5286</v>
      </c>
      <c r="I1341" s="2" t="s">
        <v>5287</v>
      </c>
      <c r="J1341" s="2" t="s">
        <v>5288</v>
      </c>
      <c r="K1341" s="2"/>
      <c r="L1341" s="2" t="s">
        <v>8</v>
      </c>
    </row>
    <row r="1342" spans="1:12" ht="15.75" customHeight="1" x14ac:dyDescent="0.25">
      <c r="A1342" s="1" t="s">
        <v>2590</v>
      </c>
      <c r="B1342" s="21">
        <v>17</v>
      </c>
      <c r="C1342" s="1" t="s">
        <v>5255</v>
      </c>
      <c r="D1342" s="21">
        <v>48</v>
      </c>
      <c r="E1342" s="1" t="s">
        <v>5256</v>
      </c>
      <c r="F1342" s="23">
        <v>9</v>
      </c>
      <c r="G1342" s="2" t="s">
        <v>5289</v>
      </c>
      <c r="H1342" s="2" t="s">
        <v>5290</v>
      </c>
      <c r="I1342" s="2" t="s">
        <v>5291</v>
      </c>
      <c r="J1342" s="2" t="s">
        <v>5292</v>
      </c>
      <c r="K1342" s="2"/>
      <c r="L1342" s="2" t="s">
        <v>9</v>
      </c>
    </row>
    <row r="1343" spans="1:12" ht="15.75" customHeight="1" x14ac:dyDescent="0.25">
      <c r="A1343" s="1" t="s">
        <v>2590</v>
      </c>
      <c r="B1343" s="21">
        <v>17</v>
      </c>
      <c r="C1343" s="1" t="s">
        <v>5255</v>
      </c>
      <c r="D1343" s="21">
        <v>48</v>
      </c>
      <c r="E1343" s="1" t="s">
        <v>5256</v>
      </c>
      <c r="F1343" s="23">
        <v>10</v>
      </c>
      <c r="G1343" s="2" t="s">
        <v>5293</v>
      </c>
      <c r="H1343" s="2" t="s">
        <v>5294</v>
      </c>
      <c r="I1343" s="2" t="s">
        <v>5295</v>
      </c>
      <c r="J1343" s="2" t="s">
        <v>5296</v>
      </c>
      <c r="K1343" s="2"/>
      <c r="L1343" s="2" t="s">
        <v>7</v>
      </c>
    </row>
    <row r="1344" spans="1:12" ht="15.75" customHeight="1" x14ac:dyDescent="0.25">
      <c r="A1344" s="1" t="s">
        <v>2590</v>
      </c>
      <c r="B1344" s="21">
        <v>17</v>
      </c>
      <c r="C1344" s="1" t="s">
        <v>5255</v>
      </c>
      <c r="D1344" s="21">
        <v>48</v>
      </c>
      <c r="E1344" s="1" t="s">
        <v>5256</v>
      </c>
      <c r="F1344" s="23">
        <v>11</v>
      </c>
      <c r="G1344" s="2" t="s">
        <v>5297</v>
      </c>
      <c r="H1344" s="2" t="s">
        <v>5298</v>
      </c>
      <c r="I1344" s="2" t="s">
        <v>5299</v>
      </c>
      <c r="J1344" s="2" t="s">
        <v>5300</v>
      </c>
      <c r="K1344" s="2"/>
      <c r="L1344" s="2" t="s">
        <v>9</v>
      </c>
    </row>
    <row r="1345" spans="1:12" ht="15.75" customHeight="1" x14ac:dyDescent="0.25">
      <c r="A1345" s="1" t="s">
        <v>2590</v>
      </c>
      <c r="B1345" s="21">
        <v>17</v>
      </c>
      <c r="C1345" s="1" t="s">
        <v>5255</v>
      </c>
      <c r="D1345" s="21">
        <v>48</v>
      </c>
      <c r="E1345" s="1" t="s">
        <v>5256</v>
      </c>
      <c r="F1345" s="23">
        <v>12</v>
      </c>
      <c r="G1345" s="2" t="s">
        <v>5301</v>
      </c>
      <c r="H1345" s="2" t="s">
        <v>5302</v>
      </c>
      <c r="I1345" s="2" t="s">
        <v>5303</v>
      </c>
      <c r="J1345" s="2" t="s">
        <v>5304</v>
      </c>
      <c r="K1345" s="2"/>
      <c r="L1345" s="2" t="s">
        <v>9</v>
      </c>
    </row>
    <row r="1346" spans="1:12" ht="15.75" customHeight="1" x14ac:dyDescent="0.25">
      <c r="A1346" s="1" t="s">
        <v>2590</v>
      </c>
      <c r="B1346" s="21">
        <v>17</v>
      </c>
      <c r="C1346" s="1" t="s">
        <v>5255</v>
      </c>
      <c r="D1346" s="21">
        <v>48</v>
      </c>
      <c r="E1346" s="1" t="s">
        <v>5256</v>
      </c>
      <c r="F1346" s="23">
        <v>13</v>
      </c>
      <c r="G1346" s="2" t="s">
        <v>5305</v>
      </c>
      <c r="H1346" s="2" t="s">
        <v>5306</v>
      </c>
      <c r="I1346" s="2" t="s">
        <v>5263</v>
      </c>
      <c r="J1346" s="2" t="s">
        <v>5307</v>
      </c>
      <c r="K1346" s="2"/>
      <c r="L1346" s="2" t="s">
        <v>9</v>
      </c>
    </row>
    <row r="1347" spans="1:12" ht="15.75" customHeight="1" x14ac:dyDescent="0.25">
      <c r="A1347" s="1" t="s">
        <v>2590</v>
      </c>
      <c r="B1347" s="21">
        <v>17</v>
      </c>
      <c r="C1347" s="1" t="s">
        <v>5255</v>
      </c>
      <c r="D1347" s="21">
        <v>48</v>
      </c>
      <c r="E1347" s="1" t="s">
        <v>5256</v>
      </c>
      <c r="F1347" s="23">
        <v>14</v>
      </c>
      <c r="G1347" s="2" t="s">
        <v>5308</v>
      </c>
      <c r="H1347" s="2" t="s">
        <v>5309</v>
      </c>
      <c r="I1347" s="2" t="s">
        <v>5310</v>
      </c>
      <c r="J1347" s="2" t="s">
        <v>5311</v>
      </c>
      <c r="K1347" s="2"/>
      <c r="L1347" s="2" t="s">
        <v>8</v>
      </c>
    </row>
    <row r="1348" spans="1:12" ht="15.75" customHeight="1" x14ac:dyDescent="0.25">
      <c r="A1348" s="1" t="s">
        <v>2590</v>
      </c>
      <c r="B1348" s="21">
        <v>17</v>
      </c>
      <c r="C1348" s="1" t="s">
        <v>5255</v>
      </c>
      <c r="D1348" s="21">
        <v>48</v>
      </c>
      <c r="E1348" s="1" t="s">
        <v>5256</v>
      </c>
      <c r="F1348" s="23">
        <v>15</v>
      </c>
      <c r="G1348" s="2" t="s">
        <v>5312</v>
      </c>
      <c r="H1348" s="2" t="s">
        <v>5313</v>
      </c>
      <c r="I1348" s="2" t="s">
        <v>5314</v>
      </c>
      <c r="J1348" s="2" t="s">
        <v>5315</v>
      </c>
      <c r="K1348" s="2"/>
      <c r="L1348" s="2" t="s">
        <v>8</v>
      </c>
    </row>
    <row r="1349" spans="1:12" ht="15.75" customHeight="1" x14ac:dyDescent="0.25">
      <c r="A1349" s="1" t="s">
        <v>2590</v>
      </c>
      <c r="B1349" s="21">
        <v>17</v>
      </c>
      <c r="C1349" s="1" t="s">
        <v>5255</v>
      </c>
      <c r="D1349" s="21">
        <v>48</v>
      </c>
      <c r="E1349" s="1" t="s">
        <v>5256</v>
      </c>
      <c r="F1349" s="23">
        <v>16</v>
      </c>
      <c r="G1349" s="2" t="s">
        <v>5316</v>
      </c>
      <c r="H1349" s="2" t="s">
        <v>5317</v>
      </c>
      <c r="I1349" s="2" t="s">
        <v>5318</v>
      </c>
      <c r="J1349" s="2" t="s">
        <v>5319</v>
      </c>
      <c r="K1349" s="2"/>
      <c r="L1349" s="2" t="s">
        <v>8</v>
      </c>
    </row>
    <row r="1350" spans="1:12" ht="15.75" customHeight="1" x14ac:dyDescent="0.25">
      <c r="A1350" s="1" t="s">
        <v>2590</v>
      </c>
      <c r="B1350" s="21">
        <v>17</v>
      </c>
      <c r="C1350" s="1" t="s">
        <v>5255</v>
      </c>
      <c r="D1350" s="21">
        <v>48</v>
      </c>
      <c r="E1350" s="1" t="s">
        <v>5256</v>
      </c>
      <c r="F1350" s="23">
        <v>17</v>
      </c>
      <c r="G1350" s="2" t="s">
        <v>5320</v>
      </c>
      <c r="H1350" s="2" t="s">
        <v>5321</v>
      </c>
      <c r="I1350" s="2" t="s">
        <v>5322</v>
      </c>
      <c r="J1350" s="2" t="s">
        <v>5323</v>
      </c>
      <c r="K1350" s="2"/>
      <c r="L1350" s="2" t="s">
        <v>8</v>
      </c>
    </row>
    <row r="1351" spans="1:12" ht="15.75" customHeight="1" x14ac:dyDescent="0.25">
      <c r="A1351" s="1" t="s">
        <v>2590</v>
      </c>
      <c r="B1351" s="21">
        <v>17</v>
      </c>
      <c r="C1351" s="1" t="s">
        <v>5255</v>
      </c>
      <c r="D1351" s="21">
        <v>48</v>
      </c>
      <c r="E1351" s="1" t="s">
        <v>5256</v>
      </c>
      <c r="F1351" s="23">
        <v>18</v>
      </c>
      <c r="G1351" s="2" t="s">
        <v>5324</v>
      </c>
      <c r="H1351" s="2" t="s">
        <v>5282</v>
      </c>
      <c r="I1351" s="2" t="s">
        <v>5325</v>
      </c>
      <c r="J1351" s="2" t="s">
        <v>5326</v>
      </c>
      <c r="K1351" s="2"/>
      <c r="L1351" s="2" t="s">
        <v>9</v>
      </c>
    </row>
    <row r="1352" spans="1:12" ht="15.75" customHeight="1" x14ac:dyDescent="0.25">
      <c r="A1352" s="1" t="s">
        <v>2590</v>
      </c>
      <c r="B1352" s="21">
        <v>17</v>
      </c>
      <c r="C1352" s="1" t="s">
        <v>5255</v>
      </c>
      <c r="D1352" s="21">
        <v>48</v>
      </c>
      <c r="E1352" s="1" t="s">
        <v>5256</v>
      </c>
      <c r="F1352" s="23">
        <v>19</v>
      </c>
      <c r="G1352" s="2" t="s">
        <v>5327</v>
      </c>
      <c r="H1352" s="2" t="s">
        <v>5328</v>
      </c>
      <c r="I1352" s="2" t="s">
        <v>5329</v>
      </c>
      <c r="J1352" s="2" t="s">
        <v>5330</v>
      </c>
      <c r="K1352" s="2"/>
      <c r="L1352" s="2" t="s">
        <v>7</v>
      </c>
    </row>
    <row r="1353" spans="1:12" ht="15.75" customHeight="1" x14ac:dyDescent="0.25">
      <c r="A1353" s="1" t="s">
        <v>2590</v>
      </c>
      <c r="B1353" s="21">
        <v>17</v>
      </c>
      <c r="C1353" s="1" t="s">
        <v>5255</v>
      </c>
      <c r="D1353" s="21">
        <v>48</v>
      </c>
      <c r="E1353" s="1" t="s">
        <v>5256</v>
      </c>
      <c r="F1353" s="23">
        <v>20</v>
      </c>
      <c r="G1353" s="2" t="s">
        <v>5331</v>
      </c>
      <c r="H1353" s="2" t="s">
        <v>5332</v>
      </c>
      <c r="I1353" s="2" t="s">
        <v>5333</v>
      </c>
      <c r="J1353" s="2" t="s">
        <v>5334</v>
      </c>
      <c r="K1353" s="2"/>
      <c r="L1353" s="2" t="s">
        <v>9</v>
      </c>
    </row>
    <row r="1354" spans="1:12" ht="15.75" customHeight="1" x14ac:dyDescent="0.25">
      <c r="A1354" s="1" t="s">
        <v>2590</v>
      </c>
      <c r="B1354" s="21">
        <v>17</v>
      </c>
      <c r="C1354" s="1" t="s">
        <v>5255</v>
      </c>
      <c r="D1354" s="21">
        <v>48</v>
      </c>
      <c r="E1354" s="1" t="s">
        <v>5256</v>
      </c>
      <c r="F1354" s="23">
        <v>21</v>
      </c>
      <c r="G1354" s="2" t="s">
        <v>5335</v>
      </c>
      <c r="H1354" s="2" t="s">
        <v>5336</v>
      </c>
      <c r="I1354" s="2" t="s">
        <v>5337</v>
      </c>
      <c r="J1354" s="2" t="s">
        <v>5338</v>
      </c>
      <c r="K1354" s="2"/>
      <c r="L1354" s="2" t="s">
        <v>9</v>
      </c>
    </row>
    <row r="1355" spans="1:12" ht="15.75" customHeight="1" x14ac:dyDescent="0.25">
      <c r="A1355" s="1" t="s">
        <v>2590</v>
      </c>
      <c r="B1355" s="21">
        <v>17</v>
      </c>
      <c r="C1355" s="1" t="s">
        <v>5255</v>
      </c>
      <c r="D1355" s="21">
        <v>48</v>
      </c>
      <c r="E1355" s="1" t="s">
        <v>5256</v>
      </c>
      <c r="F1355" s="23">
        <v>22</v>
      </c>
      <c r="G1355" s="2" t="s">
        <v>5339</v>
      </c>
      <c r="H1355" s="2" t="s">
        <v>5340</v>
      </c>
      <c r="I1355" s="2" t="s">
        <v>5341</v>
      </c>
      <c r="J1355" s="2" t="s">
        <v>5342</v>
      </c>
      <c r="K1355" s="2"/>
      <c r="L1355" s="2" t="s">
        <v>9</v>
      </c>
    </row>
    <row r="1356" spans="1:12" ht="15.75" customHeight="1" x14ac:dyDescent="0.25">
      <c r="A1356" s="1" t="s">
        <v>2590</v>
      </c>
      <c r="B1356" s="21">
        <v>17</v>
      </c>
      <c r="C1356" s="1" t="s">
        <v>5255</v>
      </c>
      <c r="D1356" s="21">
        <v>48</v>
      </c>
      <c r="E1356" s="1" t="s">
        <v>5256</v>
      </c>
      <c r="F1356" s="23">
        <v>23</v>
      </c>
      <c r="G1356" s="2" t="s">
        <v>5343</v>
      </c>
      <c r="H1356" s="2" t="s">
        <v>5344</v>
      </c>
      <c r="I1356" s="2" t="s">
        <v>5303</v>
      </c>
      <c r="J1356" s="2" t="s">
        <v>5304</v>
      </c>
      <c r="K1356" s="2"/>
      <c r="L1356" s="2" t="s">
        <v>8</v>
      </c>
    </row>
    <row r="1357" spans="1:12" ht="15.75" customHeight="1" x14ac:dyDescent="0.25">
      <c r="A1357" s="1" t="s">
        <v>2590</v>
      </c>
      <c r="B1357" s="21">
        <v>17</v>
      </c>
      <c r="C1357" s="1" t="s">
        <v>5255</v>
      </c>
      <c r="D1357" s="21">
        <v>48</v>
      </c>
      <c r="E1357" s="1" t="s">
        <v>5256</v>
      </c>
      <c r="F1357" s="23">
        <v>24</v>
      </c>
      <c r="G1357" s="2" t="s">
        <v>5345</v>
      </c>
      <c r="H1357" s="2" t="s">
        <v>5346</v>
      </c>
      <c r="I1357" s="2" t="s">
        <v>5347</v>
      </c>
      <c r="J1357" s="2" t="s">
        <v>5348</v>
      </c>
      <c r="K1357" s="2"/>
      <c r="L1357" s="2" t="s">
        <v>9</v>
      </c>
    </row>
    <row r="1358" spans="1:12" ht="15.75" customHeight="1" x14ac:dyDescent="0.25">
      <c r="A1358" s="1" t="s">
        <v>2590</v>
      </c>
      <c r="B1358" s="21">
        <v>17</v>
      </c>
      <c r="C1358" s="1" t="s">
        <v>5255</v>
      </c>
      <c r="D1358" s="21">
        <v>48</v>
      </c>
      <c r="E1358" s="1" t="s">
        <v>5256</v>
      </c>
      <c r="F1358" s="23">
        <v>25</v>
      </c>
      <c r="G1358" s="2" t="s">
        <v>5349</v>
      </c>
      <c r="H1358" s="2" t="s">
        <v>5350</v>
      </c>
      <c r="I1358" s="2" t="s">
        <v>5351</v>
      </c>
      <c r="J1358" s="2" t="s">
        <v>5352</v>
      </c>
      <c r="K1358" s="2"/>
      <c r="L1358" s="2" t="s">
        <v>7</v>
      </c>
    </row>
    <row r="1359" spans="1:12" ht="15.75" customHeight="1" x14ac:dyDescent="0.25">
      <c r="A1359" s="1" t="s">
        <v>2590</v>
      </c>
      <c r="B1359" s="21">
        <v>17</v>
      </c>
      <c r="C1359" s="1" t="s">
        <v>5255</v>
      </c>
      <c r="D1359" s="21">
        <v>49</v>
      </c>
      <c r="E1359" s="1" t="s">
        <v>5353</v>
      </c>
      <c r="F1359" s="23">
        <v>1</v>
      </c>
      <c r="G1359" s="2" t="s">
        <v>5354</v>
      </c>
      <c r="H1359" s="2" t="s">
        <v>5355</v>
      </c>
      <c r="I1359" s="2" t="s">
        <v>5356</v>
      </c>
      <c r="J1359" s="2" t="s">
        <v>5357</v>
      </c>
      <c r="K1359" s="2"/>
      <c r="L1359" s="2" t="s">
        <v>9</v>
      </c>
    </row>
    <row r="1360" spans="1:12" ht="15.75" customHeight="1" x14ac:dyDescent="0.25">
      <c r="A1360" s="1" t="s">
        <v>2590</v>
      </c>
      <c r="B1360" s="21">
        <v>17</v>
      </c>
      <c r="C1360" s="1" t="s">
        <v>5255</v>
      </c>
      <c r="D1360" s="21">
        <v>49</v>
      </c>
      <c r="E1360" s="1" t="s">
        <v>5353</v>
      </c>
      <c r="F1360" s="23">
        <v>2</v>
      </c>
      <c r="G1360" s="2" t="s">
        <v>5358</v>
      </c>
      <c r="H1360" s="2" t="s">
        <v>5359</v>
      </c>
      <c r="I1360" s="2" t="s">
        <v>5309</v>
      </c>
      <c r="J1360" s="2" t="s">
        <v>5360</v>
      </c>
      <c r="K1360" s="2"/>
      <c r="L1360" s="2" t="s">
        <v>7</v>
      </c>
    </row>
    <row r="1361" spans="1:12" ht="15.75" customHeight="1" x14ac:dyDescent="0.25">
      <c r="A1361" s="1" t="s">
        <v>2590</v>
      </c>
      <c r="B1361" s="21">
        <v>17</v>
      </c>
      <c r="C1361" s="1" t="s">
        <v>5255</v>
      </c>
      <c r="D1361" s="21">
        <v>49</v>
      </c>
      <c r="E1361" s="1" t="s">
        <v>5353</v>
      </c>
      <c r="F1361" s="23">
        <v>3</v>
      </c>
      <c r="G1361" s="2" t="s">
        <v>5361</v>
      </c>
      <c r="H1361" s="2" t="s">
        <v>5362</v>
      </c>
      <c r="I1361" s="2" t="s">
        <v>5363</v>
      </c>
      <c r="J1361" s="2" t="s">
        <v>5364</v>
      </c>
      <c r="K1361" s="2"/>
      <c r="L1361" s="2" t="s">
        <v>7</v>
      </c>
    </row>
    <row r="1362" spans="1:12" ht="15.75" customHeight="1" x14ac:dyDescent="0.25">
      <c r="A1362" s="1" t="s">
        <v>2590</v>
      </c>
      <c r="B1362" s="21">
        <v>17</v>
      </c>
      <c r="C1362" s="1" t="s">
        <v>5255</v>
      </c>
      <c r="D1362" s="21">
        <v>49</v>
      </c>
      <c r="E1362" s="1" t="s">
        <v>5353</v>
      </c>
      <c r="F1362" s="23">
        <v>4</v>
      </c>
      <c r="G1362" s="2" t="s">
        <v>5365</v>
      </c>
      <c r="H1362" s="2" t="s">
        <v>5366</v>
      </c>
      <c r="I1362" s="2" t="s">
        <v>5367</v>
      </c>
      <c r="J1362" s="2" t="s">
        <v>5368</v>
      </c>
      <c r="K1362" s="2"/>
      <c r="L1362" s="2" t="s">
        <v>9</v>
      </c>
    </row>
    <row r="1363" spans="1:12" ht="15.75" customHeight="1" x14ac:dyDescent="0.25">
      <c r="A1363" s="1" t="s">
        <v>2590</v>
      </c>
      <c r="B1363" s="21">
        <v>17</v>
      </c>
      <c r="C1363" s="1" t="s">
        <v>5255</v>
      </c>
      <c r="D1363" s="21">
        <v>49</v>
      </c>
      <c r="E1363" s="1" t="s">
        <v>5353</v>
      </c>
      <c r="F1363" s="23">
        <v>5</v>
      </c>
      <c r="G1363" s="2" t="s">
        <v>5369</v>
      </c>
      <c r="H1363" s="2" t="s">
        <v>5370</v>
      </c>
      <c r="I1363" s="2" t="s">
        <v>5371</v>
      </c>
      <c r="J1363" s="2" t="s">
        <v>5372</v>
      </c>
      <c r="K1363" s="2"/>
      <c r="L1363" s="2" t="s">
        <v>7</v>
      </c>
    </row>
    <row r="1364" spans="1:12" ht="15.75" customHeight="1" x14ac:dyDescent="0.25">
      <c r="A1364" s="1" t="s">
        <v>2590</v>
      </c>
      <c r="B1364" s="21">
        <v>17</v>
      </c>
      <c r="C1364" s="1" t="s">
        <v>5255</v>
      </c>
      <c r="D1364" s="21">
        <v>49</v>
      </c>
      <c r="E1364" s="1" t="s">
        <v>5353</v>
      </c>
      <c r="F1364" s="23">
        <v>6</v>
      </c>
      <c r="G1364" s="2" t="s">
        <v>5373</v>
      </c>
      <c r="H1364" s="2" t="s">
        <v>5374</v>
      </c>
      <c r="I1364" s="2" t="s">
        <v>5375</v>
      </c>
      <c r="J1364" s="2" t="s">
        <v>5376</v>
      </c>
      <c r="K1364" s="2"/>
      <c r="L1364" s="2" t="s">
        <v>9</v>
      </c>
    </row>
    <row r="1365" spans="1:12" ht="15.75" customHeight="1" x14ac:dyDescent="0.25">
      <c r="A1365" s="1" t="s">
        <v>2590</v>
      </c>
      <c r="B1365" s="21">
        <v>17</v>
      </c>
      <c r="C1365" s="1" t="s">
        <v>5255</v>
      </c>
      <c r="D1365" s="21">
        <v>49</v>
      </c>
      <c r="E1365" s="1" t="s">
        <v>5353</v>
      </c>
      <c r="F1365" s="23">
        <v>7</v>
      </c>
      <c r="G1365" s="2" t="s">
        <v>5377</v>
      </c>
      <c r="H1365" s="2" t="s">
        <v>5378</v>
      </c>
      <c r="I1365" s="2" t="s">
        <v>5379</v>
      </c>
      <c r="J1365" s="2" t="s">
        <v>5380</v>
      </c>
      <c r="K1365" s="2"/>
      <c r="L1365" s="2" t="s">
        <v>8</v>
      </c>
    </row>
    <row r="1366" spans="1:12" ht="15.75" customHeight="1" x14ac:dyDescent="0.25">
      <c r="A1366" s="1" t="s">
        <v>2590</v>
      </c>
      <c r="B1366" s="21">
        <v>17</v>
      </c>
      <c r="C1366" s="1" t="s">
        <v>5255</v>
      </c>
      <c r="D1366" s="21">
        <v>49</v>
      </c>
      <c r="E1366" s="1" t="s">
        <v>5353</v>
      </c>
      <c r="F1366" s="23">
        <v>8</v>
      </c>
      <c r="G1366" s="2" t="s">
        <v>5381</v>
      </c>
      <c r="H1366" s="2" t="s">
        <v>5382</v>
      </c>
      <c r="I1366" s="2" t="s">
        <v>5383</v>
      </c>
      <c r="J1366" s="2" t="s">
        <v>5384</v>
      </c>
      <c r="K1366" s="2"/>
      <c r="L1366" s="2" t="s">
        <v>7</v>
      </c>
    </row>
    <row r="1367" spans="1:12" ht="15.75" customHeight="1" x14ac:dyDescent="0.25">
      <c r="A1367" s="1" t="s">
        <v>2590</v>
      </c>
      <c r="B1367" s="21">
        <v>17</v>
      </c>
      <c r="C1367" s="1" t="s">
        <v>5255</v>
      </c>
      <c r="D1367" s="21">
        <v>49</v>
      </c>
      <c r="E1367" s="1" t="s">
        <v>5353</v>
      </c>
      <c r="F1367" s="23">
        <v>9</v>
      </c>
      <c r="G1367" s="2" t="s">
        <v>5385</v>
      </c>
      <c r="H1367" s="2" t="s">
        <v>5386</v>
      </c>
      <c r="I1367" s="2" t="s">
        <v>5387</v>
      </c>
      <c r="J1367" s="2" t="s">
        <v>5388</v>
      </c>
      <c r="K1367" s="2"/>
      <c r="L1367" s="2" t="s">
        <v>8</v>
      </c>
    </row>
    <row r="1368" spans="1:12" ht="15.75" customHeight="1" x14ac:dyDescent="0.25">
      <c r="A1368" s="1" t="s">
        <v>2590</v>
      </c>
      <c r="B1368" s="21">
        <v>17</v>
      </c>
      <c r="C1368" s="1" t="s">
        <v>5255</v>
      </c>
      <c r="D1368" s="21">
        <v>49</v>
      </c>
      <c r="E1368" s="1" t="s">
        <v>5353</v>
      </c>
      <c r="F1368" s="23">
        <v>10</v>
      </c>
      <c r="G1368" s="2" t="s">
        <v>5389</v>
      </c>
      <c r="H1368" s="2" t="s">
        <v>5390</v>
      </c>
      <c r="I1368" s="2" t="s">
        <v>5391</v>
      </c>
      <c r="J1368" s="2" t="s">
        <v>3827</v>
      </c>
      <c r="K1368" s="2"/>
      <c r="L1368" s="2" t="s">
        <v>9</v>
      </c>
    </row>
    <row r="1369" spans="1:12" ht="15.75" customHeight="1" x14ac:dyDescent="0.25">
      <c r="A1369" s="1" t="s">
        <v>2590</v>
      </c>
      <c r="B1369" s="21">
        <v>17</v>
      </c>
      <c r="C1369" s="1" t="s">
        <v>5255</v>
      </c>
      <c r="D1369" s="21">
        <v>49</v>
      </c>
      <c r="E1369" s="1" t="s">
        <v>5353</v>
      </c>
      <c r="F1369" s="23">
        <v>11</v>
      </c>
      <c r="G1369" s="2" t="s">
        <v>5392</v>
      </c>
      <c r="H1369" s="2" t="s">
        <v>5393</v>
      </c>
      <c r="I1369" s="2" t="s">
        <v>5394</v>
      </c>
      <c r="J1369" s="2" t="s">
        <v>5395</v>
      </c>
      <c r="K1369" s="2"/>
      <c r="L1369" s="2" t="s">
        <v>9</v>
      </c>
    </row>
    <row r="1370" spans="1:12" ht="15.75" customHeight="1" x14ac:dyDescent="0.25">
      <c r="A1370" s="1" t="s">
        <v>2590</v>
      </c>
      <c r="B1370" s="21">
        <v>17</v>
      </c>
      <c r="C1370" s="1" t="s">
        <v>5255</v>
      </c>
      <c r="D1370" s="21">
        <v>49</v>
      </c>
      <c r="E1370" s="1" t="s">
        <v>5353</v>
      </c>
      <c r="F1370" s="23">
        <v>12</v>
      </c>
      <c r="G1370" s="2" t="s">
        <v>5396</v>
      </c>
      <c r="H1370" s="2" t="s">
        <v>5397</v>
      </c>
      <c r="I1370" s="2" t="s">
        <v>5398</v>
      </c>
      <c r="J1370" s="2" t="s">
        <v>5399</v>
      </c>
      <c r="K1370" s="2"/>
      <c r="L1370" s="2" t="s">
        <v>8</v>
      </c>
    </row>
    <row r="1371" spans="1:12" ht="15.75" customHeight="1" x14ac:dyDescent="0.25">
      <c r="A1371" s="1" t="s">
        <v>2590</v>
      </c>
      <c r="B1371" s="21">
        <v>17</v>
      </c>
      <c r="C1371" s="1" t="s">
        <v>5255</v>
      </c>
      <c r="D1371" s="21">
        <v>49</v>
      </c>
      <c r="E1371" s="1" t="s">
        <v>5353</v>
      </c>
      <c r="F1371" s="23">
        <v>13</v>
      </c>
      <c r="G1371" s="2" t="s">
        <v>5400</v>
      </c>
      <c r="H1371" s="2" t="s">
        <v>5401</v>
      </c>
      <c r="I1371" s="2" t="s">
        <v>5402</v>
      </c>
      <c r="J1371" s="2" t="s">
        <v>5403</v>
      </c>
      <c r="K1371" s="2"/>
      <c r="L1371" s="2" t="s">
        <v>8</v>
      </c>
    </row>
    <row r="1372" spans="1:12" ht="15.75" customHeight="1" x14ac:dyDescent="0.25">
      <c r="A1372" s="1" t="s">
        <v>2590</v>
      </c>
      <c r="B1372" s="21">
        <v>17</v>
      </c>
      <c r="C1372" s="1" t="s">
        <v>5255</v>
      </c>
      <c r="D1372" s="21">
        <v>49</v>
      </c>
      <c r="E1372" s="1" t="s">
        <v>5353</v>
      </c>
      <c r="F1372" s="23">
        <v>14</v>
      </c>
      <c r="G1372" s="2" t="s">
        <v>5404</v>
      </c>
      <c r="H1372" s="2" t="s">
        <v>5405</v>
      </c>
      <c r="I1372" s="2" t="s">
        <v>5406</v>
      </c>
      <c r="J1372" s="2" t="s">
        <v>5407</v>
      </c>
      <c r="K1372" s="2"/>
      <c r="L1372" s="2" t="s">
        <v>9</v>
      </c>
    </row>
    <row r="1373" spans="1:12" ht="15.75" customHeight="1" x14ac:dyDescent="0.25">
      <c r="A1373" s="1" t="s">
        <v>2590</v>
      </c>
      <c r="B1373" s="21">
        <v>17</v>
      </c>
      <c r="C1373" s="1" t="s">
        <v>5255</v>
      </c>
      <c r="D1373" s="21">
        <v>49</v>
      </c>
      <c r="E1373" s="1" t="s">
        <v>5353</v>
      </c>
      <c r="F1373" s="23">
        <v>15</v>
      </c>
      <c r="G1373" s="2" t="s">
        <v>5408</v>
      </c>
      <c r="H1373" s="2" t="s">
        <v>5409</v>
      </c>
      <c r="I1373" s="2" t="s">
        <v>5410</v>
      </c>
      <c r="J1373" s="2" t="s">
        <v>5411</v>
      </c>
      <c r="K1373" s="2"/>
      <c r="L1373" s="2" t="s">
        <v>9</v>
      </c>
    </row>
    <row r="1374" spans="1:12" ht="15.75" customHeight="1" x14ac:dyDescent="0.25">
      <c r="A1374" s="1" t="s">
        <v>2590</v>
      </c>
      <c r="B1374" s="21">
        <v>17</v>
      </c>
      <c r="C1374" s="1" t="s">
        <v>5255</v>
      </c>
      <c r="D1374" s="21">
        <v>49</v>
      </c>
      <c r="E1374" s="1" t="s">
        <v>5353</v>
      </c>
      <c r="F1374" s="23">
        <v>16</v>
      </c>
      <c r="G1374" s="2" t="s">
        <v>5412</v>
      </c>
      <c r="H1374" s="2" t="s">
        <v>5413</v>
      </c>
      <c r="I1374" s="2" t="s">
        <v>5414</v>
      </c>
      <c r="J1374" s="2" t="s">
        <v>5415</v>
      </c>
      <c r="K1374" s="2"/>
      <c r="L1374" s="2" t="s">
        <v>7</v>
      </c>
    </row>
    <row r="1375" spans="1:12" ht="15.75" customHeight="1" x14ac:dyDescent="0.25">
      <c r="A1375" s="1" t="s">
        <v>2590</v>
      </c>
      <c r="B1375" s="21">
        <v>17</v>
      </c>
      <c r="C1375" s="1" t="s">
        <v>5255</v>
      </c>
      <c r="D1375" s="21">
        <v>49</v>
      </c>
      <c r="E1375" s="1" t="s">
        <v>5353</v>
      </c>
      <c r="F1375" s="23">
        <v>17</v>
      </c>
      <c r="G1375" s="2" t="s">
        <v>5416</v>
      </c>
      <c r="H1375" s="2" t="s">
        <v>5417</v>
      </c>
      <c r="I1375" s="2" t="s">
        <v>5418</v>
      </c>
      <c r="J1375" s="2" t="s">
        <v>5419</v>
      </c>
      <c r="K1375" s="2"/>
      <c r="L1375" s="2" t="s">
        <v>7</v>
      </c>
    </row>
    <row r="1376" spans="1:12" ht="15.75" customHeight="1" x14ac:dyDescent="0.25">
      <c r="A1376" s="1" t="s">
        <v>2590</v>
      </c>
      <c r="B1376" s="21">
        <v>17</v>
      </c>
      <c r="C1376" s="1" t="s">
        <v>5255</v>
      </c>
      <c r="D1376" s="21">
        <v>49</v>
      </c>
      <c r="E1376" s="1" t="s">
        <v>5353</v>
      </c>
      <c r="F1376" s="23">
        <v>18</v>
      </c>
      <c r="G1376" s="2" t="s">
        <v>5420</v>
      </c>
      <c r="H1376" s="2" t="s">
        <v>5421</v>
      </c>
      <c r="I1376" s="2" t="s">
        <v>5422</v>
      </c>
      <c r="J1376" s="2" t="s">
        <v>5423</v>
      </c>
      <c r="K1376" s="2"/>
      <c r="L1376" s="2" t="s">
        <v>9</v>
      </c>
    </row>
    <row r="1377" spans="1:12" ht="15.75" customHeight="1" x14ac:dyDescent="0.25">
      <c r="A1377" s="1" t="s">
        <v>2590</v>
      </c>
      <c r="B1377" s="21">
        <v>17</v>
      </c>
      <c r="C1377" s="1" t="s">
        <v>5255</v>
      </c>
      <c r="D1377" s="21">
        <v>49</v>
      </c>
      <c r="E1377" s="1" t="s">
        <v>5353</v>
      </c>
      <c r="F1377" s="23">
        <v>19</v>
      </c>
      <c r="G1377" s="2" t="s">
        <v>5424</v>
      </c>
      <c r="H1377" s="2" t="s">
        <v>5292</v>
      </c>
      <c r="I1377" s="2" t="s">
        <v>5425</v>
      </c>
      <c r="J1377" s="2" t="s">
        <v>5290</v>
      </c>
      <c r="K1377" s="2"/>
      <c r="L1377" s="2" t="s">
        <v>9</v>
      </c>
    </row>
    <row r="1378" spans="1:12" ht="15.75" customHeight="1" x14ac:dyDescent="0.25">
      <c r="A1378" s="1" t="s">
        <v>2590</v>
      </c>
      <c r="B1378" s="21">
        <v>17</v>
      </c>
      <c r="C1378" s="1" t="s">
        <v>5255</v>
      </c>
      <c r="D1378" s="21">
        <v>49</v>
      </c>
      <c r="E1378" s="1" t="s">
        <v>5353</v>
      </c>
      <c r="F1378" s="23">
        <v>20</v>
      </c>
      <c r="G1378" s="2" t="s">
        <v>5426</v>
      </c>
      <c r="H1378" s="2" t="s">
        <v>5427</v>
      </c>
      <c r="I1378" s="2" t="s">
        <v>5291</v>
      </c>
      <c r="J1378" s="2" t="s">
        <v>5428</v>
      </c>
      <c r="K1378" s="2"/>
      <c r="L1378" s="2" t="s">
        <v>8</v>
      </c>
    </row>
    <row r="1379" spans="1:12" ht="15.75" customHeight="1" x14ac:dyDescent="0.25">
      <c r="A1379" s="1" t="s">
        <v>2590</v>
      </c>
      <c r="B1379" s="21">
        <v>17</v>
      </c>
      <c r="C1379" s="1" t="s">
        <v>5255</v>
      </c>
      <c r="D1379" s="21">
        <v>49</v>
      </c>
      <c r="E1379" s="1" t="s">
        <v>5353</v>
      </c>
      <c r="F1379" s="23">
        <v>21</v>
      </c>
      <c r="G1379" s="2" t="s">
        <v>5429</v>
      </c>
      <c r="H1379" s="2" t="s">
        <v>5430</v>
      </c>
      <c r="I1379" s="2" t="s">
        <v>5431</v>
      </c>
      <c r="J1379" s="2" t="s">
        <v>5423</v>
      </c>
      <c r="K1379" s="2"/>
      <c r="L1379" s="2" t="s">
        <v>7</v>
      </c>
    </row>
    <row r="1380" spans="1:12" ht="15.75" customHeight="1" x14ac:dyDescent="0.25">
      <c r="A1380" s="1" t="s">
        <v>2590</v>
      </c>
      <c r="B1380" s="21">
        <v>17</v>
      </c>
      <c r="C1380" s="1" t="s">
        <v>5255</v>
      </c>
      <c r="D1380" s="21">
        <v>49</v>
      </c>
      <c r="E1380" s="1" t="s">
        <v>5353</v>
      </c>
      <c r="F1380" s="23">
        <v>22</v>
      </c>
      <c r="G1380" s="2" t="s">
        <v>5432</v>
      </c>
      <c r="H1380" s="2" t="s">
        <v>5433</v>
      </c>
      <c r="I1380" s="2" t="s">
        <v>5434</v>
      </c>
      <c r="J1380" s="2" t="s">
        <v>5435</v>
      </c>
      <c r="K1380" s="2"/>
      <c r="L1380" s="2" t="s">
        <v>7</v>
      </c>
    </row>
    <row r="1381" spans="1:12" ht="15.75" customHeight="1" x14ac:dyDescent="0.25">
      <c r="A1381" s="1" t="s">
        <v>2590</v>
      </c>
      <c r="B1381" s="21">
        <v>17</v>
      </c>
      <c r="C1381" s="1" t="s">
        <v>5255</v>
      </c>
      <c r="D1381" s="21">
        <v>49</v>
      </c>
      <c r="E1381" s="1" t="s">
        <v>5353</v>
      </c>
      <c r="F1381" s="23">
        <v>23</v>
      </c>
      <c r="G1381" s="2" t="s">
        <v>5436</v>
      </c>
      <c r="H1381" s="2" t="s">
        <v>5437</v>
      </c>
      <c r="I1381" s="2" t="s">
        <v>5438</v>
      </c>
      <c r="J1381" s="2" t="s">
        <v>5439</v>
      </c>
      <c r="K1381" s="2"/>
      <c r="L1381" s="2" t="s">
        <v>9</v>
      </c>
    </row>
    <row r="1382" spans="1:12" ht="15.75" customHeight="1" x14ac:dyDescent="0.25">
      <c r="A1382" s="1" t="s">
        <v>2590</v>
      </c>
      <c r="B1382" s="21">
        <v>17</v>
      </c>
      <c r="C1382" s="1" t="s">
        <v>5255</v>
      </c>
      <c r="D1382" s="21">
        <v>49</v>
      </c>
      <c r="E1382" s="1" t="s">
        <v>5353</v>
      </c>
      <c r="F1382" s="23">
        <v>24</v>
      </c>
      <c r="G1382" s="2" t="s">
        <v>5440</v>
      </c>
      <c r="H1382" s="2" t="s">
        <v>5441</v>
      </c>
      <c r="I1382" s="2" t="s">
        <v>5442</v>
      </c>
      <c r="J1382" s="2" t="s">
        <v>5443</v>
      </c>
      <c r="K1382" s="2"/>
      <c r="L1382" s="2" t="s">
        <v>7</v>
      </c>
    </row>
    <row r="1383" spans="1:12" ht="15.75" customHeight="1" x14ac:dyDescent="0.25">
      <c r="A1383" s="1" t="s">
        <v>2590</v>
      </c>
      <c r="B1383" s="21">
        <v>17</v>
      </c>
      <c r="C1383" s="1" t="s">
        <v>5255</v>
      </c>
      <c r="D1383" s="21">
        <v>49</v>
      </c>
      <c r="E1383" s="1" t="s">
        <v>5353</v>
      </c>
      <c r="F1383" s="23">
        <v>25</v>
      </c>
      <c r="G1383" s="2" t="s">
        <v>5444</v>
      </c>
      <c r="H1383" s="2" t="s">
        <v>5445</v>
      </c>
      <c r="I1383" s="2" t="s">
        <v>5446</v>
      </c>
      <c r="J1383" s="2" t="s">
        <v>5447</v>
      </c>
      <c r="K1383" s="2"/>
      <c r="L1383" s="2" t="s">
        <v>8</v>
      </c>
    </row>
    <row r="1384" spans="1:12" ht="15.75" customHeight="1" x14ac:dyDescent="0.25">
      <c r="A1384" s="1" t="s">
        <v>2590</v>
      </c>
      <c r="B1384" s="21">
        <v>18</v>
      </c>
      <c r="C1384" s="1" t="s">
        <v>5448</v>
      </c>
      <c r="D1384" s="21">
        <v>50</v>
      </c>
      <c r="E1384" s="1" t="s">
        <v>5449</v>
      </c>
      <c r="F1384" s="23">
        <v>1</v>
      </c>
      <c r="G1384" s="2" t="s">
        <v>5450</v>
      </c>
      <c r="H1384" s="2" t="s">
        <v>5451</v>
      </c>
      <c r="I1384" s="2" t="s">
        <v>5452</v>
      </c>
      <c r="J1384" s="2" t="s">
        <v>5453</v>
      </c>
      <c r="K1384" s="2" t="s">
        <v>4184</v>
      </c>
      <c r="L1384" s="2" t="s">
        <v>10</v>
      </c>
    </row>
    <row r="1385" spans="1:12" ht="15.75" customHeight="1" x14ac:dyDescent="0.25">
      <c r="A1385" s="1" t="s">
        <v>2590</v>
      </c>
      <c r="B1385" s="21">
        <v>18</v>
      </c>
      <c r="C1385" s="1" t="s">
        <v>5448</v>
      </c>
      <c r="D1385" s="21">
        <v>50</v>
      </c>
      <c r="E1385" s="1" t="s">
        <v>5449</v>
      </c>
      <c r="F1385" s="23">
        <v>2</v>
      </c>
      <c r="G1385" s="2" t="s">
        <v>5454</v>
      </c>
      <c r="H1385" s="2" t="s">
        <v>5455</v>
      </c>
      <c r="I1385" s="2" t="s">
        <v>5456</v>
      </c>
      <c r="J1385" s="2" t="s">
        <v>5457</v>
      </c>
      <c r="K1385" s="2" t="s">
        <v>4184</v>
      </c>
      <c r="L1385" s="2" t="s">
        <v>7</v>
      </c>
    </row>
    <row r="1386" spans="1:12" ht="15.75" customHeight="1" x14ac:dyDescent="0.25">
      <c r="A1386" s="1" t="s">
        <v>2590</v>
      </c>
      <c r="B1386" s="21">
        <v>18</v>
      </c>
      <c r="C1386" s="1" t="s">
        <v>5448</v>
      </c>
      <c r="D1386" s="21">
        <v>50</v>
      </c>
      <c r="E1386" s="1" t="s">
        <v>5449</v>
      </c>
      <c r="F1386" s="23">
        <v>3</v>
      </c>
      <c r="G1386" s="2" t="s">
        <v>5458</v>
      </c>
      <c r="H1386" s="2" t="s">
        <v>5459</v>
      </c>
      <c r="I1386" s="2" t="s">
        <v>5460</v>
      </c>
      <c r="J1386" s="2" t="s">
        <v>5461</v>
      </c>
      <c r="K1386" s="2" t="s">
        <v>4184</v>
      </c>
      <c r="L1386" s="2" t="s">
        <v>9</v>
      </c>
    </row>
    <row r="1387" spans="1:12" ht="15.75" customHeight="1" x14ac:dyDescent="0.25">
      <c r="A1387" s="1" t="s">
        <v>2590</v>
      </c>
      <c r="B1387" s="21">
        <v>18</v>
      </c>
      <c r="C1387" s="1" t="s">
        <v>5448</v>
      </c>
      <c r="D1387" s="21">
        <v>50</v>
      </c>
      <c r="E1387" s="1" t="s">
        <v>5449</v>
      </c>
      <c r="F1387" s="23">
        <v>4</v>
      </c>
      <c r="G1387" s="2" t="s">
        <v>5462</v>
      </c>
      <c r="H1387" s="2" t="s">
        <v>5463</v>
      </c>
      <c r="I1387" s="2" t="s">
        <v>5464</v>
      </c>
      <c r="J1387" s="2" t="s">
        <v>5465</v>
      </c>
      <c r="K1387" s="2" t="s">
        <v>4184</v>
      </c>
      <c r="L1387" s="2" t="s">
        <v>10</v>
      </c>
    </row>
    <row r="1388" spans="1:12" ht="15.75" customHeight="1" x14ac:dyDescent="0.25">
      <c r="A1388" s="1" t="s">
        <v>2590</v>
      </c>
      <c r="B1388" s="21">
        <v>18</v>
      </c>
      <c r="C1388" s="1" t="s">
        <v>5448</v>
      </c>
      <c r="D1388" s="21">
        <v>50</v>
      </c>
      <c r="E1388" s="1" t="s">
        <v>5449</v>
      </c>
      <c r="F1388" s="23">
        <v>5</v>
      </c>
      <c r="G1388" s="2" t="s">
        <v>5466</v>
      </c>
      <c r="H1388" s="2" t="s">
        <v>5467</v>
      </c>
      <c r="I1388" s="2" t="s">
        <v>5468</v>
      </c>
      <c r="J1388" s="2" t="s">
        <v>5469</v>
      </c>
      <c r="K1388" s="2" t="s">
        <v>4184</v>
      </c>
      <c r="L1388" s="2" t="s">
        <v>8</v>
      </c>
    </row>
    <row r="1389" spans="1:12" ht="15.75" customHeight="1" x14ac:dyDescent="0.25">
      <c r="A1389" s="1" t="s">
        <v>2590</v>
      </c>
      <c r="B1389" s="21">
        <v>18</v>
      </c>
      <c r="C1389" s="1" t="s">
        <v>5448</v>
      </c>
      <c r="D1389" s="21">
        <v>50</v>
      </c>
      <c r="E1389" s="1" t="s">
        <v>5449</v>
      </c>
      <c r="F1389" s="23">
        <v>6</v>
      </c>
      <c r="G1389" s="2" t="s">
        <v>5470</v>
      </c>
      <c r="H1389" s="2" t="s">
        <v>5471</v>
      </c>
      <c r="I1389" s="2" t="s">
        <v>5472</v>
      </c>
      <c r="J1389" s="2" t="s">
        <v>5473</v>
      </c>
      <c r="K1389" s="2" t="s">
        <v>4184</v>
      </c>
      <c r="L1389" s="2" t="s">
        <v>8</v>
      </c>
    </row>
    <row r="1390" spans="1:12" ht="15.75" customHeight="1" x14ac:dyDescent="0.25">
      <c r="A1390" s="1" t="s">
        <v>2590</v>
      </c>
      <c r="B1390" s="21">
        <v>18</v>
      </c>
      <c r="C1390" s="1" t="s">
        <v>5448</v>
      </c>
      <c r="D1390" s="21">
        <v>50</v>
      </c>
      <c r="E1390" s="1" t="s">
        <v>5449</v>
      </c>
      <c r="F1390" s="23">
        <v>7</v>
      </c>
      <c r="G1390" s="2" t="s">
        <v>5474</v>
      </c>
      <c r="H1390" s="2" t="s">
        <v>5475</v>
      </c>
      <c r="I1390" s="2" t="s">
        <v>5476</v>
      </c>
      <c r="J1390" s="2" t="s">
        <v>5477</v>
      </c>
      <c r="K1390" s="2" t="s">
        <v>4184</v>
      </c>
      <c r="L1390" s="2" t="s">
        <v>8</v>
      </c>
    </row>
    <row r="1391" spans="1:12" ht="15.75" customHeight="1" x14ac:dyDescent="0.25">
      <c r="A1391" s="1" t="s">
        <v>2590</v>
      </c>
      <c r="B1391" s="21">
        <v>18</v>
      </c>
      <c r="C1391" s="1" t="s">
        <v>5448</v>
      </c>
      <c r="D1391" s="21">
        <v>50</v>
      </c>
      <c r="E1391" s="1" t="s">
        <v>5449</v>
      </c>
      <c r="F1391" s="23">
        <v>8</v>
      </c>
      <c r="G1391" s="2" t="s">
        <v>5478</v>
      </c>
      <c r="H1391" s="2" t="s">
        <v>5479</v>
      </c>
      <c r="I1391" s="2" t="s">
        <v>5480</v>
      </c>
      <c r="J1391" s="2" t="s">
        <v>5481</v>
      </c>
      <c r="K1391" s="2" t="s">
        <v>5482</v>
      </c>
      <c r="L1391" s="2" t="s">
        <v>9</v>
      </c>
    </row>
    <row r="1392" spans="1:12" ht="15.75" customHeight="1" x14ac:dyDescent="0.25">
      <c r="A1392" s="1" t="s">
        <v>2590</v>
      </c>
      <c r="B1392" s="21">
        <v>18</v>
      </c>
      <c r="C1392" s="1" t="s">
        <v>5448</v>
      </c>
      <c r="D1392" s="21">
        <v>50</v>
      </c>
      <c r="E1392" s="1" t="s">
        <v>5449</v>
      </c>
      <c r="F1392" s="23">
        <v>9</v>
      </c>
      <c r="G1392" s="2" t="s">
        <v>5483</v>
      </c>
      <c r="H1392" s="2" t="s">
        <v>5484</v>
      </c>
      <c r="I1392" s="2" t="s">
        <v>5485</v>
      </c>
      <c r="J1392" s="2" t="s">
        <v>5486</v>
      </c>
      <c r="K1392" s="2" t="s">
        <v>5487</v>
      </c>
      <c r="L1392" s="2" t="s">
        <v>8</v>
      </c>
    </row>
    <row r="1393" spans="1:12" ht="15.75" customHeight="1" x14ac:dyDescent="0.25">
      <c r="A1393" s="1" t="s">
        <v>2590</v>
      </c>
      <c r="B1393" s="21">
        <v>18</v>
      </c>
      <c r="C1393" s="1" t="s">
        <v>5448</v>
      </c>
      <c r="D1393" s="21">
        <v>50</v>
      </c>
      <c r="E1393" s="1" t="s">
        <v>5449</v>
      </c>
      <c r="F1393" s="23">
        <v>10</v>
      </c>
      <c r="G1393" s="2" t="s">
        <v>5488</v>
      </c>
      <c r="H1393" s="2" t="s">
        <v>5489</v>
      </c>
      <c r="I1393" s="2" t="s">
        <v>5490</v>
      </c>
      <c r="J1393" s="2" t="s">
        <v>5491</v>
      </c>
      <c r="K1393" s="2" t="s">
        <v>5492</v>
      </c>
      <c r="L1393" s="2" t="s">
        <v>9</v>
      </c>
    </row>
    <row r="1394" spans="1:12" ht="15.75" customHeight="1" x14ac:dyDescent="0.25">
      <c r="A1394" s="1" t="s">
        <v>2590</v>
      </c>
      <c r="B1394" s="21">
        <v>18</v>
      </c>
      <c r="C1394" s="1" t="s">
        <v>5448</v>
      </c>
      <c r="D1394" s="21">
        <v>50</v>
      </c>
      <c r="E1394" s="1" t="s">
        <v>5449</v>
      </c>
      <c r="F1394" s="23">
        <v>11</v>
      </c>
      <c r="G1394" s="2" t="s">
        <v>5493</v>
      </c>
      <c r="H1394" s="2" t="s">
        <v>5494</v>
      </c>
      <c r="I1394" s="2" t="s">
        <v>5459</v>
      </c>
      <c r="J1394" s="2" t="s">
        <v>5495</v>
      </c>
      <c r="K1394" s="2" t="s">
        <v>3500</v>
      </c>
      <c r="L1394" s="2" t="s">
        <v>9</v>
      </c>
    </row>
    <row r="1395" spans="1:12" ht="15.75" customHeight="1" x14ac:dyDescent="0.25">
      <c r="A1395" s="1" t="s">
        <v>2590</v>
      </c>
      <c r="B1395" s="21">
        <v>18</v>
      </c>
      <c r="C1395" s="1" t="s">
        <v>5448</v>
      </c>
      <c r="D1395" s="21">
        <v>50</v>
      </c>
      <c r="E1395" s="1" t="s">
        <v>5449</v>
      </c>
      <c r="F1395" s="23">
        <v>12</v>
      </c>
      <c r="G1395" s="2" t="s">
        <v>5496</v>
      </c>
      <c r="H1395" s="2" t="s">
        <v>5497</v>
      </c>
      <c r="I1395" s="2" t="s">
        <v>5498</v>
      </c>
      <c r="J1395" s="2" t="s">
        <v>5499</v>
      </c>
      <c r="K1395" s="2" t="s">
        <v>5500</v>
      </c>
      <c r="L1395" s="2" t="s">
        <v>8</v>
      </c>
    </row>
    <row r="1396" spans="1:12" ht="15.75" customHeight="1" x14ac:dyDescent="0.25">
      <c r="A1396" s="1" t="s">
        <v>2590</v>
      </c>
      <c r="B1396" s="21">
        <v>18</v>
      </c>
      <c r="C1396" s="1" t="s">
        <v>5448</v>
      </c>
      <c r="D1396" s="21">
        <v>50</v>
      </c>
      <c r="E1396" s="1" t="s">
        <v>5449</v>
      </c>
      <c r="F1396" s="23">
        <v>13</v>
      </c>
      <c r="G1396" s="2" t="s">
        <v>5501</v>
      </c>
      <c r="H1396" s="2" t="s">
        <v>5502</v>
      </c>
      <c r="I1396" s="2" t="s">
        <v>5503</v>
      </c>
      <c r="J1396" s="2" t="s">
        <v>5504</v>
      </c>
      <c r="K1396" s="2" t="s">
        <v>5505</v>
      </c>
      <c r="L1396" s="2" t="s">
        <v>9</v>
      </c>
    </row>
    <row r="1397" spans="1:12" ht="15.75" customHeight="1" x14ac:dyDescent="0.25">
      <c r="A1397" s="1" t="s">
        <v>2590</v>
      </c>
      <c r="B1397" s="21">
        <v>18</v>
      </c>
      <c r="C1397" s="1" t="s">
        <v>5448</v>
      </c>
      <c r="D1397" s="21">
        <v>50</v>
      </c>
      <c r="E1397" s="1" t="s">
        <v>5449</v>
      </c>
      <c r="F1397" s="23">
        <v>14</v>
      </c>
      <c r="G1397" s="2" t="s">
        <v>5506</v>
      </c>
      <c r="H1397" s="2" t="s">
        <v>5507</v>
      </c>
      <c r="I1397" s="2" t="s">
        <v>5508</v>
      </c>
      <c r="J1397" s="2" t="s">
        <v>5509</v>
      </c>
      <c r="K1397" s="2" t="s">
        <v>5510</v>
      </c>
      <c r="L1397" s="2" t="s">
        <v>7</v>
      </c>
    </row>
    <row r="1398" spans="1:12" ht="15.75" customHeight="1" x14ac:dyDescent="0.25">
      <c r="A1398" s="1" t="s">
        <v>2590</v>
      </c>
      <c r="B1398" s="21">
        <v>18</v>
      </c>
      <c r="C1398" s="1" t="s">
        <v>5448</v>
      </c>
      <c r="D1398" s="21">
        <v>50</v>
      </c>
      <c r="E1398" s="1" t="s">
        <v>5449</v>
      </c>
      <c r="F1398" s="23">
        <v>15</v>
      </c>
      <c r="G1398" s="2" t="s">
        <v>5511</v>
      </c>
      <c r="H1398" s="2" t="s">
        <v>5512</v>
      </c>
      <c r="I1398" s="2" t="s">
        <v>5513</v>
      </c>
      <c r="J1398" s="2" t="s">
        <v>5514</v>
      </c>
      <c r="K1398" s="2" t="s">
        <v>5515</v>
      </c>
      <c r="L1398" s="2" t="s">
        <v>9</v>
      </c>
    </row>
    <row r="1399" spans="1:12" ht="15.75" customHeight="1" x14ac:dyDescent="0.25">
      <c r="A1399" s="1" t="s">
        <v>2590</v>
      </c>
      <c r="B1399" s="21">
        <v>18</v>
      </c>
      <c r="C1399" s="1" t="s">
        <v>5448</v>
      </c>
      <c r="D1399" s="21">
        <v>50</v>
      </c>
      <c r="E1399" s="1" t="s">
        <v>5449</v>
      </c>
      <c r="F1399" s="23">
        <v>16</v>
      </c>
      <c r="G1399" s="2" t="s">
        <v>5516</v>
      </c>
      <c r="H1399" s="2" t="s">
        <v>5517</v>
      </c>
      <c r="I1399" s="2" t="s">
        <v>5518</v>
      </c>
      <c r="J1399" s="2" t="s">
        <v>5519</v>
      </c>
      <c r="K1399" s="2" t="s">
        <v>5520</v>
      </c>
      <c r="L1399" s="2" t="s">
        <v>10</v>
      </c>
    </row>
    <row r="1400" spans="1:12" ht="15.75" customHeight="1" x14ac:dyDescent="0.25">
      <c r="A1400" s="1" t="s">
        <v>2590</v>
      </c>
      <c r="B1400" s="21">
        <v>18</v>
      </c>
      <c r="C1400" s="1" t="s">
        <v>5448</v>
      </c>
      <c r="D1400" s="21">
        <v>50</v>
      </c>
      <c r="E1400" s="1" t="s">
        <v>5449</v>
      </c>
      <c r="F1400" s="23">
        <v>17</v>
      </c>
      <c r="G1400" s="2" t="s">
        <v>5521</v>
      </c>
      <c r="H1400" s="2" t="s">
        <v>5522</v>
      </c>
      <c r="I1400" s="2" t="s">
        <v>5523</v>
      </c>
      <c r="J1400" s="2" t="s">
        <v>5524</v>
      </c>
      <c r="K1400" s="2" t="s">
        <v>4184</v>
      </c>
      <c r="L1400" s="2" t="s">
        <v>7</v>
      </c>
    </row>
    <row r="1401" spans="1:12" ht="15.75" customHeight="1" x14ac:dyDescent="0.25">
      <c r="A1401" s="1" t="s">
        <v>2590</v>
      </c>
      <c r="B1401" s="21">
        <v>18</v>
      </c>
      <c r="C1401" s="1" t="s">
        <v>5448</v>
      </c>
      <c r="D1401" s="21">
        <v>50</v>
      </c>
      <c r="E1401" s="1" t="s">
        <v>5449</v>
      </c>
      <c r="F1401" s="23">
        <v>18</v>
      </c>
      <c r="G1401" s="2" t="s">
        <v>5525</v>
      </c>
      <c r="H1401" s="2" t="s">
        <v>5526</v>
      </c>
      <c r="I1401" s="2" t="s">
        <v>5527</v>
      </c>
      <c r="J1401" s="2" t="s">
        <v>5528</v>
      </c>
      <c r="K1401" s="2" t="s">
        <v>4184</v>
      </c>
      <c r="L1401" s="2" t="s">
        <v>8</v>
      </c>
    </row>
    <row r="1402" spans="1:12" ht="15.75" customHeight="1" x14ac:dyDescent="0.25">
      <c r="A1402" s="1" t="s">
        <v>2590</v>
      </c>
      <c r="B1402" s="21">
        <v>18</v>
      </c>
      <c r="C1402" s="1" t="s">
        <v>5448</v>
      </c>
      <c r="D1402" s="21">
        <v>50</v>
      </c>
      <c r="E1402" s="1" t="s">
        <v>5449</v>
      </c>
      <c r="F1402" s="23">
        <v>19</v>
      </c>
      <c r="G1402" s="2" t="s">
        <v>5529</v>
      </c>
      <c r="H1402" s="2" t="s">
        <v>5530</v>
      </c>
      <c r="I1402" s="2" t="s">
        <v>5531</v>
      </c>
      <c r="J1402" s="2" t="s">
        <v>5532</v>
      </c>
      <c r="K1402" s="2" t="s">
        <v>4184</v>
      </c>
      <c r="L1402" s="2" t="s">
        <v>8</v>
      </c>
    </row>
    <row r="1403" spans="1:12" ht="15.75" customHeight="1" x14ac:dyDescent="0.25">
      <c r="A1403" s="1" t="s">
        <v>2590</v>
      </c>
      <c r="B1403" s="21">
        <v>18</v>
      </c>
      <c r="C1403" s="1" t="s">
        <v>5448</v>
      </c>
      <c r="D1403" s="21">
        <v>50</v>
      </c>
      <c r="E1403" s="1" t="s">
        <v>5449</v>
      </c>
      <c r="F1403" s="23">
        <v>20</v>
      </c>
      <c r="G1403" s="2" t="s">
        <v>5533</v>
      </c>
      <c r="H1403" s="2" t="s">
        <v>5534</v>
      </c>
      <c r="I1403" s="2" t="s">
        <v>5535</v>
      </c>
      <c r="J1403" s="2" t="s">
        <v>5536</v>
      </c>
      <c r="K1403" s="2" t="s">
        <v>4184</v>
      </c>
      <c r="L1403" s="2" t="s">
        <v>8</v>
      </c>
    </row>
    <row r="1404" spans="1:12" ht="15.75" customHeight="1" x14ac:dyDescent="0.25">
      <c r="A1404" s="1" t="s">
        <v>2590</v>
      </c>
      <c r="B1404" s="21">
        <v>18</v>
      </c>
      <c r="C1404" s="1" t="s">
        <v>5448</v>
      </c>
      <c r="D1404" s="21">
        <v>51</v>
      </c>
      <c r="E1404" s="1" t="s">
        <v>5537</v>
      </c>
      <c r="F1404" s="23">
        <v>1</v>
      </c>
      <c r="G1404" s="2" t="s">
        <v>5538</v>
      </c>
      <c r="H1404" s="2" t="s">
        <v>5539</v>
      </c>
      <c r="I1404" s="2" t="s">
        <v>5540</v>
      </c>
      <c r="J1404" s="2" t="s">
        <v>5541</v>
      </c>
      <c r="K1404" s="2" t="s">
        <v>5542</v>
      </c>
      <c r="L1404" s="2" t="s">
        <v>9</v>
      </c>
    </row>
    <row r="1405" spans="1:12" ht="15.75" customHeight="1" x14ac:dyDescent="0.25">
      <c r="A1405" s="1" t="s">
        <v>2590</v>
      </c>
      <c r="B1405" s="21">
        <v>18</v>
      </c>
      <c r="C1405" s="1" t="s">
        <v>5448</v>
      </c>
      <c r="D1405" s="21">
        <v>51</v>
      </c>
      <c r="E1405" s="1" t="s">
        <v>5537</v>
      </c>
      <c r="F1405" s="23">
        <v>2</v>
      </c>
      <c r="G1405" s="2" t="s">
        <v>5543</v>
      </c>
      <c r="H1405" s="2" t="s">
        <v>5544</v>
      </c>
      <c r="I1405" s="2" t="s">
        <v>5545</v>
      </c>
      <c r="J1405" s="2" t="s">
        <v>5546</v>
      </c>
      <c r="K1405" s="2" t="s">
        <v>5547</v>
      </c>
      <c r="L1405" s="2" t="s">
        <v>10</v>
      </c>
    </row>
    <row r="1406" spans="1:12" ht="15.75" customHeight="1" x14ac:dyDescent="0.25">
      <c r="A1406" s="1" t="s">
        <v>2590</v>
      </c>
      <c r="B1406" s="21">
        <v>18</v>
      </c>
      <c r="C1406" s="1" t="s">
        <v>5448</v>
      </c>
      <c r="D1406" s="21">
        <v>51</v>
      </c>
      <c r="E1406" s="1" t="s">
        <v>5537</v>
      </c>
      <c r="F1406" s="23">
        <v>3</v>
      </c>
      <c r="G1406" s="2" t="s">
        <v>5548</v>
      </c>
      <c r="H1406" s="2" t="s">
        <v>5549</v>
      </c>
      <c r="I1406" s="2" t="s">
        <v>5550</v>
      </c>
      <c r="J1406" s="2" t="s">
        <v>5551</v>
      </c>
      <c r="K1406" s="2" t="s">
        <v>5552</v>
      </c>
      <c r="L1406" s="2" t="s">
        <v>8</v>
      </c>
    </row>
    <row r="1407" spans="1:12" ht="15.75" customHeight="1" x14ac:dyDescent="0.25">
      <c r="A1407" s="1" t="s">
        <v>2590</v>
      </c>
      <c r="B1407" s="21">
        <v>18</v>
      </c>
      <c r="C1407" s="1" t="s">
        <v>5448</v>
      </c>
      <c r="D1407" s="21">
        <v>51</v>
      </c>
      <c r="E1407" s="1" t="s">
        <v>5537</v>
      </c>
      <c r="F1407" s="23">
        <v>4</v>
      </c>
      <c r="G1407" s="2" t="s">
        <v>5553</v>
      </c>
      <c r="H1407" s="2" t="s">
        <v>5554</v>
      </c>
      <c r="I1407" s="2" t="s">
        <v>5555</v>
      </c>
      <c r="J1407" s="2" t="s">
        <v>5556</v>
      </c>
      <c r="K1407" s="2" t="s">
        <v>5557</v>
      </c>
      <c r="L1407" s="2" t="s">
        <v>9</v>
      </c>
    </row>
    <row r="1408" spans="1:12" ht="15.75" customHeight="1" x14ac:dyDescent="0.25">
      <c r="A1408" s="1" t="s">
        <v>2590</v>
      </c>
      <c r="B1408" s="21">
        <v>18</v>
      </c>
      <c r="C1408" s="1" t="s">
        <v>5448</v>
      </c>
      <c r="D1408" s="21">
        <v>51</v>
      </c>
      <c r="E1408" s="1" t="s">
        <v>5537</v>
      </c>
      <c r="F1408" s="23">
        <v>5</v>
      </c>
      <c r="G1408" s="2" t="s">
        <v>5558</v>
      </c>
      <c r="H1408" s="2" t="s">
        <v>5559</v>
      </c>
      <c r="I1408" s="2" t="s">
        <v>5560</v>
      </c>
      <c r="J1408" s="2" t="s">
        <v>5561</v>
      </c>
      <c r="K1408" s="2" t="s">
        <v>5562</v>
      </c>
      <c r="L1408" s="2" t="s">
        <v>8</v>
      </c>
    </row>
    <row r="1409" spans="1:12" ht="15.75" customHeight="1" x14ac:dyDescent="0.25">
      <c r="A1409" s="1" t="s">
        <v>2590</v>
      </c>
      <c r="B1409" s="21">
        <v>18</v>
      </c>
      <c r="C1409" s="1" t="s">
        <v>5448</v>
      </c>
      <c r="D1409" s="21">
        <v>51</v>
      </c>
      <c r="E1409" s="1" t="s">
        <v>5537</v>
      </c>
      <c r="F1409" s="23">
        <v>6</v>
      </c>
      <c r="G1409" s="2" t="s">
        <v>5563</v>
      </c>
      <c r="H1409" s="2" t="s">
        <v>5564</v>
      </c>
      <c r="I1409" s="2" t="s">
        <v>5565</v>
      </c>
      <c r="J1409" s="2" t="s">
        <v>5566</v>
      </c>
      <c r="K1409" s="2" t="s">
        <v>5567</v>
      </c>
      <c r="L1409" s="2" t="s">
        <v>8</v>
      </c>
    </row>
    <row r="1410" spans="1:12" ht="15.75" customHeight="1" x14ac:dyDescent="0.25">
      <c r="A1410" s="1" t="s">
        <v>2590</v>
      </c>
      <c r="B1410" s="21">
        <v>18</v>
      </c>
      <c r="C1410" s="1" t="s">
        <v>5448</v>
      </c>
      <c r="D1410" s="21">
        <v>51</v>
      </c>
      <c r="E1410" s="1" t="s">
        <v>5537</v>
      </c>
      <c r="F1410" s="23">
        <v>7</v>
      </c>
      <c r="G1410" s="2" t="s">
        <v>5568</v>
      </c>
      <c r="H1410" s="2" t="s">
        <v>5569</v>
      </c>
      <c r="I1410" s="2" t="s">
        <v>5570</v>
      </c>
      <c r="J1410" s="2" t="s">
        <v>5571</v>
      </c>
      <c r="K1410" s="2" t="s">
        <v>5572</v>
      </c>
      <c r="L1410" s="2" t="s">
        <v>7</v>
      </c>
    </row>
    <row r="1411" spans="1:12" ht="15.75" customHeight="1" x14ac:dyDescent="0.25">
      <c r="A1411" s="1" t="s">
        <v>2590</v>
      </c>
      <c r="B1411" s="21">
        <v>18</v>
      </c>
      <c r="C1411" s="1" t="s">
        <v>5448</v>
      </c>
      <c r="D1411" s="21">
        <v>51</v>
      </c>
      <c r="E1411" s="1" t="s">
        <v>5537</v>
      </c>
      <c r="F1411" s="23">
        <v>8</v>
      </c>
      <c r="G1411" s="2" t="s">
        <v>5573</v>
      </c>
      <c r="H1411" s="2" t="s">
        <v>5574</v>
      </c>
      <c r="I1411" s="2" t="s">
        <v>5575</v>
      </c>
      <c r="J1411" s="2" t="s">
        <v>5576</v>
      </c>
      <c r="K1411" s="2" t="s">
        <v>5577</v>
      </c>
      <c r="L1411" s="2" t="s">
        <v>9</v>
      </c>
    </row>
    <row r="1412" spans="1:12" ht="15.75" customHeight="1" x14ac:dyDescent="0.25">
      <c r="A1412" s="1" t="s">
        <v>2590</v>
      </c>
      <c r="B1412" s="21">
        <v>18</v>
      </c>
      <c r="C1412" s="1" t="s">
        <v>5448</v>
      </c>
      <c r="D1412" s="21">
        <v>51</v>
      </c>
      <c r="E1412" s="1" t="s">
        <v>5537</v>
      </c>
      <c r="F1412" s="23">
        <v>9</v>
      </c>
      <c r="G1412" s="2" t="s">
        <v>5578</v>
      </c>
      <c r="H1412" s="2" t="s">
        <v>5579</v>
      </c>
      <c r="I1412" s="2" t="s">
        <v>5580</v>
      </c>
      <c r="J1412" s="2" t="s">
        <v>5581</v>
      </c>
      <c r="K1412" s="2" t="s">
        <v>5582</v>
      </c>
      <c r="L1412" s="2" t="s">
        <v>10</v>
      </c>
    </row>
    <row r="1413" spans="1:12" ht="15.75" customHeight="1" x14ac:dyDescent="0.25">
      <c r="A1413" s="1" t="s">
        <v>2590</v>
      </c>
      <c r="B1413" s="21">
        <v>18</v>
      </c>
      <c r="C1413" s="1" t="s">
        <v>5448</v>
      </c>
      <c r="D1413" s="21">
        <v>51</v>
      </c>
      <c r="E1413" s="1" t="s">
        <v>5537</v>
      </c>
      <c r="F1413" s="23">
        <v>10</v>
      </c>
      <c r="G1413" s="2" t="s">
        <v>5583</v>
      </c>
      <c r="H1413" s="2" t="s">
        <v>5584</v>
      </c>
      <c r="I1413" s="2" t="s">
        <v>5585</v>
      </c>
      <c r="J1413" s="2" t="s">
        <v>5586</v>
      </c>
      <c r="K1413" s="2" t="s">
        <v>5587</v>
      </c>
      <c r="L1413" s="2" t="s">
        <v>9</v>
      </c>
    </row>
    <row r="1414" spans="1:12" ht="15.75" customHeight="1" x14ac:dyDescent="0.25">
      <c r="A1414" s="1" t="s">
        <v>2590</v>
      </c>
      <c r="B1414" s="21">
        <v>18</v>
      </c>
      <c r="C1414" s="1" t="s">
        <v>5448</v>
      </c>
      <c r="D1414" s="21">
        <v>51</v>
      </c>
      <c r="E1414" s="1" t="s">
        <v>5537</v>
      </c>
      <c r="F1414" s="23">
        <v>11</v>
      </c>
      <c r="G1414" s="2" t="s">
        <v>5588</v>
      </c>
      <c r="H1414" s="2" t="s">
        <v>5589</v>
      </c>
      <c r="I1414" s="2" t="s">
        <v>5590</v>
      </c>
      <c r="J1414" s="2" t="s">
        <v>5591</v>
      </c>
      <c r="K1414" s="2" t="s">
        <v>5592</v>
      </c>
      <c r="L1414" s="2" t="s">
        <v>9</v>
      </c>
    </row>
    <row r="1415" spans="1:12" ht="15.75" customHeight="1" x14ac:dyDescent="0.25">
      <c r="A1415" s="1" t="s">
        <v>2590</v>
      </c>
      <c r="B1415" s="21">
        <v>18</v>
      </c>
      <c r="C1415" s="1" t="s">
        <v>5448</v>
      </c>
      <c r="D1415" s="21">
        <v>51</v>
      </c>
      <c r="E1415" s="1" t="s">
        <v>5537</v>
      </c>
      <c r="F1415" s="23">
        <v>12</v>
      </c>
      <c r="G1415" s="2" t="s">
        <v>5593</v>
      </c>
      <c r="H1415" s="2" t="s">
        <v>5594</v>
      </c>
      <c r="I1415" s="2" t="s">
        <v>5595</v>
      </c>
      <c r="J1415" s="2" t="s">
        <v>5596</v>
      </c>
      <c r="K1415" s="2" t="s">
        <v>5597</v>
      </c>
      <c r="L1415" s="2" t="s">
        <v>8</v>
      </c>
    </row>
    <row r="1416" spans="1:12" ht="15.75" customHeight="1" x14ac:dyDescent="0.25">
      <c r="A1416" s="1" t="s">
        <v>2590</v>
      </c>
      <c r="B1416" s="21">
        <v>18</v>
      </c>
      <c r="C1416" s="1" t="s">
        <v>5448</v>
      </c>
      <c r="D1416" s="21">
        <v>51</v>
      </c>
      <c r="E1416" s="1" t="s">
        <v>5537</v>
      </c>
      <c r="F1416" s="23">
        <v>13</v>
      </c>
      <c r="G1416" s="2" t="s">
        <v>5598</v>
      </c>
      <c r="H1416" s="2" t="s">
        <v>5599</v>
      </c>
      <c r="I1416" s="2" t="s">
        <v>5600</v>
      </c>
      <c r="J1416" s="2" t="s">
        <v>5601</v>
      </c>
      <c r="K1416" s="2" t="s">
        <v>5602</v>
      </c>
      <c r="L1416" s="2" t="s">
        <v>8</v>
      </c>
    </row>
    <row r="1417" spans="1:12" ht="15.75" customHeight="1" x14ac:dyDescent="0.25">
      <c r="A1417" s="1" t="s">
        <v>2590</v>
      </c>
      <c r="B1417" s="21">
        <v>18</v>
      </c>
      <c r="C1417" s="1" t="s">
        <v>5448</v>
      </c>
      <c r="D1417" s="21">
        <v>51</v>
      </c>
      <c r="E1417" s="1" t="s">
        <v>5537</v>
      </c>
      <c r="F1417" s="23">
        <v>14</v>
      </c>
      <c r="G1417" s="2" t="s">
        <v>5603</v>
      </c>
      <c r="H1417" s="2" t="s">
        <v>5604</v>
      </c>
      <c r="I1417" s="2" t="s">
        <v>5605</v>
      </c>
      <c r="J1417" s="2" t="s">
        <v>5606</v>
      </c>
      <c r="K1417" s="2" t="s">
        <v>5607</v>
      </c>
      <c r="L1417" s="2" t="s">
        <v>9</v>
      </c>
    </row>
    <row r="1418" spans="1:12" ht="15.75" customHeight="1" x14ac:dyDescent="0.25">
      <c r="A1418" s="1" t="s">
        <v>2590</v>
      </c>
      <c r="B1418" s="21">
        <v>18</v>
      </c>
      <c r="C1418" s="1" t="s">
        <v>5448</v>
      </c>
      <c r="D1418" s="21">
        <v>51</v>
      </c>
      <c r="E1418" s="1" t="s">
        <v>5537</v>
      </c>
      <c r="F1418" s="23">
        <v>15</v>
      </c>
      <c r="G1418" s="2" t="s">
        <v>5608</v>
      </c>
      <c r="H1418" s="2" t="s">
        <v>5609</v>
      </c>
      <c r="I1418" s="2" t="s">
        <v>5575</v>
      </c>
      <c r="J1418" s="2" t="s">
        <v>5610</v>
      </c>
      <c r="K1418" s="2" t="s">
        <v>5611</v>
      </c>
      <c r="L1418" s="2" t="s">
        <v>10</v>
      </c>
    </row>
    <row r="1419" spans="1:12" ht="15.75" customHeight="1" x14ac:dyDescent="0.25">
      <c r="A1419" s="1" t="s">
        <v>2590</v>
      </c>
      <c r="B1419" s="21">
        <v>18</v>
      </c>
      <c r="C1419" s="1" t="s">
        <v>5448</v>
      </c>
      <c r="D1419" s="21">
        <v>51</v>
      </c>
      <c r="E1419" s="1" t="s">
        <v>5537</v>
      </c>
      <c r="F1419" s="23">
        <v>16</v>
      </c>
      <c r="G1419" s="2" t="s">
        <v>5612</v>
      </c>
      <c r="H1419" s="2" t="s">
        <v>5613</v>
      </c>
      <c r="I1419" s="2" t="s">
        <v>5614</v>
      </c>
      <c r="J1419" s="2" t="s">
        <v>5615</v>
      </c>
      <c r="K1419" s="2" t="s">
        <v>5616</v>
      </c>
      <c r="L1419" s="2" t="s">
        <v>8</v>
      </c>
    </row>
    <row r="1420" spans="1:12" ht="15.75" customHeight="1" x14ac:dyDescent="0.25">
      <c r="A1420" s="1" t="s">
        <v>2590</v>
      </c>
      <c r="B1420" s="21">
        <v>18</v>
      </c>
      <c r="C1420" s="1" t="s">
        <v>5448</v>
      </c>
      <c r="D1420" s="21">
        <v>51</v>
      </c>
      <c r="E1420" s="1" t="s">
        <v>5537</v>
      </c>
      <c r="F1420" s="23">
        <v>17</v>
      </c>
      <c r="G1420" s="2" t="s">
        <v>5617</v>
      </c>
      <c r="H1420" s="2" t="s">
        <v>5618</v>
      </c>
      <c r="I1420" s="2" t="s">
        <v>5619</v>
      </c>
      <c r="J1420" s="2" t="s">
        <v>5620</v>
      </c>
      <c r="K1420" s="2" t="s">
        <v>5621</v>
      </c>
      <c r="L1420" s="2" t="s">
        <v>10</v>
      </c>
    </row>
    <row r="1421" spans="1:12" ht="15.75" customHeight="1" x14ac:dyDescent="0.25">
      <c r="A1421" s="1" t="s">
        <v>2590</v>
      </c>
      <c r="B1421" s="21">
        <v>18</v>
      </c>
      <c r="C1421" s="1" t="s">
        <v>5448</v>
      </c>
      <c r="D1421" s="21">
        <v>51</v>
      </c>
      <c r="E1421" s="1" t="s">
        <v>5537</v>
      </c>
      <c r="F1421" s="23">
        <v>18</v>
      </c>
      <c r="G1421" s="2" t="s">
        <v>5622</v>
      </c>
      <c r="H1421" s="2" t="s">
        <v>5623</v>
      </c>
      <c r="I1421" s="2" t="s">
        <v>5624</v>
      </c>
      <c r="J1421" s="2" t="s">
        <v>5625</v>
      </c>
      <c r="K1421" s="2" t="s">
        <v>5626</v>
      </c>
      <c r="L1421" s="2" t="s">
        <v>9</v>
      </c>
    </row>
    <row r="1422" spans="1:12" ht="15.75" customHeight="1" x14ac:dyDescent="0.25">
      <c r="A1422" s="1" t="s">
        <v>2590</v>
      </c>
      <c r="B1422" s="21">
        <v>18</v>
      </c>
      <c r="C1422" s="1" t="s">
        <v>5448</v>
      </c>
      <c r="D1422" s="21">
        <v>51</v>
      </c>
      <c r="E1422" s="1" t="s">
        <v>5537</v>
      </c>
      <c r="F1422" s="23">
        <v>19</v>
      </c>
      <c r="G1422" s="2" t="s">
        <v>5627</v>
      </c>
      <c r="H1422" s="2" t="s">
        <v>5628</v>
      </c>
      <c r="I1422" s="2" t="s">
        <v>5626</v>
      </c>
      <c r="J1422" s="2" t="s">
        <v>5623</v>
      </c>
      <c r="K1422" s="2" t="s">
        <v>5629</v>
      </c>
      <c r="L1422" s="2" t="s">
        <v>9</v>
      </c>
    </row>
    <row r="1423" spans="1:12" ht="15.75" customHeight="1" x14ac:dyDescent="0.25">
      <c r="A1423" s="1" t="s">
        <v>2590</v>
      </c>
      <c r="B1423" s="21">
        <v>18</v>
      </c>
      <c r="C1423" s="1" t="s">
        <v>5448</v>
      </c>
      <c r="D1423" s="21">
        <v>51</v>
      </c>
      <c r="E1423" s="1" t="s">
        <v>5537</v>
      </c>
      <c r="F1423" s="23">
        <v>20</v>
      </c>
      <c r="G1423" s="2" t="s">
        <v>5630</v>
      </c>
      <c r="H1423" s="2" t="s">
        <v>5631</v>
      </c>
      <c r="I1423" s="2" t="s">
        <v>5632</v>
      </c>
      <c r="J1423" s="2" t="s">
        <v>5633</v>
      </c>
      <c r="K1423" s="2" t="s">
        <v>5634</v>
      </c>
      <c r="L1423" s="2" t="s">
        <v>10</v>
      </c>
    </row>
    <row r="1424" spans="1:12" ht="15.75" customHeight="1" x14ac:dyDescent="0.25">
      <c r="A1424" s="1" t="s">
        <v>2590</v>
      </c>
      <c r="B1424" s="21">
        <v>18</v>
      </c>
      <c r="C1424" s="1" t="s">
        <v>5448</v>
      </c>
      <c r="D1424" s="21">
        <v>52</v>
      </c>
      <c r="E1424" s="1" t="s">
        <v>5635</v>
      </c>
      <c r="F1424" s="23">
        <v>1</v>
      </c>
      <c r="G1424" s="2" t="s">
        <v>5636</v>
      </c>
      <c r="H1424" s="2" t="s">
        <v>5637</v>
      </c>
      <c r="I1424" s="2" t="s">
        <v>5638</v>
      </c>
      <c r="J1424" s="2" t="s">
        <v>5639</v>
      </c>
      <c r="K1424" s="2" t="s">
        <v>5640</v>
      </c>
      <c r="L1424" s="2" t="s">
        <v>7</v>
      </c>
    </row>
    <row r="1425" spans="1:12" ht="15.75" customHeight="1" x14ac:dyDescent="0.25">
      <c r="A1425" s="1" t="s">
        <v>2590</v>
      </c>
      <c r="B1425" s="21">
        <v>18</v>
      </c>
      <c r="C1425" s="1" t="s">
        <v>5448</v>
      </c>
      <c r="D1425" s="21">
        <v>52</v>
      </c>
      <c r="E1425" s="1" t="s">
        <v>5635</v>
      </c>
      <c r="F1425" s="23">
        <v>2</v>
      </c>
      <c r="G1425" s="2" t="s">
        <v>5641</v>
      </c>
      <c r="H1425" s="2" t="s">
        <v>5642</v>
      </c>
      <c r="I1425" s="2" t="s">
        <v>5643</v>
      </c>
      <c r="J1425" s="2" t="s">
        <v>5644</v>
      </c>
      <c r="K1425" s="2" t="s">
        <v>5645</v>
      </c>
      <c r="L1425" s="2" t="s">
        <v>8</v>
      </c>
    </row>
    <row r="1426" spans="1:12" ht="15.75" customHeight="1" x14ac:dyDescent="0.25">
      <c r="A1426" s="1" t="s">
        <v>2590</v>
      </c>
      <c r="B1426" s="21">
        <v>18</v>
      </c>
      <c r="C1426" s="1" t="s">
        <v>5448</v>
      </c>
      <c r="D1426" s="21">
        <v>52</v>
      </c>
      <c r="E1426" s="1" t="s">
        <v>5635</v>
      </c>
      <c r="F1426" s="23">
        <v>3</v>
      </c>
      <c r="G1426" s="2" t="s">
        <v>5646</v>
      </c>
      <c r="H1426" s="2" t="s">
        <v>5647</v>
      </c>
      <c r="I1426" s="2" t="s">
        <v>5648</v>
      </c>
      <c r="J1426" s="2" t="s">
        <v>5649</v>
      </c>
      <c r="K1426" s="2" t="s">
        <v>5650</v>
      </c>
      <c r="L1426" s="2" t="s">
        <v>9</v>
      </c>
    </row>
    <row r="1427" spans="1:12" ht="15.75" customHeight="1" x14ac:dyDescent="0.25">
      <c r="A1427" s="1" t="s">
        <v>2590</v>
      </c>
      <c r="B1427" s="21">
        <v>18</v>
      </c>
      <c r="C1427" s="1" t="s">
        <v>5448</v>
      </c>
      <c r="D1427" s="21">
        <v>52</v>
      </c>
      <c r="E1427" s="1" t="s">
        <v>5635</v>
      </c>
      <c r="F1427" s="23">
        <v>4</v>
      </c>
      <c r="G1427" s="2" t="s">
        <v>5651</v>
      </c>
      <c r="H1427" s="2" t="s">
        <v>5649</v>
      </c>
      <c r="I1427" s="2" t="s">
        <v>5648</v>
      </c>
      <c r="J1427" s="2" t="s">
        <v>5652</v>
      </c>
      <c r="K1427" s="2" t="s">
        <v>5650</v>
      </c>
      <c r="L1427" s="2" t="s">
        <v>8</v>
      </c>
    </row>
    <row r="1428" spans="1:12" ht="15.75" customHeight="1" x14ac:dyDescent="0.25">
      <c r="A1428" s="1" t="s">
        <v>2590</v>
      </c>
      <c r="B1428" s="21">
        <v>18</v>
      </c>
      <c r="C1428" s="1" t="s">
        <v>5448</v>
      </c>
      <c r="D1428" s="21">
        <v>52</v>
      </c>
      <c r="E1428" s="1" t="s">
        <v>5635</v>
      </c>
      <c r="F1428" s="23">
        <v>5</v>
      </c>
      <c r="G1428" s="2" t="s">
        <v>5653</v>
      </c>
      <c r="H1428" s="2" t="s">
        <v>5654</v>
      </c>
      <c r="I1428" s="2" t="s">
        <v>5655</v>
      </c>
      <c r="J1428" s="2" t="s">
        <v>5656</v>
      </c>
      <c r="K1428" s="2" t="s">
        <v>5657</v>
      </c>
      <c r="L1428" s="2" t="s">
        <v>9</v>
      </c>
    </row>
    <row r="1429" spans="1:12" ht="15.75" customHeight="1" x14ac:dyDescent="0.25">
      <c r="A1429" s="1" t="s">
        <v>2590</v>
      </c>
      <c r="B1429" s="21">
        <v>18</v>
      </c>
      <c r="C1429" s="1" t="s">
        <v>5448</v>
      </c>
      <c r="D1429" s="21">
        <v>52</v>
      </c>
      <c r="E1429" s="1" t="s">
        <v>5635</v>
      </c>
      <c r="F1429" s="23">
        <v>6</v>
      </c>
      <c r="G1429" s="2" t="s">
        <v>5658</v>
      </c>
      <c r="H1429" s="2" t="s">
        <v>5659</v>
      </c>
      <c r="I1429" s="2" t="s">
        <v>5660</v>
      </c>
      <c r="J1429" s="2" t="s">
        <v>5661</v>
      </c>
      <c r="K1429" s="2" t="s">
        <v>5662</v>
      </c>
      <c r="L1429" s="2" t="s">
        <v>9</v>
      </c>
    </row>
    <row r="1430" spans="1:12" ht="15.75" customHeight="1" x14ac:dyDescent="0.25">
      <c r="A1430" s="1" t="s">
        <v>2590</v>
      </c>
      <c r="B1430" s="21">
        <v>18</v>
      </c>
      <c r="C1430" s="1" t="s">
        <v>5448</v>
      </c>
      <c r="D1430" s="21">
        <v>52</v>
      </c>
      <c r="E1430" s="1" t="s">
        <v>5635</v>
      </c>
      <c r="F1430" s="23">
        <v>7</v>
      </c>
      <c r="G1430" s="2" t="s">
        <v>5663</v>
      </c>
      <c r="H1430" s="2" t="s">
        <v>5664</v>
      </c>
      <c r="I1430" s="2" t="s">
        <v>5665</v>
      </c>
      <c r="J1430" s="2" t="s">
        <v>5666</v>
      </c>
      <c r="K1430" s="2" t="s">
        <v>5667</v>
      </c>
      <c r="L1430" s="2" t="s">
        <v>8</v>
      </c>
    </row>
    <row r="1431" spans="1:12" ht="15.75" customHeight="1" x14ac:dyDescent="0.25">
      <c r="A1431" s="1" t="s">
        <v>2590</v>
      </c>
      <c r="B1431" s="21">
        <v>18</v>
      </c>
      <c r="C1431" s="1" t="s">
        <v>5448</v>
      </c>
      <c r="D1431" s="21">
        <v>52</v>
      </c>
      <c r="E1431" s="1" t="s">
        <v>5635</v>
      </c>
      <c r="F1431" s="23">
        <v>8</v>
      </c>
      <c r="G1431" s="2" t="s">
        <v>5668</v>
      </c>
      <c r="H1431" s="2" t="s">
        <v>5669</v>
      </c>
      <c r="I1431" s="2" t="s">
        <v>5670</v>
      </c>
      <c r="J1431" s="2" t="s">
        <v>5671</v>
      </c>
      <c r="K1431" s="2" t="s">
        <v>5672</v>
      </c>
      <c r="L1431" s="2" t="s">
        <v>9</v>
      </c>
    </row>
    <row r="1432" spans="1:12" ht="15.75" customHeight="1" x14ac:dyDescent="0.25">
      <c r="A1432" s="1" t="s">
        <v>2590</v>
      </c>
      <c r="B1432" s="21">
        <v>18</v>
      </c>
      <c r="C1432" s="1" t="s">
        <v>5448</v>
      </c>
      <c r="D1432" s="21">
        <v>52</v>
      </c>
      <c r="E1432" s="1" t="s">
        <v>5635</v>
      </c>
      <c r="F1432" s="23">
        <v>9</v>
      </c>
      <c r="G1432" s="2" t="s">
        <v>5673</v>
      </c>
      <c r="H1432" s="2" t="s">
        <v>5674</v>
      </c>
      <c r="I1432" s="2" t="s">
        <v>5656</v>
      </c>
      <c r="J1432" s="2" t="s">
        <v>5675</v>
      </c>
      <c r="K1432" s="2" t="s">
        <v>5676</v>
      </c>
      <c r="L1432" s="2" t="s">
        <v>9</v>
      </c>
    </row>
    <row r="1433" spans="1:12" ht="15.75" customHeight="1" x14ac:dyDescent="0.25">
      <c r="A1433" s="1" t="s">
        <v>2590</v>
      </c>
      <c r="B1433" s="21">
        <v>18</v>
      </c>
      <c r="C1433" s="1" t="s">
        <v>5448</v>
      </c>
      <c r="D1433" s="21">
        <v>52</v>
      </c>
      <c r="E1433" s="1" t="s">
        <v>5635</v>
      </c>
      <c r="F1433" s="23">
        <v>10</v>
      </c>
      <c r="G1433" s="2" t="s">
        <v>5677</v>
      </c>
      <c r="H1433" s="2" t="s">
        <v>5647</v>
      </c>
      <c r="I1433" s="2" t="s">
        <v>5678</v>
      </c>
      <c r="J1433" s="2" t="s">
        <v>5652</v>
      </c>
      <c r="K1433" s="2" t="s">
        <v>5679</v>
      </c>
      <c r="L1433" s="2" t="s">
        <v>9</v>
      </c>
    </row>
    <row r="1434" spans="1:12" ht="15.75" customHeight="1" x14ac:dyDescent="0.25">
      <c r="A1434" s="1" t="s">
        <v>2590</v>
      </c>
      <c r="B1434" s="21">
        <v>18</v>
      </c>
      <c r="C1434" s="1" t="s">
        <v>5448</v>
      </c>
      <c r="D1434" s="21">
        <v>52</v>
      </c>
      <c r="E1434" s="1" t="s">
        <v>5635</v>
      </c>
      <c r="F1434" s="23">
        <v>11</v>
      </c>
      <c r="G1434" s="2" t="s">
        <v>5680</v>
      </c>
      <c r="H1434" s="2" t="s">
        <v>5681</v>
      </c>
      <c r="I1434" s="2" t="s">
        <v>5682</v>
      </c>
      <c r="J1434" s="2" t="s">
        <v>5683</v>
      </c>
      <c r="K1434" s="2" t="s">
        <v>5684</v>
      </c>
      <c r="L1434" s="2" t="s">
        <v>8</v>
      </c>
    </row>
    <row r="1435" spans="1:12" ht="15.75" customHeight="1" x14ac:dyDescent="0.25">
      <c r="A1435" s="1" t="s">
        <v>2590</v>
      </c>
      <c r="B1435" s="21">
        <v>18</v>
      </c>
      <c r="C1435" s="1" t="s">
        <v>5448</v>
      </c>
      <c r="D1435" s="21">
        <v>52</v>
      </c>
      <c r="E1435" s="1" t="s">
        <v>5635</v>
      </c>
      <c r="F1435" s="23">
        <v>12</v>
      </c>
      <c r="G1435" s="2" t="s">
        <v>5685</v>
      </c>
      <c r="H1435" s="2" t="s">
        <v>5650</v>
      </c>
      <c r="I1435" s="2" t="s">
        <v>5649</v>
      </c>
      <c r="J1435" s="2" t="s">
        <v>5647</v>
      </c>
      <c r="K1435" s="2" t="s">
        <v>5686</v>
      </c>
      <c r="L1435" s="2" t="s">
        <v>7</v>
      </c>
    </row>
    <row r="1436" spans="1:12" ht="15.75" customHeight="1" x14ac:dyDescent="0.25">
      <c r="A1436" s="1" t="s">
        <v>2590</v>
      </c>
      <c r="B1436" s="21">
        <v>18</v>
      </c>
      <c r="C1436" s="1" t="s">
        <v>5448</v>
      </c>
      <c r="D1436" s="21">
        <v>52</v>
      </c>
      <c r="E1436" s="1" t="s">
        <v>5635</v>
      </c>
      <c r="F1436" s="23">
        <v>13</v>
      </c>
      <c r="G1436" s="2" t="s">
        <v>5687</v>
      </c>
      <c r="H1436" s="2" t="s">
        <v>5688</v>
      </c>
      <c r="I1436" s="2" t="s">
        <v>5689</v>
      </c>
      <c r="J1436" s="2" t="s">
        <v>5690</v>
      </c>
      <c r="K1436" s="2" t="s">
        <v>5691</v>
      </c>
      <c r="L1436" s="2" t="s">
        <v>10</v>
      </c>
    </row>
    <row r="1437" spans="1:12" ht="15.75" customHeight="1" x14ac:dyDescent="0.25">
      <c r="A1437" s="1" t="s">
        <v>2590</v>
      </c>
      <c r="B1437" s="21">
        <v>18</v>
      </c>
      <c r="C1437" s="1" t="s">
        <v>5448</v>
      </c>
      <c r="D1437" s="21">
        <v>52</v>
      </c>
      <c r="E1437" s="1" t="s">
        <v>5635</v>
      </c>
      <c r="F1437" s="23">
        <v>14</v>
      </c>
      <c r="G1437" s="2" t="s">
        <v>5692</v>
      </c>
      <c r="H1437" s="2" t="s">
        <v>5693</v>
      </c>
      <c r="I1437" s="2" t="s">
        <v>5694</v>
      </c>
      <c r="J1437" s="2" t="s">
        <v>5695</v>
      </c>
      <c r="K1437" s="2" t="s">
        <v>5696</v>
      </c>
      <c r="L1437" s="2" t="s">
        <v>9</v>
      </c>
    </row>
    <row r="1438" spans="1:12" ht="15.75" customHeight="1" x14ac:dyDescent="0.25">
      <c r="A1438" s="1" t="s">
        <v>2590</v>
      </c>
      <c r="B1438" s="21">
        <v>18</v>
      </c>
      <c r="C1438" s="1" t="s">
        <v>5448</v>
      </c>
      <c r="D1438" s="21">
        <v>52</v>
      </c>
      <c r="E1438" s="1" t="s">
        <v>5635</v>
      </c>
      <c r="F1438" s="23">
        <v>15</v>
      </c>
      <c r="G1438" s="2" t="s">
        <v>5697</v>
      </c>
      <c r="H1438" s="2" t="s">
        <v>5698</v>
      </c>
      <c r="I1438" s="2" t="s">
        <v>5699</v>
      </c>
      <c r="J1438" s="2" t="s">
        <v>5700</v>
      </c>
      <c r="K1438" s="2" t="s">
        <v>5701</v>
      </c>
      <c r="L1438" s="2" t="s">
        <v>9</v>
      </c>
    </row>
    <row r="1439" spans="1:12" ht="15.75" customHeight="1" x14ac:dyDescent="0.25">
      <c r="A1439" s="1" t="s">
        <v>2590</v>
      </c>
      <c r="B1439" s="21">
        <v>18</v>
      </c>
      <c r="C1439" s="1" t="s">
        <v>5448</v>
      </c>
      <c r="D1439" s="21">
        <v>52</v>
      </c>
      <c r="E1439" s="1" t="s">
        <v>5635</v>
      </c>
      <c r="F1439" s="23">
        <v>16</v>
      </c>
      <c r="G1439" s="2" t="s">
        <v>5702</v>
      </c>
      <c r="H1439" s="2" t="s">
        <v>5654</v>
      </c>
      <c r="I1439" s="2" t="s">
        <v>5656</v>
      </c>
      <c r="J1439" s="2" t="s">
        <v>5703</v>
      </c>
      <c r="K1439" s="2" t="s">
        <v>5655</v>
      </c>
      <c r="L1439" s="2" t="s">
        <v>9</v>
      </c>
    </row>
    <row r="1440" spans="1:12" ht="15.75" customHeight="1" x14ac:dyDescent="0.25">
      <c r="A1440" s="1" t="s">
        <v>2590</v>
      </c>
      <c r="B1440" s="21">
        <v>18</v>
      </c>
      <c r="C1440" s="1" t="s">
        <v>5448</v>
      </c>
      <c r="D1440" s="21">
        <v>52</v>
      </c>
      <c r="E1440" s="1" t="s">
        <v>5635</v>
      </c>
      <c r="F1440" s="23">
        <v>17</v>
      </c>
      <c r="G1440" s="2" t="s">
        <v>5704</v>
      </c>
      <c r="H1440" s="2" t="s">
        <v>5705</v>
      </c>
      <c r="I1440" s="2" t="s">
        <v>5706</v>
      </c>
      <c r="J1440" s="2" t="s">
        <v>5707</v>
      </c>
      <c r="K1440" s="2" t="s">
        <v>5708</v>
      </c>
      <c r="L1440" s="2" t="s">
        <v>8</v>
      </c>
    </row>
    <row r="1441" spans="1:12" ht="15.75" customHeight="1" x14ac:dyDescent="0.25">
      <c r="A1441" s="1" t="s">
        <v>2590</v>
      </c>
      <c r="B1441" s="21">
        <v>18</v>
      </c>
      <c r="C1441" s="1" t="s">
        <v>5448</v>
      </c>
      <c r="D1441" s="21">
        <v>52</v>
      </c>
      <c r="E1441" s="1" t="s">
        <v>5635</v>
      </c>
      <c r="F1441" s="23">
        <v>18</v>
      </c>
      <c r="G1441" s="2" t="s">
        <v>5709</v>
      </c>
      <c r="H1441" s="2" t="s">
        <v>5710</v>
      </c>
      <c r="I1441" s="2" t="s">
        <v>5711</v>
      </c>
      <c r="J1441" s="2" t="s">
        <v>5712</v>
      </c>
      <c r="K1441" s="2" t="s">
        <v>5713</v>
      </c>
      <c r="L1441" s="2" t="s">
        <v>10</v>
      </c>
    </row>
    <row r="1442" spans="1:12" ht="15.75" customHeight="1" x14ac:dyDescent="0.25">
      <c r="A1442" s="1" t="s">
        <v>2590</v>
      </c>
      <c r="B1442" s="21">
        <v>18</v>
      </c>
      <c r="C1442" s="1" t="s">
        <v>5448</v>
      </c>
      <c r="D1442" s="21">
        <v>53</v>
      </c>
      <c r="E1442" s="1" t="s">
        <v>5714</v>
      </c>
      <c r="F1442" s="23">
        <v>1</v>
      </c>
      <c r="G1442" s="2" t="s">
        <v>5715</v>
      </c>
      <c r="H1442" s="2" t="s">
        <v>5716</v>
      </c>
      <c r="I1442" s="2" t="s">
        <v>5717</v>
      </c>
      <c r="J1442" s="2" t="s">
        <v>5718</v>
      </c>
      <c r="K1442" s="2" t="s">
        <v>5719</v>
      </c>
      <c r="L1442" s="2" t="s">
        <v>9</v>
      </c>
    </row>
    <row r="1443" spans="1:12" ht="15.75" customHeight="1" x14ac:dyDescent="0.25">
      <c r="A1443" s="1" t="s">
        <v>2590</v>
      </c>
      <c r="B1443" s="21">
        <v>18</v>
      </c>
      <c r="C1443" s="1" t="s">
        <v>5448</v>
      </c>
      <c r="D1443" s="21">
        <v>53</v>
      </c>
      <c r="E1443" s="1" t="s">
        <v>5714</v>
      </c>
      <c r="F1443" s="23">
        <v>2</v>
      </c>
      <c r="G1443" s="2" t="s">
        <v>5720</v>
      </c>
      <c r="H1443" s="2" t="s">
        <v>5721</v>
      </c>
      <c r="I1443" s="2" t="s">
        <v>5722</v>
      </c>
      <c r="J1443" s="2" t="s">
        <v>5723</v>
      </c>
      <c r="K1443" s="2" t="s">
        <v>5724</v>
      </c>
      <c r="L1443" s="2" t="s">
        <v>10</v>
      </c>
    </row>
    <row r="1444" spans="1:12" ht="15.75" customHeight="1" x14ac:dyDescent="0.25">
      <c r="A1444" s="1" t="s">
        <v>2590</v>
      </c>
      <c r="B1444" s="21">
        <v>18</v>
      </c>
      <c r="C1444" s="1" t="s">
        <v>5448</v>
      </c>
      <c r="D1444" s="21">
        <v>53</v>
      </c>
      <c r="E1444" s="1" t="s">
        <v>5714</v>
      </c>
      <c r="F1444" s="23">
        <v>3</v>
      </c>
      <c r="G1444" s="2" t="s">
        <v>5725</v>
      </c>
      <c r="H1444" s="2" t="s">
        <v>5726</v>
      </c>
      <c r="I1444" s="2" t="s">
        <v>5727</v>
      </c>
      <c r="J1444" s="2" t="s">
        <v>5728</v>
      </c>
      <c r="K1444" s="2" t="s">
        <v>5729</v>
      </c>
      <c r="L1444" s="2" t="s">
        <v>8</v>
      </c>
    </row>
    <row r="1445" spans="1:12" ht="15.75" customHeight="1" x14ac:dyDescent="0.25">
      <c r="A1445" s="1" t="s">
        <v>2590</v>
      </c>
      <c r="B1445" s="21">
        <v>18</v>
      </c>
      <c r="C1445" s="1" t="s">
        <v>5448</v>
      </c>
      <c r="D1445" s="21">
        <v>53</v>
      </c>
      <c r="E1445" s="1" t="s">
        <v>5714</v>
      </c>
      <c r="F1445" s="23">
        <v>4</v>
      </c>
      <c r="G1445" s="2" t="s">
        <v>5730</v>
      </c>
      <c r="H1445" s="2" t="s">
        <v>5731</v>
      </c>
      <c r="I1445" s="2" t="s">
        <v>5732</v>
      </c>
      <c r="J1445" s="2" t="s">
        <v>5733</v>
      </c>
      <c r="K1445" s="2" t="s">
        <v>5734</v>
      </c>
      <c r="L1445" s="2" t="s">
        <v>9</v>
      </c>
    </row>
    <row r="1446" spans="1:12" ht="15.75" customHeight="1" x14ac:dyDescent="0.25">
      <c r="A1446" s="1" t="s">
        <v>2590</v>
      </c>
      <c r="B1446" s="21">
        <v>18</v>
      </c>
      <c r="C1446" s="1" t="s">
        <v>5448</v>
      </c>
      <c r="D1446" s="21">
        <v>53</v>
      </c>
      <c r="E1446" s="1" t="s">
        <v>5714</v>
      </c>
      <c r="F1446" s="23">
        <v>5</v>
      </c>
      <c r="G1446" s="2" t="s">
        <v>5735</v>
      </c>
      <c r="H1446" s="2" t="s">
        <v>5736</v>
      </c>
      <c r="I1446" s="2" t="s">
        <v>5737</v>
      </c>
      <c r="J1446" s="2" t="s">
        <v>5738</v>
      </c>
      <c r="K1446" s="2" t="s">
        <v>5739</v>
      </c>
      <c r="L1446" s="2" t="s">
        <v>8</v>
      </c>
    </row>
    <row r="1447" spans="1:12" ht="15.75" customHeight="1" x14ac:dyDescent="0.25">
      <c r="A1447" s="1" t="s">
        <v>2590</v>
      </c>
      <c r="B1447" s="21">
        <v>18</v>
      </c>
      <c r="C1447" s="1" t="s">
        <v>5448</v>
      </c>
      <c r="D1447" s="21">
        <v>53</v>
      </c>
      <c r="E1447" s="1" t="s">
        <v>5714</v>
      </c>
      <c r="F1447" s="23">
        <v>6</v>
      </c>
      <c r="G1447" s="2" t="s">
        <v>5740</v>
      </c>
      <c r="H1447" s="2" t="s">
        <v>5741</v>
      </c>
      <c r="I1447" s="2" t="s">
        <v>5729</v>
      </c>
      <c r="J1447" s="2" t="s">
        <v>5742</v>
      </c>
      <c r="K1447" s="2" t="s">
        <v>5743</v>
      </c>
      <c r="L1447" s="2" t="s">
        <v>9</v>
      </c>
    </row>
    <row r="1448" spans="1:12" ht="15.75" customHeight="1" x14ac:dyDescent="0.25">
      <c r="A1448" s="1" t="s">
        <v>2590</v>
      </c>
      <c r="B1448" s="21">
        <v>18</v>
      </c>
      <c r="C1448" s="1" t="s">
        <v>5448</v>
      </c>
      <c r="D1448" s="21">
        <v>53</v>
      </c>
      <c r="E1448" s="1" t="s">
        <v>5714</v>
      </c>
      <c r="F1448" s="23">
        <v>7</v>
      </c>
      <c r="G1448" s="2" t="s">
        <v>5744</v>
      </c>
      <c r="H1448" s="2" t="s">
        <v>5745</v>
      </c>
      <c r="I1448" s="2" t="s">
        <v>5746</v>
      </c>
      <c r="J1448" s="2" t="s">
        <v>5747</v>
      </c>
      <c r="K1448" s="2" t="s">
        <v>5748</v>
      </c>
      <c r="L1448" s="2" t="s">
        <v>10</v>
      </c>
    </row>
    <row r="1449" spans="1:12" ht="15.75" customHeight="1" x14ac:dyDescent="0.25">
      <c r="A1449" s="1" t="s">
        <v>2590</v>
      </c>
      <c r="B1449" s="21">
        <v>18</v>
      </c>
      <c r="C1449" s="1" t="s">
        <v>5448</v>
      </c>
      <c r="D1449" s="21">
        <v>53</v>
      </c>
      <c r="E1449" s="1" t="s">
        <v>5714</v>
      </c>
      <c r="F1449" s="23">
        <v>8</v>
      </c>
      <c r="G1449" s="2" t="s">
        <v>5749</v>
      </c>
      <c r="H1449" s="2" t="s">
        <v>5750</v>
      </c>
      <c r="I1449" s="2" t="s">
        <v>5751</v>
      </c>
      <c r="J1449" s="2" t="s">
        <v>5752</v>
      </c>
      <c r="K1449" s="2" t="s">
        <v>5753</v>
      </c>
      <c r="L1449" s="2" t="s">
        <v>8</v>
      </c>
    </row>
    <row r="1450" spans="1:12" ht="15.75" customHeight="1" x14ac:dyDescent="0.25">
      <c r="A1450" s="1" t="s">
        <v>2590</v>
      </c>
      <c r="B1450" s="21">
        <v>18</v>
      </c>
      <c r="C1450" s="1" t="s">
        <v>5448</v>
      </c>
      <c r="D1450" s="21">
        <v>53</v>
      </c>
      <c r="E1450" s="1" t="s">
        <v>5714</v>
      </c>
      <c r="F1450" s="23">
        <v>9</v>
      </c>
      <c r="G1450" s="2" t="s">
        <v>5754</v>
      </c>
      <c r="H1450" s="2" t="s">
        <v>5755</v>
      </c>
      <c r="I1450" s="2" t="s">
        <v>5756</v>
      </c>
      <c r="J1450" s="2" t="s">
        <v>5757</v>
      </c>
      <c r="K1450" s="2" t="s">
        <v>5758</v>
      </c>
      <c r="L1450" s="2" t="s">
        <v>7</v>
      </c>
    </row>
    <row r="1451" spans="1:12" ht="15.75" customHeight="1" x14ac:dyDescent="0.25">
      <c r="A1451" s="1" t="s">
        <v>2590</v>
      </c>
      <c r="B1451" s="21">
        <v>18</v>
      </c>
      <c r="C1451" s="1" t="s">
        <v>5448</v>
      </c>
      <c r="D1451" s="21">
        <v>53</v>
      </c>
      <c r="E1451" s="1" t="s">
        <v>5714</v>
      </c>
      <c r="F1451" s="23">
        <v>10</v>
      </c>
      <c r="G1451" s="2" t="s">
        <v>5759</v>
      </c>
      <c r="H1451" s="2" t="s">
        <v>5760</v>
      </c>
      <c r="I1451" s="2" t="s">
        <v>5761</v>
      </c>
      <c r="J1451" s="2" t="s">
        <v>5762</v>
      </c>
      <c r="K1451" s="2" t="s">
        <v>5763</v>
      </c>
      <c r="L1451" s="2" t="s">
        <v>9</v>
      </c>
    </row>
    <row r="1452" spans="1:12" ht="15.75" customHeight="1" x14ac:dyDescent="0.25">
      <c r="A1452" s="1" t="s">
        <v>2590</v>
      </c>
      <c r="B1452" s="21">
        <v>18</v>
      </c>
      <c r="C1452" s="1" t="s">
        <v>5448</v>
      </c>
      <c r="D1452" s="21">
        <v>53</v>
      </c>
      <c r="E1452" s="1" t="s">
        <v>5714</v>
      </c>
      <c r="F1452" s="23">
        <v>11</v>
      </c>
      <c r="G1452" s="2" t="s">
        <v>5764</v>
      </c>
      <c r="H1452" s="2" t="s">
        <v>5765</v>
      </c>
      <c r="I1452" s="2" t="s">
        <v>5766</v>
      </c>
      <c r="J1452" s="2" t="s">
        <v>5767</v>
      </c>
      <c r="K1452" s="2" t="s">
        <v>5768</v>
      </c>
      <c r="L1452" s="2" t="s">
        <v>8</v>
      </c>
    </row>
    <row r="1453" spans="1:12" ht="15.75" customHeight="1" x14ac:dyDescent="0.25">
      <c r="A1453" s="1" t="s">
        <v>2590</v>
      </c>
      <c r="B1453" s="21">
        <v>18</v>
      </c>
      <c r="C1453" s="1" t="s">
        <v>5448</v>
      </c>
      <c r="D1453" s="21">
        <v>53</v>
      </c>
      <c r="E1453" s="1" t="s">
        <v>5714</v>
      </c>
      <c r="F1453" s="23">
        <v>12</v>
      </c>
      <c r="G1453" s="2" t="s">
        <v>5769</v>
      </c>
      <c r="H1453" s="2" t="s">
        <v>5770</v>
      </c>
      <c r="I1453" s="2" t="s">
        <v>5771</v>
      </c>
      <c r="J1453" s="2" t="s">
        <v>5772</v>
      </c>
      <c r="K1453" s="2" t="s">
        <v>5773</v>
      </c>
      <c r="L1453" s="2" t="s">
        <v>9</v>
      </c>
    </row>
    <row r="1454" spans="1:12" ht="15.75" customHeight="1" x14ac:dyDescent="0.25">
      <c r="A1454" s="1" t="s">
        <v>2590</v>
      </c>
      <c r="B1454" s="21">
        <v>18</v>
      </c>
      <c r="C1454" s="1" t="s">
        <v>5448</v>
      </c>
      <c r="D1454" s="21">
        <v>53</v>
      </c>
      <c r="E1454" s="1" t="s">
        <v>5714</v>
      </c>
      <c r="F1454" s="23">
        <v>13</v>
      </c>
      <c r="G1454" s="2" t="s">
        <v>5774</v>
      </c>
      <c r="H1454" s="2" t="s">
        <v>5775</v>
      </c>
      <c r="I1454" s="2" t="s">
        <v>5776</v>
      </c>
      <c r="J1454" s="2" t="s">
        <v>5777</v>
      </c>
      <c r="K1454" s="2" t="s">
        <v>5778</v>
      </c>
      <c r="L1454" s="2" t="s">
        <v>9</v>
      </c>
    </row>
    <row r="1455" spans="1:12" ht="15.75" customHeight="1" x14ac:dyDescent="0.25">
      <c r="A1455" s="1" t="s">
        <v>2590</v>
      </c>
      <c r="B1455" s="21">
        <v>18</v>
      </c>
      <c r="C1455" s="1" t="s">
        <v>5448</v>
      </c>
      <c r="D1455" s="21">
        <v>53</v>
      </c>
      <c r="E1455" s="1" t="s">
        <v>5714</v>
      </c>
      <c r="F1455" s="23">
        <v>14</v>
      </c>
      <c r="G1455" s="2" t="s">
        <v>5779</v>
      </c>
      <c r="H1455" s="2" t="s">
        <v>5780</v>
      </c>
      <c r="I1455" s="2" t="s">
        <v>5781</v>
      </c>
      <c r="J1455" s="2" t="s">
        <v>5782</v>
      </c>
      <c r="K1455" s="2" t="s">
        <v>5783</v>
      </c>
      <c r="L1455" s="2" t="s">
        <v>10</v>
      </c>
    </row>
    <row r="1456" spans="1:12" ht="15.75" customHeight="1" x14ac:dyDescent="0.25">
      <c r="A1456" s="1" t="s">
        <v>2590</v>
      </c>
      <c r="B1456" s="21">
        <v>18</v>
      </c>
      <c r="C1456" s="1" t="s">
        <v>5448</v>
      </c>
      <c r="D1456" s="21">
        <v>53</v>
      </c>
      <c r="E1456" s="1" t="s">
        <v>5714</v>
      </c>
      <c r="F1456" s="23">
        <v>15</v>
      </c>
      <c r="G1456" s="2" t="s">
        <v>5784</v>
      </c>
      <c r="H1456" s="2" t="s">
        <v>5785</v>
      </c>
      <c r="I1456" s="2" t="s">
        <v>5786</v>
      </c>
      <c r="J1456" s="2" t="s">
        <v>5787</v>
      </c>
      <c r="K1456" s="2" t="s">
        <v>5788</v>
      </c>
      <c r="L1456" s="2" t="s">
        <v>8</v>
      </c>
    </row>
    <row r="1457" spans="1:12" ht="15.75" customHeight="1" x14ac:dyDescent="0.25">
      <c r="A1457" s="1" t="s">
        <v>2590</v>
      </c>
      <c r="B1457" s="21">
        <v>18</v>
      </c>
      <c r="C1457" s="1" t="s">
        <v>5448</v>
      </c>
      <c r="D1457" s="21">
        <v>53</v>
      </c>
      <c r="E1457" s="1" t="s">
        <v>5714</v>
      </c>
      <c r="F1457" s="23">
        <v>16</v>
      </c>
      <c r="G1457" s="2" t="s">
        <v>5789</v>
      </c>
      <c r="H1457" s="2" t="s">
        <v>5790</v>
      </c>
      <c r="I1457" s="2" t="s">
        <v>5791</v>
      </c>
      <c r="J1457" s="2" t="s">
        <v>5792</v>
      </c>
      <c r="K1457" s="2" t="s">
        <v>5793</v>
      </c>
      <c r="L1457" s="2" t="s">
        <v>9</v>
      </c>
    </row>
    <row r="1458" spans="1:12" ht="15.75" customHeight="1" x14ac:dyDescent="0.25">
      <c r="A1458" s="1" t="s">
        <v>2590</v>
      </c>
      <c r="B1458" s="21">
        <v>18</v>
      </c>
      <c r="C1458" s="1" t="s">
        <v>5448</v>
      </c>
      <c r="D1458" s="21">
        <v>53</v>
      </c>
      <c r="E1458" s="1" t="s">
        <v>5714</v>
      </c>
      <c r="F1458" s="23">
        <v>17</v>
      </c>
      <c r="G1458" s="2" t="s">
        <v>5794</v>
      </c>
      <c r="H1458" s="2" t="s">
        <v>5795</v>
      </c>
      <c r="I1458" s="2" t="s">
        <v>5796</v>
      </c>
      <c r="J1458" s="2" t="s">
        <v>5729</v>
      </c>
      <c r="K1458" s="2" t="s">
        <v>5797</v>
      </c>
      <c r="L1458" s="2" t="s">
        <v>8</v>
      </c>
    </row>
    <row r="1459" spans="1:12" ht="15.75" customHeight="1" x14ac:dyDescent="0.25">
      <c r="A1459" s="1" t="s">
        <v>2590</v>
      </c>
      <c r="B1459" s="21">
        <v>18</v>
      </c>
      <c r="C1459" s="1" t="s">
        <v>5448</v>
      </c>
      <c r="D1459" s="21">
        <v>53</v>
      </c>
      <c r="E1459" s="1" t="s">
        <v>5714</v>
      </c>
      <c r="F1459" s="23">
        <v>18</v>
      </c>
      <c r="G1459" s="2" t="s">
        <v>5798</v>
      </c>
      <c r="H1459" s="2" t="s">
        <v>5799</v>
      </c>
      <c r="I1459" s="2" t="s">
        <v>5800</v>
      </c>
      <c r="J1459" s="2" t="s">
        <v>5801</v>
      </c>
      <c r="K1459" s="2" t="s">
        <v>5802</v>
      </c>
      <c r="L1459" s="2" t="s">
        <v>9</v>
      </c>
    </row>
    <row r="1460" spans="1:12" ht="15.75" customHeight="1" x14ac:dyDescent="0.25">
      <c r="A1460" s="1" t="s">
        <v>2590</v>
      </c>
      <c r="B1460" s="21">
        <v>18</v>
      </c>
      <c r="C1460" s="1" t="s">
        <v>5448</v>
      </c>
      <c r="D1460" s="21">
        <v>53</v>
      </c>
      <c r="E1460" s="1" t="s">
        <v>5714</v>
      </c>
      <c r="F1460" s="23">
        <v>19</v>
      </c>
      <c r="G1460" s="2" t="s">
        <v>5803</v>
      </c>
      <c r="H1460" s="2" t="s">
        <v>5804</v>
      </c>
      <c r="I1460" s="2" t="s">
        <v>5805</v>
      </c>
      <c r="J1460" s="2" t="s">
        <v>5806</v>
      </c>
      <c r="K1460" s="2" t="s">
        <v>5807</v>
      </c>
      <c r="L1460" s="2" t="s">
        <v>9</v>
      </c>
    </row>
    <row r="1461" spans="1:12" ht="15.75" customHeight="1" x14ac:dyDescent="0.25">
      <c r="A1461" s="1" t="s">
        <v>2590</v>
      </c>
      <c r="B1461" s="21">
        <v>18</v>
      </c>
      <c r="C1461" s="1" t="s">
        <v>5448</v>
      </c>
      <c r="D1461" s="21">
        <v>53</v>
      </c>
      <c r="E1461" s="1" t="s">
        <v>5714</v>
      </c>
      <c r="F1461" s="23">
        <v>20</v>
      </c>
      <c r="G1461" s="2" t="s">
        <v>5808</v>
      </c>
      <c r="H1461" s="2" t="s">
        <v>5809</v>
      </c>
      <c r="I1461" s="2" t="s">
        <v>5810</v>
      </c>
      <c r="J1461" s="2" t="s">
        <v>5811</v>
      </c>
      <c r="K1461" s="2" t="s">
        <v>5812</v>
      </c>
      <c r="L1461" s="2" t="s">
        <v>9</v>
      </c>
    </row>
    <row r="1462" spans="1:12" ht="15.75" customHeight="1" x14ac:dyDescent="0.25">
      <c r="A1462" s="1" t="s">
        <v>2590</v>
      </c>
      <c r="B1462" s="21">
        <v>18</v>
      </c>
      <c r="C1462" s="1" t="s">
        <v>5448</v>
      </c>
      <c r="D1462" s="21">
        <v>54</v>
      </c>
      <c r="E1462" s="1" t="s">
        <v>5813</v>
      </c>
      <c r="F1462" s="23">
        <v>1</v>
      </c>
      <c r="G1462" s="2" t="s">
        <v>5814</v>
      </c>
      <c r="H1462" s="2" t="s">
        <v>5815</v>
      </c>
      <c r="I1462" s="2" t="s">
        <v>5816</v>
      </c>
      <c r="J1462" s="2" t="s">
        <v>5817</v>
      </c>
      <c r="K1462" s="2" t="s">
        <v>5818</v>
      </c>
      <c r="L1462" s="2" t="s">
        <v>8</v>
      </c>
    </row>
    <row r="1463" spans="1:12" ht="15.75" customHeight="1" x14ac:dyDescent="0.25">
      <c r="A1463" s="1" t="s">
        <v>2590</v>
      </c>
      <c r="B1463" s="21">
        <v>18</v>
      </c>
      <c r="C1463" s="1" t="s">
        <v>5448</v>
      </c>
      <c r="D1463" s="21">
        <v>54</v>
      </c>
      <c r="E1463" s="1" t="s">
        <v>5813</v>
      </c>
      <c r="F1463" s="23">
        <v>2</v>
      </c>
      <c r="G1463" s="2" t="s">
        <v>5819</v>
      </c>
      <c r="H1463" s="2" t="s">
        <v>5820</v>
      </c>
      <c r="I1463" s="2" t="s">
        <v>5821</v>
      </c>
      <c r="J1463" s="2" t="s">
        <v>5822</v>
      </c>
      <c r="K1463" s="2" t="s">
        <v>5823</v>
      </c>
      <c r="L1463" s="2" t="s">
        <v>9</v>
      </c>
    </row>
    <row r="1464" spans="1:12" ht="15.75" customHeight="1" x14ac:dyDescent="0.25">
      <c r="A1464" s="1" t="s">
        <v>2590</v>
      </c>
      <c r="B1464" s="21">
        <v>18</v>
      </c>
      <c r="C1464" s="1" t="s">
        <v>5448</v>
      </c>
      <c r="D1464" s="21">
        <v>54</v>
      </c>
      <c r="E1464" s="1" t="s">
        <v>5813</v>
      </c>
      <c r="F1464" s="23">
        <v>3</v>
      </c>
      <c r="G1464" s="2" t="s">
        <v>5824</v>
      </c>
      <c r="H1464" s="2" t="s">
        <v>5825</v>
      </c>
      <c r="I1464" s="2" t="s">
        <v>5826</v>
      </c>
      <c r="J1464" s="2" t="s">
        <v>5827</v>
      </c>
      <c r="K1464" s="2" t="s">
        <v>5828</v>
      </c>
      <c r="L1464" s="2" t="s">
        <v>8</v>
      </c>
    </row>
    <row r="1465" spans="1:12" ht="15.75" customHeight="1" x14ac:dyDescent="0.25">
      <c r="A1465" s="1" t="s">
        <v>2590</v>
      </c>
      <c r="B1465" s="21">
        <v>18</v>
      </c>
      <c r="C1465" s="1" t="s">
        <v>5448</v>
      </c>
      <c r="D1465" s="21">
        <v>54</v>
      </c>
      <c r="E1465" s="1" t="s">
        <v>5813</v>
      </c>
      <c r="F1465" s="23">
        <v>4</v>
      </c>
      <c r="G1465" s="2" t="s">
        <v>5829</v>
      </c>
      <c r="H1465" s="2" t="s">
        <v>5830</v>
      </c>
      <c r="I1465" s="2" t="s">
        <v>5831</v>
      </c>
      <c r="J1465" s="2" t="s">
        <v>5832</v>
      </c>
      <c r="K1465" s="2" t="s">
        <v>5833</v>
      </c>
      <c r="L1465" s="2" t="s">
        <v>9</v>
      </c>
    </row>
    <row r="1466" spans="1:12" ht="15.75" customHeight="1" x14ac:dyDescent="0.25">
      <c r="A1466" s="1" t="s">
        <v>2590</v>
      </c>
      <c r="B1466" s="21">
        <v>18</v>
      </c>
      <c r="C1466" s="1" t="s">
        <v>5448</v>
      </c>
      <c r="D1466" s="21">
        <v>54</v>
      </c>
      <c r="E1466" s="1" t="s">
        <v>5813</v>
      </c>
      <c r="F1466" s="23">
        <v>5</v>
      </c>
      <c r="G1466" s="2" t="s">
        <v>5834</v>
      </c>
      <c r="H1466" s="2" t="s">
        <v>5835</v>
      </c>
      <c r="I1466" s="2" t="s">
        <v>5836</v>
      </c>
      <c r="J1466" s="2" t="s">
        <v>5837</v>
      </c>
      <c r="K1466" s="2" t="s">
        <v>5838</v>
      </c>
      <c r="L1466" s="2" t="s">
        <v>8</v>
      </c>
    </row>
    <row r="1467" spans="1:12" ht="15.75" customHeight="1" x14ac:dyDescent="0.25">
      <c r="A1467" s="1" t="s">
        <v>2590</v>
      </c>
      <c r="B1467" s="21">
        <v>18</v>
      </c>
      <c r="C1467" s="1" t="s">
        <v>5448</v>
      </c>
      <c r="D1467" s="21">
        <v>54</v>
      </c>
      <c r="E1467" s="1" t="s">
        <v>5813</v>
      </c>
      <c r="F1467" s="23">
        <v>6</v>
      </c>
      <c r="G1467" s="2" t="s">
        <v>5839</v>
      </c>
      <c r="H1467" s="2" t="s">
        <v>5840</v>
      </c>
      <c r="I1467" s="2" t="s">
        <v>5841</v>
      </c>
      <c r="J1467" s="2" t="s">
        <v>5842</v>
      </c>
      <c r="K1467" s="2" t="s">
        <v>5843</v>
      </c>
      <c r="L1467" s="2" t="s">
        <v>10</v>
      </c>
    </row>
    <row r="1468" spans="1:12" ht="15.75" customHeight="1" x14ac:dyDescent="0.25">
      <c r="A1468" s="1" t="s">
        <v>2590</v>
      </c>
      <c r="B1468" s="21">
        <v>18</v>
      </c>
      <c r="C1468" s="1" t="s">
        <v>5448</v>
      </c>
      <c r="D1468" s="21">
        <v>54</v>
      </c>
      <c r="E1468" s="1" t="s">
        <v>5813</v>
      </c>
      <c r="F1468" s="23">
        <v>7</v>
      </c>
      <c r="G1468" s="2" t="s">
        <v>5844</v>
      </c>
      <c r="H1468" s="2" t="s">
        <v>5845</v>
      </c>
      <c r="I1468" s="2" t="s">
        <v>5846</v>
      </c>
      <c r="J1468" s="2" t="s">
        <v>5847</v>
      </c>
      <c r="K1468" s="2" t="s">
        <v>5848</v>
      </c>
      <c r="L1468" s="2" t="s">
        <v>8</v>
      </c>
    </row>
    <row r="1469" spans="1:12" ht="15.75" customHeight="1" x14ac:dyDescent="0.25">
      <c r="A1469" s="1" t="s">
        <v>2590</v>
      </c>
      <c r="B1469" s="21">
        <v>18</v>
      </c>
      <c r="C1469" s="1" t="s">
        <v>5448</v>
      </c>
      <c r="D1469" s="21">
        <v>54</v>
      </c>
      <c r="E1469" s="1" t="s">
        <v>5813</v>
      </c>
      <c r="F1469" s="23">
        <v>8</v>
      </c>
      <c r="G1469" s="2" t="s">
        <v>5849</v>
      </c>
      <c r="H1469" s="2" t="s">
        <v>5850</v>
      </c>
      <c r="I1469" s="2" t="s">
        <v>5851</v>
      </c>
      <c r="J1469" s="2" t="s">
        <v>5852</v>
      </c>
      <c r="K1469" s="2" t="s">
        <v>5853</v>
      </c>
      <c r="L1469" s="2" t="s">
        <v>8</v>
      </c>
    </row>
    <row r="1470" spans="1:12" ht="15.75" customHeight="1" x14ac:dyDescent="0.25">
      <c r="A1470" s="1" t="s">
        <v>2590</v>
      </c>
      <c r="B1470" s="21">
        <v>18</v>
      </c>
      <c r="C1470" s="1" t="s">
        <v>5448</v>
      </c>
      <c r="D1470" s="21">
        <v>54</v>
      </c>
      <c r="E1470" s="1" t="s">
        <v>5813</v>
      </c>
      <c r="F1470" s="23">
        <v>9</v>
      </c>
      <c r="G1470" s="2" t="s">
        <v>5854</v>
      </c>
      <c r="H1470" s="2" t="s">
        <v>5795</v>
      </c>
      <c r="I1470" s="2" t="s">
        <v>5728</v>
      </c>
      <c r="J1470" s="2" t="s">
        <v>5727</v>
      </c>
      <c r="K1470" s="2" t="s">
        <v>5855</v>
      </c>
      <c r="L1470" s="2" t="s">
        <v>9</v>
      </c>
    </row>
    <row r="1471" spans="1:12" ht="15.75" customHeight="1" x14ac:dyDescent="0.25">
      <c r="A1471" s="1" t="s">
        <v>2590</v>
      </c>
      <c r="B1471" s="21">
        <v>18</v>
      </c>
      <c r="C1471" s="1" t="s">
        <v>5448</v>
      </c>
      <c r="D1471" s="21">
        <v>54</v>
      </c>
      <c r="E1471" s="1" t="s">
        <v>5813</v>
      </c>
      <c r="F1471" s="23">
        <v>10</v>
      </c>
      <c r="G1471" s="2" t="s">
        <v>5856</v>
      </c>
      <c r="H1471" s="2" t="s">
        <v>5857</v>
      </c>
      <c r="I1471" s="2" t="s">
        <v>5858</v>
      </c>
      <c r="J1471" s="2" t="s">
        <v>5859</v>
      </c>
      <c r="K1471" s="2" t="s">
        <v>5860</v>
      </c>
      <c r="L1471" s="2" t="s">
        <v>9</v>
      </c>
    </row>
    <row r="1472" spans="1:12" ht="15.75" customHeight="1" x14ac:dyDescent="0.25">
      <c r="A1472" s="1" t="s">
        <v>2590</v>
      </c>
      <c r="B1472" s="21">
        <v>18</v>
      </c>
      <c r="C1472" s="1" t="s">
        <v>5448</v>
      </c>
      <c r="D1472" s="21">
        <v>54</v>
      </c>
      <c r="E1472" s="1" t="s">
        <v>5813</v>
      </c>
      <c r="F1472" s="23">
        <v>11</v>
      </c>
      <c r="G1472" s="2" t="s">
        <v>5861</v>
      </c>
      <c r="H1472" s="2" t="s">
        <v>5862</v>
      </c>
      <c r="I1472" s="2" t="s">
        <v>5863</v>
      </c>
      <c r="J1472" s="2" t="s">
        <v>5864</v>
      </c>
      <c r="K1472" s="2" t="s">
        <v>5865</v>
      </c>
      <c r="L1472" s="2" t="s">
        <v>8</v>
      </c>
    </row>
    <row r="1473" spans="1:12" ht="15.75" customHeight="1" x14ac:dyDescent="0.25">
      <c r="A1473" s="1" t="s">
        <v>2590</v>
      </c>
      <c r="B1473" s="21">
        <v>18</v>
      </c>
      <c r="C1473" s="1" t="s">
        <v>5448</v>
      </c>
      <c r="D1473" s="21">
        <v>54</v>
      </c>
      <c r="E1473" s="1" t="s">
        <v>5813</v>
      </c>
      <c r="F1473" s="23">
        <v>12</v>
      </c>
      <c r="G1473" s="2" t="s">
        <v>5866</v>
      </c>
      <c r="H1473" s="2" t="s">
        <v>5867</v>
      </c>
      <c r="I1473" s="2" t="s">
        <v>5868</v>
      </c>
      <c r="J1473" s="2" t="s">
        <v>5869</v>
      </c>
      <c r="K1473" s="2" t="s">
        <v>5870</v>
      </c>
      <c r="L1473" s="2" t="s">
        <v>8</v>
      </c>
    </row>
    <row r="1474" spans="1:12" ht="15.75" customHeight="1" x14ac:dyDescent="0.25">
      <c r="A1474" s="1" t="s">
        <v>2590</v>
      </c>
      <c r="B1474" s="21">
        <v>18</v>
      </c>
      <c r="C1474" s="1" t="s">
        <v>5448</v>
      </c>
      <c r="D1474" s="21">
        <v>54</v>
      </c>
      <c r="E1474" s="1" t="s">
        <v>5813</v>
      </c>
      <c r="F1474" s="23">
        <v>13</v>
      </c>
      <c r="G1474" s="2" t="s">
        <v>5871</v>
      </c>
      <c r="H1474" s="2" t="s">
        <v>5872</v>
      </c>
      <c r="I1474" s="2" t="s">
        <v>5873</v>
      </c>
      <c r="J1474" s="2" t="s">
        <v>5874</v>
      </c>
      <c r="K1474" s="2" t="s">
        <v>5875</v>
      </c>
      <c r="L1474" s="2" t="s">
        <v>9</v>
      </c>
    </row>
    <row r="1475" spans="1:12" ht="15.75" customHeight="1" x14ac:dyDescent="0.25">
      <c r="A1475" s="1" t="s">
        <v>2590</v>
      </c>
      <c r="B1475" s="21">
        <v>18</v>
      </c>
      <c r="C1475" s="1" t="s">
        <v>5448</v>
      </c>
      <c r="D1475" s="21">
        <v>54</v>
      </c>
      <c r="E1475" s="1" t="s">
        <v>5813</v>
      </c>
      <c r="F1475" s="23">
        <v>14</v>
      </c>
      <c r="G1475" s="2" t="s">
        <v>5876</v>
      </c>
      <c r="H1475" s="2" t="s">
        <v>5877</v>
      </c>
      <c r="I1475" s="2" t="s">
        <v>5878</v>
      </c>
      <c r="J1475" s="2" t="s">
        <v>5879</v>
      </c>
      <c r="K1475" s="2" t="s">
        <v>5880</v>
      </c>
      <c r="L1475" s="2" t="s">
        <v>9</v>
      </c>
    </row>
    <row r="1476" spans="1:12" ht="15.75" customHeight="1" x14ac:dyDescent="0.25">
      <c r="A1476" s="1" t="s">
        <v>2590</v>
      </c>
      <c r="B1476" s="21">
        <v>18</v>
      </c>
      <c r="C1476" s="1" t="s">
        <v>5448</v>
      </c>
      <c r="D1476" s="21">
        <v>54</v>
      </c>
      <c r="E1476" s="1" t="s">
        <v>5813</v>
      </c>
      <c r="F1476" s="23">
        <v>15</v>
      </c>
      <c r="G1476" s="2" t="s">
        <v>5881</v>
      </c>
      <c r="H1476" s="2" t="s">
        <v>5882</v>
      </c>
      <c r="I1476" s="2" t="s">
        <v>5883</v>
      </c>
      <c r="J1476" s="2" t="s">
        <v>5884</v>
      </c>
      <c r="K1476" s="2" t="s">
        <v>5885</v>
      </c>
      <c r="L1476" s="2" t="s">
        <v>8</v>
      </c>
    </row>
    <row r="1477" spans="1:12" ht="15.75" customHeight="1" x14ac:dyDescent="0.25">
      <c r="A1477" s="1" t="s">
        <v>2590</v>
      </c>
      <c r="B1477" s="21">
        <v>18</v>
      </c>
      <c r="C1477" s="1" t="s">
        <v>5448</v>
      </c>
      <c r="D1477" s="21">
        <v>54</v>
      </c>
      <c r="E1477" s="1" t="s">
        <v>5813</v>
      </c>
      <c r="F1477" s="23">
        <v>16</v>
      </c>
      <c r="G1477" s="2" t="s">
        <v>5886</v>
      </c>
      <c r="H1477" s="2" t="s">
        <v>5887</v>
      </c>
      <c r="I1477" s="2" t="s">
        <v>5888</v>
      </c>
      <c r="J1477" s="2" t="s">
        <v>5889</v>
      </c>
      <c r="K1477" s="2" t="s">
        <v>5890</v>
      </c>
      <c r="L1477" s="2" t="s">
        <v>9</v>
      </c>
    </row>
    <row r="1478" spans="1:12" ht="15.75" customHeight="1" x14ac:dyDescent="0.25">
      <c r="A1478" s="1" t="s">
        <v>2590</v>
      </c>
      <c r="B1478" s="21">
        <v>18</v>
      </c>
      <c r="C1478" s="1" t="s">
        <v>5448</v>
      </c>
      <c r="D1478" s="21">
        <v>54</v>
      </c>
      <c r="E1478" s="1" t="s">
        <v>5813</v>
      </c>
      <c r="F1478" s="23">
        <v>17</v>
      </c>
      <c r="G1478" s="2" t="s">
        <v>5891</v>
      </c>
      <c r="H1478" s="2" t="s">
        <v>5892</v>
      </c>
      <c r="I1478" s="2" t="s">
        <v>5893</v>
      </c>
      <c r="J1478" s="2" t="s">
        <v>5894</v>
      </c>
      <c r="K1478" s="2" t="s">
        <v>5895</v>
      </c>
      <c r="L1478" s="2" t="s">
        <v>9</v>
      </c>
    </row>
    <row r="1479" spans="1:12" ht="15.75" customHeight="1" x14ac:dyDescent="0.25">
      <c r="A1479" s="1" t="s">
        <v>2590</v>
      </c>
      <c r="B1479" s="21">
        <v>18</v>
      </c>
      <c r="C1479" s="1" t="s">
        <v>5448</v>
      </c>
      <c r="D1479" s="21">
        <v>54</v>
      </c>
      <c r="E1479" s="1" t="s">
        <v>5813</v>
      </c>
      <c r="F1479" s="23">
        <v>18</v>
      </c>
      <c r="G1479" s="2" t="s">
        <v>5896</v>
      </c>
      <c r="H1479" s="2" t="s">
        <v>5897</v>
      </c>
      <c r="I1479" s="2" t="s">
        <v>5898</v>
      </c>
      <c r="J1479" s="2" t="s">
        <v>5899</v>
      </c>
      <c r="K1479" s="2" t="s">
        <v>5900</v>
      </c>
      <c r="L1479" s="2" t="s">
        <v>9</v>
      </c>
    </row>
    <row r="1480" spans="1:12" ht="15.75" customHeight="1" x14ac:dyDescent="0.25">
      <c r="A1480" s="1" t="s">
        <v>2590</v>
      </c>
      <c r="B1480" s="21">
        <v>18</v>
      </c>
      <c r="C1480" s="1" t="s">
        <v>5448</v>
      </c>
      <c r="D1480" s="21">
        <v>54</v>
      </c>
      <c r="E1480" s="1" t="s">
        <v>5813</v>
      </c>
      <c r="F1480" s="23">
        <v>19</v>
      </c>
      <c r="G1480" s="2" t="s">
        <v>5901</v>
      </c>
      <c r="H1480" s="2" t="s">
        <v>5902</v>
      </c>
      <c r="I1480" s="2" t="s">
        <v>5903</v>
      </c>
      <c r="J1480" s="2" t="s">
        <v>5904</v>
      </c>
      <c r="K1480" s="2" t="s">
        <v>5905</v>
      </c>
      <c r="L1480" s="2" t="s">
        <v>7</v>
      </c>
    </row>
    <row r="1481" spans="1:12" ht="15.75" customHeight="1" x14ac:dyDescent="0.25">
      <c r="A1481" s="1" t="s">
        <v>2590</v>
      </c>
      <c r="B1481" s="21">
        <v>18</v>
      </c>
      <c r="C1481" s="1" t="s">
        <v>5448</v>
      </c>
      <c r="D1481" s="21">
        <v>54</v>
      </c>
      <c r="E1481" s="1" t="s">
        <v>5813</v>
      </c>
      <c r="F1481" s="23">
        <v>20</v>
      </c>
      <c r="G1481" s="2" t="s">
        <v>5906</v>
      </c>
      <c r="H1481" s="2" t="s">
        <v>5907</v>
      </c>
      <c r="I1481" s="2" t="s">
        <v>5908</v>
      </c>
      <c r="J1481" s="3" t="s">
        <v>5909</v>
      </c>
      <c r="K1481" s="2" t="s">
        <v>5910</v>
      </c>
      <c r="L1481" s="2" t="s">
        <v>9</v>
      </c>
    </row>
    <row r="1482" spans="1:12" ht="15.75" customHeight="1" x14ac:dyDescent="0.25">
      <c r="A1482" s="1" t="s">
        <v>2590</v>
      </c>
      <c r="B1482" s="21">
        <v>18</v>
      </c>
      <c r="C1482" s="1" t="s">
        <v>5448</v>
      </c>
      <c r="D1482" s="21">
        <v>54</v>
      </c>
      <c r="E1482" s="1" t="s">
        <v>5813</v>
      </c>
      <c r="F1482" s="23">
        <v>21</v>
      </c>
      <c r="G1482" s="2" t="s">
        <v>5911</v>
      </c>
      <c r="H1482" s="2" t="s">
        <v>5912</v>
      </c>
      <c r="I1482" s="2" t="s">
        <v>5913</v>
      </c>
      <c r="J1482" s="2" t="s">
        <v>5914</v>
      </c>
      <c r="K1482" s="2" t="s">
        <v>5915</v>
      </c>
      <c r="L1482" s="2" t="s">
        <v>8</v>
      </c>
    </row>
    <row r="1483" spans="1:12" ht="15.75" customHeight="1" x14ac:dyDescent="0.25">
      <c r="A1483" s="1" t="s">
        <v>2590</v>
      </c>
      <c r="B1483" s="21">
        <v>18</v>
      </c>
      <c r="C1483" s="1" t="s">
        <v>5448</v>
      </c>
      <c r="D1483" s="21">
        <v>54</v>
      </c>
      <c r="E1483" s="1" t="s">
        <v>5813</v>
      </c>
      <c r="F1483" s="23">
        <v>22</v>
      </c>
      <c r="G1483" s="2" t="s">
        <v>5916</v>
      </c>
      <c r="H1483" s="2" t="s">
        <v>5917</v>
      </c>
      <c r="I1483" s="2" t="s">
        <v>5918</v>
      </c>
      <c r="J1483" s="2" t="s">
        <v>5919</v>
      </c>
      <c r="K1483" s="2" t="s">
        <v>5920</v>
      </c>
      <c r="L1483" s="2" t="s">
        <v>7</v>
      </c>
    </row>
    <row r="1484" spans="1:12" ht="15.75" customHeight="1" x14ac:dyDescent="0.25">
      <c r="A1484" s="1" t="s">
        <v>2590</v>
      </c>
      <c r="B1484" s="21">
        <v>18</v>
      </c>
      <c r="C1484" s="1" t="s">
        <v>5448</v>
      </c>
      <c r="D1484" s="21">
        <v>55</v>
      </c>
      <c r="E1484" s="1" t="s">
        <v>5921</v>
      </c>
      <c r="F1484" s="23">
        <v>1</v>
      </c>
      <c r="G1484" s="2" t="s">
        <v>5922</v>
      </c>
      <c r="H1484" s="2" t="s">
        <v>5923</v>
      </c>
      <c r="I1484" s="2" t="s">
        <v>5924</v>
      </c>
      <c r="J1484" s="2" t="s">
        <v>5925</v>
      </c>
      <c r="K1484" s="2" t="s">
        <v>5926</v>
      </c>
      <c r="L1484" s="2" t="s">
        <v>9</v>
      </c>
    </row>
    <row r="1485" spans="1:12" ht="15.75" customHeight="1" x14ac:dyDescent="0.25">
      <c r="A1485" s="1" t="s">
        <v>2590</v>
      </c>
      <c r="B1485" s="21">
        <v>18</v>
      </c>
      <c r="C1485" s="1" t="s">
        <v>5448</v>
      </c>
      <c r="D1485" s="21">
        <v>55</v>
      </c>
      <c r="E1485" s="1" t="s">
        <v>5921</v>
      </c>
      <c r="F1485" s="23">
        <v>2</v>
      </c>
      <c r="G1485" s="2" t="s">
        <v>5927</v>
      </c>
      <c r="H1485" s="2" t="s">
        <v>5928</v>
      </c>
      <c r="I1485" s="2" t="s">
        <v>5929</v>
      </c>
      <c r="J1485" s="2" t="s">
        <v>5930</v>
      </c>
      <c r="K1485" s="2" t="s">
        <v>5931</v>
      </c>
      <c r="L1485" s="2" t="s">
        <v>8</v>
      </c>
    </row>
    <row r="1486" spans="1:12" ht="15.75" customHeight="1" x14ac:dyDescent="0.25">
      <c r="A1486" s="1" t="s">
        <v>2590</v>
      </c>
      <c r="B1486" s="21">
        <v>18</v>
      </c>
      <c r="C1486" s="1" t="s">
        <v>5448</v>
      </c>
      <c r="D1486" s="21">
        <v>55</v>
      </c>
      <c r="E1486" s="1" t="s">
        <v>5921</v>
      </c>
      <c r="F1486" s="23">
        <v>3</v>
      </c>
      <c r="G1486" s="2" t="s">
        <v>5932</v>
      </c>
      <c r="H1486" s="2" t="s">
        <v>5933</v>
      </c>
      <c r="I1486" s="2" t="s">
        <v>5934</v>
      </c>
      <c r="J1486" s="2" t="s">
        <v>5935</v>
      </c>
      <c r="K1486" s="2" t="s">
        <v>5936</v>
      </c>
      <c r="L1486" s="2" t="s">
        <v>10</v>
      </c>
    </row>
    <row r="1487" spans="1:12" ht="15.75" customHeight="1" x14ac:dyDescent="0.25">
      <c r="A1487" s="1" t="s">
        <v>2590</v>
      </c>
      <c r="B1487" s="21">
        <v>18</v>
      </c>
      <c r="C1487" s="1" t="s">
        <v>5448</v>
      </c>
      <c r="D1487" s="21">
        <v>55</v>
      </c>
      <c r="E1487" s="1" t="s">
        <v>5921</v>
      </c>
      <c r="F1487" s="23">
        <v>4</v>
      </c>
      <c r="G1487" s="2" t="s">
        <v>5937</v>
      </c>
      <c r="H1487" s="2" t="s">
        <v>5938</v>
      </c>
      <c r="I1487" s="2" t="s">
        <v>5939</v>
      </c>
      <c r="J1487" s="2" t="s">
        <v>5940</v>
      </c>
      <c r="K1487" s="2" t="s">
        <v>5941</v>
      </c>
      <c r="L1487" s="2" t="s">
        <v>8</v>
      </c>
    </row>
    <row r="1488" spans="1:12" ht="15.75" customHeight="1" x14ac:dyDescent="0.25">
      <c r="A1488" s="1" t="s">
        <v>2590</v>
      </c>
      <c r="B1488" s="21">
        <v>18</v>
      </c>
      <c r="C1488" s="1" t="s">
        <v>5448</v>
      </c>
      <c r="D1488" s="21">
        <v>55</v>
      </c>
      <c r="E1488" s="1" t="s">
        <v>5921</v>
      </c>
      <c r="F1488" s="23">
        <v>5</v>
      </c>
      <c r="G1488" s="2" t="s">
        <v>5942</v>
      </c>
      <c r="H1488" s="2" t="s">
        <v>5943</v>
      </c>
      <c r="I1488" s="2" t="s">
        <v>5944</v>
      </c>
      <c r="J1488" s="2" t="s">
        <v>5945</v>
      </c>
      <c r="K1488" s="2" t="s">
        <v>5946</v>
      </c>
      <c r="L1488" s="2" t="s">
        <v>8</v>
      </c>
    </row>
    <row r="1489" spans="1:12" ht="15.75" customHeight="1" x14ac:dyDescent="0.25">
      <c r="A1489" s="1" t="s">
        <v>2590</v>
      </c>
      <c r="B1489" s="21">
        <v>18</v>
      </c>
      <c r="C1489" s="1" t="s">
        <v>5448</v>
      </c>
      <c r="D1489" s="21">
        <v>55</v>
      </c>
      <c r="E1489" s="1" t="s">
        <v>5921</v>
      </c>
      <c r="F1489" s="23">
        <v>6</v>
      </c>
      <c r="G1489" s="2" t="s">
        <v>5947</v>
      </c>
      <c r="H1489" s="2" t="s">
        <v>5948</v>
      </c>
      <c r="I1489" s="2" t="s">
        <v>5949</v>
      </c>
      <c r="J1489" s="2" t="s">
        <v>5950</v>
      </c>
      <c r="K1489" s="2" t="s">
        <v>5951</v>
      </c>
      <c r="L1489" s="2" t="s">
        <v>9</v>
      </c>
    </row>
    <row r="1490" spans="1:12" ht="15.75" customHeight="1" x14ac:dyDescent="0.25">
      <c r="A1490" s="1" t="s">
        <v>2590</v>
      </c>
      <c r="B1490" s="21">
        <v>18</v>
      </c>
      <c r="C1490" s="1" t="s">
        <v>5448</v>
      </c>
      <c r="D1490" s="21">
        <v>55</v>
      </c>
      <c r="E1490" s="1" t="s">
        <v>5921</v>
      </c>
      <c r="F1490" s="23">
        <v>7</v>
      </c>
      <c r="G1490" s="2" t="s">
        <v>5952</v>
      </c>
      <c r="H1490" s="2" t="s">
        <v>5953</v>
      </c>
      <c r="I1490" s="2" t="s">
        <v>5954</v>
      </c>
      <c r="J1490" s="2" t="s">
        <v>5955</v>
      </c>
      <c r="K1490" s="2" t="s">
        <v>5956</v>
      </c>
      <c r="L1490" s="2" t="s">
        <v>9</v>
      </c>
    </row>
    <row r="1491" spans="1:12" ht="15.75" customHeight="1" x14ac:dyDescent="0.25">
      <c r="A1491" s="1" t="s">
        <v>2590</v>
      </c>
      <c r="B1491" s="21">
        <v>18</v>
      </c>
      <c r="C1491" s="1" t="s">
        <v>5448</v>
      </c>
      <c r="D1491" s="21">
        <v>55</v>
      </c>
      <c r="E1491" s="1" t="s">
        <v>5921</v>
      </c>
      <c r="F1491" s="23">
        <v>8</v>
      </c>
      <c r="G1491" s="2" t="s">
        <v>5957</v>
      </c>
      <c r="H1491" s="2" t="s">
        <v>5958</v>
      </c>
      <c r="I1491" s="2" t="s">
        <v>5959</v>
      </c>
      <c r="J1491" s="2" t="s">
        <v>5960</v>
      </c>
      <c r="K1491" s="2" t="s">
        <v>5961</v>
      </c>
      <c r="L1491" s="2" t="s">
        <v>7</v>
      </c>
    </row>
    <row r="1492" spans="1:12" ht="15.75" customHeight="1" x14ac:dyDescent="0.25">
      <c r="A1492" s="1" t="s">
        <v>2590</v>
      </c>
      <c r="B1492" s="21">
        <v>18</v>
      </c>
      <c r="C1492" s="1" t="s">
        <v>5448</v>
      </c>
      <c r="D1492" s="21">
        <v>55</v>
      </c>
      <c r="E1492" s="1" t="s">
        <v>5921</v>
      </c>
      <c r="F1492" s="23">
        <v>9</v>
      </c>
      <c r="G1492" s="2" t="s">
        <v>5962</v>
      </c>
      <c r="H1492" s="2" t="s">
        <v>5963</v>
      </c>
      <c r="I1492" s="2" t="s">
        <v>5964</v>
      </c>
      <c r="J1492" s="2" t="s">
        <v>5965</v>
      </c>
      <c r="K1492" s="2" t="s">
        <v>5966</v>
      </c>
      <c r="L1492" s="2" t="s">
        <v>9</v>
      </c>
    </row>
    <row r="1493" spans="1:12" ht="15.75" customHeight="1" x14ac:dyDescent="0.25">
      <c r="A1493" s="1" t="s">
        <v>2590</v>
      </c>
      <c r="B1493" s="21">
        <v>18</v>
      </c>
      <c r="C1493" s="1" t="s">
        <v>5448</v>
      </c>
      <c r="D1493" s="21">
        <v>55</v>
      </c>
      <c r="E1493" s="1" t="s">
        <v>5921</v>
      </c>
      <c r="F1493" s="23">
        <v>10</v>
      </c>
      <c r="G1493" s="2" t="s">
        <v>5967</v>
      </c>
      <c r="H1493" s="2" t="s">
        <v>5968</v>
      </c>
      <c r="I1493" s="2" t="s">
        <v>5969</v>
      </c>
      <c r="J1493" s="2" t="s">
        <v>5970</v>
      </c>
      <c r="K1493" s="2" t="s">
        <v>5971</v>
      </c>
      <c r="L1493" s="2" t="s">
        <v>8</v>
      </c>
    </row>
    <row r="1494" spans="1:12" ht="15.75" customHeight="1" x14ac:dyDescent="0.25">
      <c r="A1494" s="1" t="s">
        <v>2590</v>
      </c>
      <c r="B1494" s="21">
        <v>18</v>
      </c>
      <c r="C1494" s="1" t="s">
        <v>5448</v>
      </c>
      <c r="D1494" s="21">
        <v>55</v>
      </c>
      <c r="E1494" s="1" t="s">
        <v>5921</v>
      </c>
      <c r="F1494" s="23">
        <v>11</v>
      </c>
      <c r="G1494" s="2" t="s">
        <v>5972</v>
      </c>
      <c r="H1494" s="2" t="s">
        <v>5973</v>
      </c>
      <c r="I1494" s="2" t="s">
        <v>5974</v>
      </c>
      <c r="J1494" s="2" t="s">
        <v>5975</v>
      </c>
      <c r="K1494" s="2" t="s">
        <v>5976</v>
      </c>
      <c r="L1494" s="2" t="s">
        <v>9</v>
      </c>
    </row>
    <row r="1495" spans="1:12" ht="15.75" customHeight="1" x14ac:dyDescent="0.25">
      <c r="A1495" s="1" t="s">
        <v>2590</v>
      </c>
      <c r="B1495" s="21">
        <v>18</v>
      </c>
      <c r="C1495" s="1" t="s">
        <v>5448</v>
      </c>
      <c r="D1495" s="21">
        <v>55</v>
      </c>
      <c r="E1495" s="1" t="s">
        <v>5921</v>
      </c>
      <c r="F1495" s="23">
        <v>12</v>
      </c>
      <c r="G1495" s="2" t="s">
        <v>5977</v>
      </c>
      <c r="H1495" s="2" t="s">
        <v>5978</v>
      </c>
      <c r="I1495" s="2" t="s">
        <v>5979</v>
      </c>
      <c r="J1495" s="2" t="s">
        <v>5938</v>
      </c>
      <c r="K1495" s="2" t="s">
        <v>5980</v>
      </c>
      <c r="L1495" s="2" t="s">
        <v>9</v>
      </c>
    </row>
    <row r="1496" spans="1:12" ht="15.75" customHeight="1" x14ac:dyDescent="0.25">
      <c r="A1496" s="1" t="s">
        <v>2590</v>
      </c>
      <c r="B1496" s="21">
        <v>18</v>
      </c>
      <c r="C1496" s="1" t="s">
        <v>5448</v>
      </c>
      <c r="D1496" s="21">
        <v>55</v>
      </c>
      <c r="E1496" s="1" t="s">
        <v>5921</v>
      </c>
      <c r="F1496" s="23">
        <v>13</v>
      </c>
      <c r="G1496" s="2" t="s">
        <v>5981</v>
      </c>
      <c r="H1496" s="2" t="s">
        <v>5982</v>
      </c>
      <c r="I1496" s="2" t="s">
        <v>5983</v>
      </c>
      <c r="J1496" s="2" t="s">
        <v>5984</v>
      </c>
      <c r="K1496" s="2" t="s">
        <v>5985</v>
      </c>
      <c r="L1496" s="2" t="s">
        <v>10</v>
      </c>
    </row>
    <row r="1497" spans="1:12" ht="15.75" customHeight="1" x14ac:dyDescent="0.25">
      <c r="A1497" s="1" t="s">
        <v>2590</v>
      </c>
      <c r="B1497" s="21">
        <v>18</v>
      </c>
      <c r="C1497" s="1" t="s">
        <v>5448</v>
      </c>
      <c r="D1497" s="21">
        <v>55</v>
      </c>
      <c r="E1497" s="1" t="s">
        <v>5921</v>
      </c>
      <c r="F1497" s="23">
        <v>14</v>
      </c>
      <c r="G1497" s="2" t="s">
        <v>5986</v>
      </c>
      <c r="H1497" s="2" t="s">
        <v>5987</v>
      </c>
      <c r="I1497" s="2" t="s">
        <v>5982</v>
      </c>
      <c r="J1497" s="2" t="s">
        <v>5988</v>
      </c>
      <c r="K1497" s="2" t="s">
        <v>5989</v>
      </c>
      <c r="L1497" s="2" t="s">
        <v>8</v>
      </c>
    </row>
    <row r="1498" spans="1:12" ht="15.75" customHeight="1" x14ac:dyDescent="0.25">
      <c r="A1498" s="1" t="s">
        <v>2590</v>
      </c>
      <c r="B1498" s="21">
        <v>18</v>
      </c>
      <c r="C1498" s="1" t="s">
        <v>5448</v>
      </c>
      <c r="D1498" s="21">
        <v>55</v>
      </c>
      <c r="E1498" s="1" t="s">
        <v>5921</v>
      </c>
      <c r="F1498" s="23">
        <v>15</v>
      </c>
      <c r="G1498" s="2" t="s">
        <v>5990</v>
      </c>
      <c r="H1498" s="2" t="s">
        <v>5991</v>
      </c>
      <c r="I1498" s="2" t="s">
        <v>5992</v>
      </c>
      <c r="J1498" s="2" t="s">
        <v>5993</v>
      </c>
      <c r="K1498" s="2" t="s">
        <v>5994</v>
      </c>
      <c r="L1498" s="2" t="s">
        <v>10</v>
      </c>
    </row>
    <row r="1499" spans="1:12" ht="15.75" customHeight="1" x14ac:dyDescent="0.25">
      <c r="A1499" s="1" t="s">
        <v>2590</v>
      </c>
      <c r="B1499" s="21">
        <v>18</v>
      </c>
      <c r="C1499" s="1" t="s">
        <v>5448</v>
      </c>
      <c r="D1499" s="21">
        <v>55</v>
      </c>
      <c r="E1499" s="1" t="s">
        <v>5921</v>
      </c>
      <c r="F1499" s="23">
        <v>16</v>
      </c>
      <c r="G1499" s="2" t="s">
        <v>5995</v>
      </c>
      <c r="H1499" s="2" t="s">
        <v>5988</v>
      </c>
      <c r="I1499" s="2" t="s">
        <v>5984</v>
      </c>
      <c r="J1499" s="2" t="s">
        <v>5991</v>
      </c>
      <c r="K1499" s="2" t="s">
        <v>5996</v>
      </c>
      <c r="L1499" s="2" t="s">
        <v>9</v>
      </c>
    </row>
    <row r="1500" spans="1:12" ht="15.75" customHeight="1" x14ac:dyDescent="0.25">
      <c r="A1500" s="1" t="s">
        <v>2590</v>
      </c>
      <c r="B1500" s="21">
        <v>18</v>
      </c>
      <c r="C1500" s="1" t="s">
        <v>5448</v>
      </c>
      <c r="D1500" s="21">
        <v>55</v>
      </c>
      <c r="E1500" s="1" t="s">
        <v>5921</v>
      </c>
      <c r="F1500" s="23">
        <v>17</v>
      </c>
      <c r="G1500" s="2" t="s">
        <v>5997</v>
      </c>
      <c r="H1500" s="2" t="s">
        <v>5998</v>
      </c>
      <c r="I1500" s="2" t="s">
        <v>5999</v>
      </c>
      <c r="J1500" s="2" t="s">
        <v>6000</v>
      </c>
      <c r="K1500" s="2" t="s">
        <v>6001</v>
      </c>
      <c r="L1500" s="2" t="s">
        <v>7</v>
      </c>
    </row>
    <row r="1501" spans="1:12" ht="15.75" customHeight="1" x14ac:dyDescent="0.25">
      <c r="A1501" s="1" t="s">
        <v>2590</v>
      </c>
      <c r="B1501" s="21">
        <v>18</v>
      </c>
      <c r="C1501" s="1" t="s">
        <v>5448</v>
      </c>
      <c r="D1501" s="21">
        <v>55</v>
      </c>
      <c r="E1501" s="1" t="s">
        <v>5921</v>
      </c>
      <c r="F1501" s="23">
        <v>18</v>
      </c>
      <c r="G1501" s="2" t="s">
        <v>6002</v>
      </c>
      <c r="H1501" s="2" t="s">
        <v>6003</v>
      </c>
      <c r="I1501" s="2" t="s">
        <v>6004</v>
      </c>
      <c r="J1501" s="2" t="s">
        <v>6005</v>
      </c>
      <c r="K1501" s="2" t="s">
        <v>6006</v>
      </c>
      <c r="L1501" s="2" t="s">
        <v>9</v>
      </c>
    </row>
    <row r="1502" spans="1:12" ht="15.75" customHeight="1" x14ac:dyDescent="0.25">
      <c r="A1502" s="1" t="s">
        <v>2590</v>
      </c>
      <c r="B1502" s="21">
        <v>18</v>
      </c>
      <c r="C1502" s="1" t="s">
        <v>5448</v>
      </c>
      <c r="D1502" s="21">
        <v>55</v>
      </c>
      <c r="E1502" s="1" t="s">
        <v>5921</v>
      </c>
      <c r="F1502" s="23">
        <v>19</v>
      </c>
      <c r="G1502" s="2" t="s">
        <v>6007</v>
      </c>
      <c r="H1502" s="2" t="s">
        <v>6008</v>
      </c>
      <c r="I1502" s="2" t="s">
        <v>6009</v>
      </c>
      <c r="J1502" s="2" t="s">
        <v>6010</v>
      </c>
      <c r="K1502" s="2" t="s">
        <v>6011</v>
      </c>
      <c r="L1502" s="2" t="s">
        <v>10</v>
      </c>
    </row>
    <row r="1503" spans="1:12" ht="15.75" customHeight="1" x14ac:dyDescent="0.25">
      <c r="A1503" s="1" t="s">
        <v>2590</v>
      </c>
      <c r="B1503" s="21">
        <v>18</v>
      </c>
      <c r="C1503" s="1" t="s">
        <v>5448</v>
      </c>
      <c r="D1503" s="21">
        <v>55</v>
      </c>
      <c r="E1503" s="1" t="s">
        <v>5921</v>
      </c>
      <c r="F1503" s="23">
        <v>20</v>
      </c>
      <c r="G1503" s="2" t="s">
        <v>6012</v>
      </c>
      <c r="H1503" s="2" t="s">
        <v>6013</v>
      </c>
      <c r="I1503" s="2" t="s">
        <v>6014</v>
      </c>
      <c r="J1503" s="2" t="s">
        <v>6015</v>
      </c>
      <c r="K1503" s="2" t="s">
        <v>6016</v>
      </c>
      <c r="L1503" s="2" t="s">
        <v>9</v>
      </c>
    </row>
    <row r="1504" spans="1:12" ht="15.75" customHeight="1" x14ac:dyDescent="0.25">
      <c r="A1504" s="1" t="s">
        <v>2590</v>
      </c>
      <c r="B1504" s="21">
        <v>18</v>
      </c>
      <c r="C1504" s="1" t="s">
        <v>5448</v>
      </c>
      <c r="D1504" s="21">
        <v>55</v>
      </c>
      <c r="E1504" s="1" t="s">
        <v>5921</v>
      </c>
      <c r="F1504" s="23">
        <v>21</v>
      </c>
      <c r="G1504" s="2" t="s">
        <v>6017</v>
      </c>
      <c r="H1504" s="2" t="s">
        <v>6018</v>
      </c>
      <c r="I1504" s="2" t="s">
        <v>6019</v>
      </c>
      <c r="J1504" s="2" t="s">
        <v>6020</v>
      </c>
      <c r="K1504" s="2" t="s">
        <v>6021</v>
      </c>
      <c r="L1504" s="2" t="s">
        <v>9</v>
      </c>
    </row>
    <row r="1505" spans="1:12" ht="15.75" customHeight="1" x14ac:dyDescent="0.25">
      <c r="A1505" s="1" t="s">
        <v>2590</v>
      </c>
      <c r="B1505" s="21">
        <v>18</v>
      </c>
      <c r="C1505" s="1" t="s">
        <v>5448</v>
      </c>
      <c r="D1505" s="21">
        <v>55</v>
      </c>
      <c r="E1505" s="1" t="s">
        <v>5921</v>
      </c>
      <c r="F1505" s="23">
        <v>22</v>
      </c>
      <c r="G1505" s="2" t="s">
        <v>6022</v>
      </c>
      <c r="H1505" s="2" t="s">
        <v>6023</v>
      </c>
      <c r="I1505" s="2" t="s">
        <v>6024</v>
      </c>
      <c r="J1505" s="2" t="s">
        <v>6025</v>
      </c>
      <c r="K1505" s="2" t="s">
        <v>5925</v>
      </c>
      <c r="L1505" s="2" t="s">
        <v>8</v>
      </c>
    </row>
    <row r="1506" spans="1:12" ht="15.75" customHeight="1" x14ac:dyDescent="0.25">
      <c r="A1506" s="1" t="s">
        <v>2590</v>
      </c>
      <c r="B1506" s="21">
        <v>18</v>
      </c>
      <c r="C1506" s="1" t="s">
        <v>5448</v>
      </c>
      <c r="D1506" s="21">
        <v>55</v>
      </c>
      <c r="E1506" s="1" t="s">
        <v>5921</v>
      </c>
      <c r="F1506" s="23">
        <v>23</v>
      </c>
      <c r="G1506" s="2" t="s">
        <v>6026</v>
      </c>
      <c r="H1506" s="2" t="s">
        <v>6027</v>
      </c>
      <c r="I1506" s="2" t="s">
        <v>6028</v>
      </c>
      <c r="J1506" s="2" t="s">
        <v>6029</v>
      </c>
      <c r="K1506" s="2" t="s">
        <v>6030</v>
      </c>
      <c r="L1506" s="2" t="s">
        <v>9</v>
      </c>
    </row>
    <row r="1507" spans="1:12" ht="15.75" customHeight="1" x14ac:dyDescent="0.25">
      <c r="A1507" s="1" t="s">
        <v>2590</v>
      </c>
      <c r="B1507" s="21">
        <v>18</v>
      </c>
      <c r="C1507" s="1" t="s">
        <v>5448</v>
      </c>
      <c r="D1507" s="21">
        <v>55</v>
      </c>
      <c r="E1507" s="1" t="s">
        <v>5921</v>
      </c>
      <c r="F1507" s="23">
        <v>24</v>
      </c>
      <c r="G1507" s="2" t="s">
        <v>6031</v>
      </c>
      <c r="H1507" s="2" t="s">
        <v>6032</v>
      </c>
      <c r="I1507" s="2" t="s">
        <v>6033</v>
      </c>
      <c r="J1507" s="2" t="s">
        <v>6034</v>
      </c>
      <c r="K1507" s="2" t="s">
        <v>6035</v>
      </c>
      <c r="L1507" s="2" t="s">
        <v>8</v>
      </c>
    </row>
    <row r="1508" spans="1:12" ht="15.75" customHeight="1" x14ac:dyDescent="0.25">
      <c r="A1508" s="1" t="s">
        <v>2590</v>
      </c>
      <c r="B1508" s="21">
        <v>18</v>
      </c>
      <c r="C1508" s="1" t="s">
        <v>5448</v>
      </c>
      <c r="D1508" s="21">
        <v>55</v>
      </c>
      <c r="E1508" s="1" t="s">
        <v>5921</v>
      </c>
      <c r="F1508" s="23">
        <v>25</v>
      </c>
      <c r="G1508" s="2" t="s">
        <v>6036</v>
      </c>
      <c r="H1508" s="2" t="s">
        <v>6037</v>
      </c>
      <c r="I1508" s="2" t="s">
        <v>6038</v>
      </c>
      <c r="J1508" s="2" t="s">
        <v>6039</v>
      </c>
      <c r="K1508" s="2" t="s">
        <v>6040</v>
      </c>
      <c r="L1508" s="2" t="s">
        <v>10</v>
      </c>
    </row>
    <row r="1509" spans="1:12" ht="15.75" customHeight="1" x14ac:dyDescent="0.25">
      <c r="A1509" s="1" t="s">
        <v>2590</v>
      </c>
      <c r="B1509" s="21">
        <v>18</v>
      </c>
      <c r="C1509" s="1" t="s">
        <v>5448</v>
      </c>
      <c r="D1509" s="21">
        <v>55</v>
      </c>
      <c r="E1509" s="1" t="s">
        <v>5921</v>
      </c>
      <c r="F1509" s="23">
        <v>26</v>
      </c>
      <c r="G1509" s="2" t="s">
        <v>6041</v>
      </c>
      <c r="H1509" s="2" t="s">
        <v>6042</v>
      </c>
      <c r="I1509" s="2" t="s">
        <v>6043</v>
      </c>
      <c r="J1509" s="2" t="s">
        <v>6044</v>
      </c>
      <c r="K1509" s="2" t="s">
        <v>6045</v>
      </c>
      <c r="L1509" s="2" t="s">
        <v>8</v>
      </c>
    </row>
    <row r="1510" spans="1:12" ht="15.75" customHeight="1" x14ac:dyDescent="0.25">
      <c r="A1510" s="1" t="s">
        <v>2590</v>
      </c>
      <c r="B1510" s="21">
        <v>18</v>
      </c>
      <c r="C1510" s="1" t="s">
        <v>5448</v>
      </c>
      <c r="D1510" s="21">
        <v>55</v>
      </c>
      <c r="E1510" s="1" t="s">
        <v>5921</v>
      </c>
      <c r="F1510" s="23">
        <v>27</v>
      </c>
      <c r="G1510" s="2" t="s">
        <v>6046</v>
      </c>
      <c r="H1510" s="2" t="s">
        <v>6047</v>
      </c>
      <c r="I1510" s="2" t="s">
        <v>6048</v>
      </c>
      <c r="J1510" s="2" t="s">
        <v>6049</v>
      </c>
      <c r="K1510" s="2" t="s">
        <v>6050</v>
      </c>
      <c r="L1510" s="2" t="s">
        <v>8</v>
      </c>
    </row>
    <row r="1511" spans="1:12" ht="15.75" customHeight="1" x14ac:dyDescent="0.25">
      <c r="A1511" s="1" t="s">
        <v>2590</v>
      </c>
      <c r="B1511" s="21">
        <v>18</v>
      </c>
      <c r="C1511" s="1" t="s">
        <v>5448</v>
      </c>
      <c r="D1511" s="21">
        <v>55</v>
      </c>
      <c r="E1511" s="1" t="s">
        <v>5921</v>
      </c>
      <c r="F1511" s="23">
        <v>28</v>
      </c>
      <c r="G1511" s="2" t="s">
        <v>6051</v>
      </c>
      <c r="H1511" s="2" t="s">
        <v>6052</v>
      </c>
      <c r="I1511" s="2" t="s">
        <v>6053</v>
      </c>
      <c r="J1511" s="2" t="s">
        <v>6054</v>
      </c>
      <c r="K1511" s="2" t="s">
        <v>6055</v>
      </c>
      <c r="L1511" s="2" t="s">
        <v>9</v>
      </c>
    </row>
    <row r="1512" spans="1:12" ht="15.75" customHeight="1" x14ac:dyDescent="0.25">
      <c r="A1512" s="1" t="s">
        <v>2590</v>
      </c>
      <c r="B1512" s="21">
        <v>18</v>
      </c>
      <c r="C1512" s="1" t="s">
        <v>5448</v>
      </c>
      <c r="D1512" s="21">
        <v>55</v>
      </c>
      <c r="E1512" s="1" t="s">
        <v>5921</v>
      </c>
      <c r="F1512" s="23">
        <v>29</v>
      </c>
      <c r="G1512" s="2" t="s">
        <v>6056</v>
      </c>
      <c r="H1512" s="2" t="s">
        <v>6057</v>
      </c>
      <c r="I1512" s="2" t="s">
        <v>6058</v>
      </c>
      <c r="J1512" s="2" t="s">
        <v>6059</v>
      </c>
      <c r="K1512" s="2" t="s">
        <v>6060</v>
      </c>
      <c r="L1512" s="2" t="s">
        <v>9</v>
      </c>
    </row>
    <row r="1513" spans="1:12" ht="15.75" customHeight="1" x14ac:dyDescent="0.25">
      <c r="A1513" s="1" t="s">
        <v>2590</v>
      </c>
      <c r="B1513" s="21">
        <v>18</v>
      </c>
      <c r="C1513" s="1" t="s">
        <v>5448</v>
      </c>
      <c r="D1513" s="21">
        <v>55</v>
      </c>
      <c r="E1513" s="1" t="s">
        <v>5921</v>
      </c>
      <c r="F1513" s="23">
        <v>30</v>
      </c>
      <c r="G1513" s="2" t="s">
        <v>6061</v>
      </c>
      <c r="H1513" s="2" t="s">
        <v>6062</v>
      </c>
      <c r="I1513" s="2" t="s">
        <v>6063</v>
      </c>
      <c r="J1513" s="2" t="s">
        <v>6064</v>
      </c>
      <c r="K1513" s="2" t="s">
        <v>6065</v>
      </c>
      <c r="L1513" s="2" t="s">
        <v>8</v>
      </c>
    </row>
    <row r="1514" spans="1:12" ht="15.75" customHeight="1" x14ac:dyDescent="0.25">
      <c r="A1514" s="1" t="s">
        <v>2590</v>
      </c>
      <c r="B1514" s="21">
        <v>18</v>
      </c>
      <c r="C1514" s="1" t="s">
        <v>5448</v>
      </c>
      <c r="D1514" s="21">
        <v>56</v>
      </c>
      <c r="E1514" s="1" t="s">
        <v>6066</v>
      </c>
      <c r="F1514" s="23">
        <v>1</v>
      </c>
      <c r="G1514" s="2" t="s">
        <v>6067</v>
      </c>
      <c r="H1514" s="2" t="s">
        <v>6068</v>
      </c>
      <c r="I1514" s="2" t="s">
        <v>6069</v>
      </c>
      <c r="J1514" s="2" t="s">
        <v>6070</v>
      </c>
      <c r="K1514" s="2" t="s">
        <v>6071</v>
      </c>
      <c r="L1514" s="2" t="s">
        <v>7</v>
      </c>
    </row>
    <row r="1515" spans="1:12" ht="15.75" customHeight="1" x14ac:dyDescent="0.25">
      <c r="A1515" s="1" t="s">
        <v>2590</v>
      </c>
      <c r="B1515" s="21">
        <v>18</v>
      </c>
      <c r="C1515" s="1" t="s">
        <v>5448</v>
      </c>
      <c r="D1515" s="21">
        <v>56</v>
      </c>
      <c r="E1515" s="1" t="s">
        <v>6066</v>
      </c>
      <c r="F1515" s="23">
        <v>2</v>
      </c>
      <c r="G1515" s="2" t="s">
        <v>6072</v>
      </c>
      <c r="H1515" s="2" t="s">
        <v>6073</v>
      </c>
      <c r="I1515" s="2" t="s">
        <v>6074</v>
      </c>
      <c r="J1515" s="2" t="s">
        <v>6075</v>
      </c>
      <c r="K1515" s="2" t="s">
        <v>6076</v>
      </c>
      <c r="L1515" s="2" t="s">
        <v>10</v>
      </c>
    </row>
    <row r="1516" spans="1:12" ht="15.75" customHeight="1" x14ac:dyDescent="0.25">
      <c r="A1516" s="1" t="s">
        <v>2590</v>
      </c>
      <c r="B1516" s="21">
        <v>18</v>
      </c>
      <c r="C1516" s="1" t="s">
        <v>5448</v>
      </c>
      <c r="D1516" s="21">
        <v>56</v>
      </c>
      <c r="E1516" s="1" t="s">
        <v>6066</v>
      </c>
      <c r="F1516" s="23">
        <v>3</v>
      </c>
      <c r="G1516" s="2" t="s">
        <v>6077</v>
      </c>
      <c r="H1516" s="2" t="s">
        <v>6078</v>
      </c>
      <c r="I1516" s="2" t="s">
        <v>6079</v>
      </c>
      <c r="J1516" s="2" t="s">
        <v>6080</v>
      </c>
      <c r="K1516" s="2" t="s">
        <v>6081</v>
      </c>
      <c r="L1516" s="2" t="s">
        <v>9</v>
      </c>
    </row>
    <row r="1517" spans="1:12" ht="15.75" customHeight="1" x14ac:dyDescent="0.25">
      <c r="A1517" s="1" t="s">
        <v>2590</v>
      </c>
      <c r="B1517" s="21">
        <v>18</v>
      </c>
      <c r="C1517" s="1" t="s">
        <v>5448</v>
      </c>
      <c r="D1517" s="21">
        <v>56</v>
      </c>
      <c r="E1517" s="1" t="s">
        <v>6066</v>
      </c>
      <c r="F1517" s="23">
        <v>4</v>
      </c>
      <c r="G1517" s="2" t="s">
        <v>6082</v>
      </c>
      <c r="H1517" s="2" t="s">
        <v>6083</v>
      </c>
      <c r="I1517" s="2" t="s">
        <v>6084</v>
      </c>
      <c r="J1517" s="2" t="s">
        <v>6085</v>
      </c>
      <c r="K1517" s="2" t="s">
        <v>6086</v>
      </c>
      <c r="L1517" s="2" t="s">
        <v>9</v>
      </c>
    </row>
    <row r="1518" spans="1:12" ht="15.75" customHeight="1" x14ac:dyDescent="0.25">
      <c r="A1518" s="1" t="s">
        <v>2590</v>
      </c>
      <c r="B1518" s="21">
        <v>18</v>
      </c>
      <c r="C1518" s="1" t="s">
        <v>5448</v>
      </c>
      <c r="D1518" s="21">
        <v>56</v>
      </c>
      <c r="E1518" s="1" t="s">
        <v>6066</v>
      </c>
      <c r="F1518" s="23">
        <v>5</v>
      </c>
      <c r="G1518" s="2" t="s">
        <v>6087</v>
      </c>
      <c r="H1518" s="2" t="s">
        <v>6088</v>
      </c>
      <c r="I1518" s="2" t="s">
        <v>6089</v>
      </c>
      <c r="J1518" s="2" t="s">
        <v>6090</v>
      </c>
      <c r="K1518" s="2" t="s">
        <v>6091</v>
      </c>
      <c r="L1518" s="2" t="s">
        <v>10</v>
      </c>
    </row>
    <row r="1519" spans="1:12" ht="15.75" customHeight="1" x14ac:dyDescent="0.25">
      <c r="A1519" s="1" t="s">
        <v>2590</v>
      </c>
      <c r="B1519" s="21">
        <v>18</v>
      </c>
      <c r="C1519" s="1" t="s">
        <v>5448</v>
      </c>
      <c r="D1519" s="21">
        <v>56</v>
      </c>
      <c r="E1519" s="1" t="s">
        <v>6066</v>
      </c>
      <c r="F1519" s="23">
        <v>6</v>
      </c>
      <c r="G1519" s="2" t="s">
        <v>6092</v>
      </c>
      <c r="H1519" s="2" t="s">
        <v>6093</v>
      </c>
      <c r="I1519" s="2" t="s">
        <v>6094</v>
      </c>
      <c r="J1519" s="2" t="s">
        <v>6095</v>
      </c>
      <c r="K1519" s="2" t="s">
        <v>6096</v>
      </c>
      <c r="L1519" s="2" t="s">
        <v>10</v>
      </c>
    </row>
    <row r="1520" spans="1:12" ht="15.75" customHeight="1" x14ac:dyDescent="0.25">
      <c r="A1520" s="1" t="s">
        <v>2590</v>
      </c>
      <c r="B1520" s="21">
        <v>18</v>
      </c>
      <c r="C1520" s="1" t="s">
        <v>5448</v>
      </c>
      <c r="D1520" s="21">
        <v>56</v>
      </c>
      <c r="E1520" s="1" t="s">
        <v>6066</v>
      </c>
      <c r="F1520" s="23">
        <v>7</v>
      </c>
      <c r="G1520" s="2" t="s">
        <v>6097</v>
      </c>
      <c r="H1520" s="2" t="s">
        <v>6098</v>
      </c>
      <c r="I1520" s="2" t="s">
        <v>6099</v>
      </c>
      <c r="J1520" s="2" t="s">
        <v>6100</v>
      </c>
      <c r="K1520" s="2" t="s">
        <v>6101</v>
      </c>
      <c r="L1520" s="2" t="s">
        <v>9</v>
      </c>
    </row>
    <row r="1521" spans="1:12" ht="15.75" customHeight="1" x14ac:dyDescent="0.25">
      <c r="A1521" s="1" t="s">
        <v>2590</v>
      </c>
      <c r="B1521" s="21">
        <v>18</v>
      </c>
      <c r="C1521" s="1" t="s">
        <v>5448</v>
      </c>
      <c r="D1521" s="21">
        <v>56</v>
      </c>
      <c r="E1521" s="1" t="s">
        <v>6066</v>
      </c>
      <c r="F1521" s="23">
        <v>8</v>
      </c>
      <c r="G1521" s="2" t="s">
        <v>6102</v>
      </c>
      <c r="H1521" s="2" t="s">
        <v>6103</v>
      </c>
      <c r="I1521" s="2" t="s">
        <v>6104</v>
      </c>
      <c r="J1521" s="2" t="s">
        <v>6105</v>
      </c>
      <c r="K1521" s="2" t="s">
        <v>6106</v>
      </c>
      <c r="L1521" s="2" t="s">
        <v>7</v>
      </c>
    </row>
    <row r="1522" spans="1:12" ht="15.75" customHeight="1" x14ac:dyDescent="0.25">
      <c r="A1522" s="1" t="s">
        <v>2590</v>
      </c>
      <c r="B1522" s="21">
        <v>18</v>
      </c>
      <c r="C1522" s="1" t="s">
        <v>5448</v>
      </c>
      <c r="D1522" s="21">
        <v>56</v>
      </c>
      <c r="E1522" s="1" t="s">
        <v>6066</v>
      </c>
      <c r="F1522" s="23">
        <v>9</v>
      </c>
      <c r="G1522" s="2" t="s">
        <v>6107</v>
      </c>
      <c r="H1522" s="2" t="s">
        <v>6108</v>
      </c>
      <c r="I1522" s="2" t="s">
        <v>6109</v>
      </c>
      <c r="J1522" s="2" t="s">
        <v>6110</v>
      </c>
      <c r="K1522" s="2" t="s">
        <v>6111</v>
      </c>
      <c r="L1522" s="2" t="s">
        <v>8</v>
      </c>
    </row>
    <row r="1523" spans="1:12" ht="15.75" customHeight="1" x14ac:dyDescent="0.25">
      <c r="A1523" s="1" t="s">
        <v>2590</v>
      </c>
      <c r="B1523" s="21">
        <v>18</v>
      </c>
      <c r="C1523" s="1" t="s">
        <v>5448</v>
      </c>
      <c r="D1523" s="21">
        <v>56</v>
      </c>
      <c r="E1523" s="1" t="s">
        <v>6066</v>
      </c>
      <c r="F1523" s="23">
        <v>10</v>
      </c>
      <c r="G1523" s="2" t="s">
        <v>6112</v>
      </c>
      <c r="H1523" s="2" t="s">
        <v>6113</v>
      </c>
      <c r="I1523" s="2" t="s">
        <v>6114</v>
      </c>
      <c r="J1523" s="2" t="s">
        <v>6115</v>
      </c>
      <c r="K1523" s="2" t="s">
        <v>6116</v>
      </c>
      <c r="L1523" s="2" t="s">
        <v>8</v>
      </c>
    </row>
    <row r="1524" spans="1:12" ht="15.75" customHeight="1" x14ac:dyDescent="0.25">
      <c r="A1524" s="1" t="s">
        <v>2590</v>
      </c>
      <c r="B1524" s="21">
        <v>18</v>
      </c>
      <c r="C1524" s="1" t="s">
        <v>5448</v>
      </c>
      <c r="D1524" s="21">
        <v>56</v>
      </c>
      <c r="E1524" s="1" t="s">
        <v>6066</v>
      </c>
      <c r="F1524" s="23">
        <v>11</v>
      </c>
      <c r="G1524" s="2" t="s">
        <v>6117</v>
      </c>
      <c r="H1524" s="2" t="s">
        <v>6118</v>
      </c>
      <c r="I1524" s="2" t="s">
        <v>6119</v>
      </c>
      <c r="J1524" s="2" t="s">
        <v>6120</v>
      </c>
      <c r="K1524" s="2" t="s">
        <v>6121</v>
      </c>
      <c r="L1524" s="2" t="s">
        <v>8</v>
      </c>
    </row>
    <row r="1525" spans="1:12" ht="15.75" customHeight="1" x14ac:dyDescent="0.25">
      <c r="A1525" s="1" t="s">
        <v>2590</v>
      </c>
      <c r="B1525" s="21">
        <v>18</v>
      </c>
      <c r="C1525" s="1" t="s">
        <v>5448</v>
      </c>
      <c r="D1525" s="21">
        <v>56</v>
      </c>
      <c r="E1525" s="1" t="s">
        <v>6066</v>
      </c>
      <c r="F1525" s="23">
        <v>12</v>
      </c>
      <c r="G1525" s="2" t="s">
        <v>6122</v>
      </c>
      <c r="H1525" s="2" t="s">
        <v>6123</v>
      </c>
      <c r="I1525" s="2" t="s">
        <v>6124</v>
      </c>
      <c r="J1525" s="2" t="s">
        <v>6125</v>
      </c>
      <c r="K1525" s="2" t="s">
        <v>6126</v>
      </c>
      <c r="L1525" s="2" t="s">
        <v>8</v>
      </c>
    </row>
    <row r="1526" spans="1:12" ht="15.75" customHeight="1" x14ac:dyDescent="0.25">
      <c r="A1526" s="1" t="s">
        <v>2590</v>
      </c>
      <c r="B1526" s="21">
        <v>18</v>
      </c>
      <c r="C1526" s="1" t="s">
        <v>5448</v>
      </c>
      <c r="D1526" s="21">
        <v>56</v>
      </c>
      <c r="E1526" s="1" t="s">
        <v>6066</v>
      </c>
      <c r="F1526" s="23">
        <v>13</v>
      </c>
      <c r="G1526" s="2" t="s">
        <v>6127</v>
      </c>
      <c r="H1526" s="2" t="s">
        <v>6128</v>
      </c>
      <c r="I1526" s="2" t="s">
        <v>6129</v>
      </c>
      <c r="J1526" s="2" t="s">
        <v>6130</v>
      </c>
      <c r="K1526" s="2" t="s">
        <v>6131</v>
      </c>
      <c r="L1526" s="2" t="s">
        <v>10</v>
      </c>
    </row>
    <row r="1527" spans="1:12" ht="15.75" customHeight="1" x14ac:dyDescent="0.25">
      <c r="A1527" s="1" t="s">
        <v>2590</v>
      </c>
      <c r="B1527" s="21">
        <v>18</v>
      </c>
      <c r="C1527" s="1" t="s">
        <v>5448</v>
      </c>
      <c r="D1527" s="21">
        <v>56</v>
      </c>
      <c r="E1527" s="1" t="s">
        <v>6066</v>
      </c>
      <c r="F1527" s="23">
        <v>14</v>
      </c>
      <c r="G1527" s="2" t="s">
        <v>6132</v>
      </c>
      <c r="H1527" s="2" t="s">
        <v>6133</v>
      </c>
      <c r="I1527" s="2" t="s">
        <v>6134</v>
      </c>
      <c r="J1527" s="2" t="s">
        <v>6135</v>
      </c>
      <c r="K1527" s="2" t="s">
        <v>6126</v>
      </c>
      <c r="L1527" s="2" t="s">
        <v>9</v>
      </c>
    </row>
    <row r="1528" spans="1:12" ht="15.75" customHeight="1" x14ac:dyDescent="0.25">
      <c r="A1528" s="1" t="s">
        <v>2590</v>
      </c>
      <c r="B1528" s="21">
        <v>18</v>
      </c>
      <c r="C1528" s="1" t="s">
        <v>5448</v>
      </c>
      <c r="D1528" s="21">
        <v>56</v>
      </c>
      <c r="E1528" s="1" t="s">
        <v>6066</v>
      </c>
      <c r="F1528" s="23">
        <v>15</v>
      </c>
      <c r="G1528" s="2" t="s">
        <v>6136</v>
      </c>
      <c r="H1528" s="2" t="s">
        <v>6137</v>
      </c>
      <c r="I1528" s="2" t="s">
        <v>6138</v>
      </c>
      <c r="J1528" s="2" t="s">
        <v>6139</v>
      </c>
      <c r="K1528" s="2" t="s">
        <v>6140</v>
      </c>
      <c r="L1528" s="2" t="s">
        <v>8</v>
      </c>
    </row>
    <row r="1529" spans="1:12" ht="15.75" customHeight="1" x14ac:dyDescent="0.25">
      <c r="A1529" s="1" t="s">
        <v>2590</v>
      </c>
      <c r="B1529" s="21">
        <v>18</v>
      </c>
      <c r="C1529" s="1" t="s">
        <v>5448</v>
      </c>
      <c r="D1529" s="21">
        <v>56</v>
      </c>
      <c r="E1529" s="1" t="s">
        <v>6066</v>
      </c>
      <c r="F1529" s="23">
        <v>16</v>
      </c>
      <c r="G1529" s="2" t="s">
        <v>6141</v>
      </c>
      <c r="H1529" s="2" t="s">
        <v>6142</v>
      </c>
      <c r="I1529" s="2" t="s">
        <v>6143</v>
      </c>
      <c r="J1529" s="2" t="s">
        <v>6144</v>
      </c>
      <c r="K1529" s="2" t="s">
        <v>6145</v>
      </c>
      <c r="L1529" s="2" t="s">
        <v>7</v>
      </c>
    </row>
    <row r="1530" spans="1:12" ht="15" customHeight="1" x14ac:dyDescent="0.25">
      <c r="A1530" s="1" t="s">
        <v>2590</v>
      </c>
      <c r="B1530" s="21">
        <v>21</v>
      </c>
      <c r="C1530" s="1" t="s">
        <v>6151</v>
      </c>
      <c r="D1530" s="21">
        <v>57</v>
      </c>
      <c r="E1530" s="1" t="s">
        <v>6152</v>
      </c>
      <c r="F1530" s="24">
        <v>1</v>
      </c>
      <c r="G1530" s="5" t="s">
        <v>6153</v>
      </c>
      <c r="H1530" s="5" t="s">
        <v>6154</v>
      </c>
      <c r="I1530" s="5" t="s">
        <v>6155</v>
      </c>
      <c r="J1530" s="5" t="s">
        <v>6156</v>
      </c>
      <c r="K1530" s="5"/>
      <c r="L1530" s="2" t="s">
        <v>7</v>
      </c>
    </row>
    <row r="1531" spans="1:12" ht="15" customHeight="1" x14ac:dyDescent="0.25">
      <c r="A1531" s="1" t="s">
        <v>2590</v>
      </c>
      <c r="B1531" s="21">
        <v>21</v>
      </c>
      <c r="C1531" s="1" t="s">
        <v>6151</v>
      </c>
      <c r="D1531" s="21">
        <v>57</v>
      </c>
      <c r="E1531" s="1" t="s">
        <v>6152</v>
      </c>
      <c r="F1531" s="24">
        <v>2</v>
      </c>
      <c r="G1531" s="5" t="s">
        <v>6157</v>
      </c>
      <c r="H1531" s="5" t="s">
        <v>6158</v>
      </c>
      <c r="I1531" s="5" t="s">
        <v>6159</v>
      </c>
      <c r="J1531" s="5" t="s">
        <v>6160</v>
      </c>
      <c r="K1531" s="5"/>
      <c r="L1531" s="2" t="s">
        <v>8</v>
      </c>
    </row>
    <row r="1532" spans="1:12" ht="15" customHeight="1" x14ac:dyDescent="0.25">
      <c r="A1532" s="1" t="s">
        <v>2590</v>
      </c>
      <c r="B1532" s="21">
        <v>21</v>
      </c>
      <c r="C1532" s="1" t="s">
        <v>6151</v>
      </c>
      <c r="D1532" s="21">
        <v>57</v>
      </c>
      <c r="E1532" s="1" t="s">
        <v>6152</v>
      </c>
      <c r="F1532" s="24">
        <v>3</v>
      </c>
      <c r="G1532" s="5" t="s">
        <v>6161</v>
      </c>
      <c r="H1532" s="5" t="s">
        <v>6162</v>
      </c>
      <c r="I1532" s="5" t="s">
        <v>6163</v>
      </c>
      <c r="J1532" s="5" t="s">
        <v>6164</v>
      </c>
      <c r="K1532" s="5"/>
      <c r="L1532" s="2" t="s">
        <v>9</v>
      </c>
    </row>
    <row r="1533" spans="1:12" ht="15" customHeight="1" x14ac:dyDescent="0.25">
      <c r="A1533" s="1" t="s">
        <v>2590</v>
      </c>
      <c r="B1533" s="21">
        <v>21</v>
      </c>
      <c r="C1533" s="1" t="s">
        <v>6151</v>
      </c>
      <c r="D1533" s="21">
        <v>57</v>
      </c>
      <c r="E1533" s="1" t="s">
        <v>6152</v>
      </c>
      <c r="F1533" s="24">
        <v>4</v>
      </c>
      <c r="G1533" s="5" t="s">
        <v>6165</v>
      </c>
      <c r="H1533" s="5" t="s">
        <v>6166</v>
      </c>
      <c r="I1533" s="5" t="s">
        <v>6167</v>
      </c>
      <c r="J1533" s="5" t="s">
        <v>6168</v>
      </c>
      <c r="K1533" s="5"/>
      <c r="L1533" s="2" t="s">
        <v>8</v>
      </c>
    </row>
    <row r="1534" spans="1:12" ht="15" customHeight="1" x14ac:dyDescent="0.25">
      <c r="A1534" s="1" t="s">
        <v>2590</v>
      </c>
      <c r="B1534" s="21">
        <v>21</v>
      </c>
      <c r="C1534" s="1" t="s">
        <v>6151</v>
      </c>
      <c r="D1534" s="21">
        <v>57</v>
      </c>
      <c r="E1534" s="1" t="s">
        <v>6152</v>
      </c>
      <c r="F1534" s="24">
        <v>5</v>
      </c>
      <c r="G1534" s="5" t="s">
        <v>6169</v>
      </c>
      <c r="H1534" s="5" t="s">
        <v>6170</v>
      </c>
      <c r="I1534" s="5" t="s">
        <v>6171</v>
      </c>
      <c r="J1534" s="5" t="s">
        <v>6172</v>
      </c>
      <c r="K1534" s="5"/>
      <c r="L1534" s="2" t="s">
        <v>9</v>
      </c>
    </row>
    <row r="1535" spans="1:12" ht="15" customHeight="1" x14ac:dyDescent="0.25">
      <c r="A1535" s="1" t="s">
        <v>2590</v>
      </c>
      <c r="B1535" s="21">
        <v>21</v>
      </c>
      <c r="C1535" s="1" t="s">
        <v>6151</v>
      </c>
      <c r="D1535" s="21">
        <v>57</v>
      </c>
      <c r="E1535" s="1" t="s">
        <v>6152</v>
      </c>
      <c r="F1535" s="24">
        <v>6</v>
      </c>
      <c r="G1535" s="5" t="s">
        <v>6173</v>
      </c>
      <c r="H1535" s="5" t="s">
        <v>6174</v>
      </c>
      <c r="I1535" s="5" t="s">
        <v>6175</v>
      </c>
      <c r="J1535" s="5" t="s">
        <v>6176</v>
      </c>
      <c r="K1535" s="5"/>
      <c r="L1535" s="2" t="s">
        <v>7</v>
      </c>
    </row>
    <row r="1536" spans="1:12" ht="15" customHeight="1" x14ac:dyDescent="0.25">
      <c r="A1536" s="1" t="s">
        <v>2590</v>
      </c>
      <c r="B1536" s="21">
        <v>21</v>
      </c>
      <c r="C1536" s="1" t="s">
        <v>6151</v>
      </c>
      <c r="D1536" s="21">
        <v>57</v>
      </c>
      <c r="E1536" s="1" t="s">
        <v>6152</v>
      </c>
      <c r="F1536" s="24">
        <v>7</v>
      </c>
      <c r="G1536" s="5" t="s">
        <v>6177</v>
      </c>
      <c r="H1536" s="5">
        <v>20</v>
      </c>
      <c r="I1536" s="5">
        <v>22</v>
      </c>
      <c r="J1536" s="5">
        <v>25</v>
      </c>
      <c r="K1536" s="5"/>
      <c r="L1536" s="2" t="s">
        <v>8</v>
      </c>
    </row>
    <row r="1537" spans="1:12" ht="15" customHeight="1" x14ac:dyDescent="0.25">
      <c r="A1537" s="1" t="s">
        <v>2590</v>
      </c>
      <c r="B1537" s="21">
        <v>21</v>
      </c>
      <c r="C1537" s="1" t="s">
        <v>6151</v>
      </c>
      <c r="D1537" s="21">
        <v>57</v>
      </c>
      <c r="E1537" s="1" t="s">
        <v>6152</v>
      </c>
      <c r="F1537" s="24">
        <v>8</v>
      </c>
      <c r="G1537" s="5" t="s">
        <v>6178</v>
      </c>
      <c r="H1537" s="5">
        <v>1980</v>
      </c>
      <c r="I1537" s="5">
        <v>1985</v>
      </c>
      <c r="J1537" s="5">
        <v>1990</v>
      </c>
      <c r="K1537" s="5"/>
      <c r="L1537" s="2" t="s">
        <v>8</v>
      </c>
    </row>
    <row r="1538" spans="1:12" ht="15" customHeight="1" x14ac:dyDescent="0.25">
      <c r="A1538" s="1" t="s">
        <v>2590</v>
      </c>
      <c r="B1538" s="21">
        <v>21</v>
      </c>
      <c r="C1538" s="1" t="s">
        <v>6151</v>
      </c>
      <c r="D1538" s="21">
        <v>57</v>
      </c>
      <c r="E1538" s="1" t="s">
        <v>6152</v>
      </c>
      <c r="F1538" s="24">
        <v>9</v>
      </c>
      <c r="G1538" s="5" t="s">
        <v>6179</v>
      </c>
      <c r="H1538" s="5" t="s">
        <v>6180</v>
      </c>
      <c r="I1538" s="5" t="s">
        <v>6181</v>
      </c>
      <c r="J1538" s="5" t="s">
        <v>6182</v>
      </c>
      <c r="K1538" s="5"/>
      <c r="L1538" s="2" t="s">
        <v>9</v>
      </c>
    </row>
    <row r="1539" spans="1:12" ht="15" customHeight="1" x14ac:dyDescent="0.25">
      <c r="A1539" s="1" t="s">
        <v>2590</v>
      </c>
      <c r="B1539" s="21">
        <v>21</v>
      </c>
      <c r="C1539" s="1" t="s">
        <v>6151</v>
      </c>
      <c r="D1539" s="21">
        <v>57</v>
      </c>
      <c r="E1539" s="1" t="s">
        <v>6152</v>
      </c>
      <c r="F1539" s="24">
        <v>10</v>
      </c>
      <c r="G1539" s="5" t="s">
        <v>6183</v>
      </c>
      <c r="H1539" s="5" t="s">
        <v>6184</v>
      </c>
      <c r="I1539" s="5" t="s">
        <v>6185</v>
      </c>
      <c r="J1539" s="5" t="s">
        <v>6186</v>
      </c>
      <c r="K1539" s="5"/>
      <c r="L1539" s="2" t="s">
        <v>7</v>
      </c>
    </row>
    <row r="1540" spans="1:12" ht="15" customHeight="1" x14ac:dyDescent="0.25">
      <c r="A1540" s="1" t="s">
        <v>2590</v>
      </c>
      <c r="B1540" s="21">
        <v>21</v>
      </c>
      <c r="C1540" s="1" t="s">
        <v>6151</v>
      </c>
      <c r="D1540" s="21">
        <v>57</v>
      </c>
      <c r="E1540" s="1" t="s">
        <v>6152</v>
      </c>
      <c r="F1540" s="24">
        <v>11</v>
      </c>
      <c r="G1540" s="5" t="s">
        <v>6187</v>
      </c>
      <c r="H1540" s="5" t="s">
        <v>6188</v>
      </c>
      <c r="I1540" s="5" t="s">
        <v>6189</v>
      </c>
      <c r="J1540" s="5" t="s">
        <v>6190</v>
      </c>
      <c r="K1540" s="5"/>
      <c r="L1540" s="2" t="s">
        <v>9</v>
      </c>
    </row>
    <row r="1541" spans="1:12" ht="15" customHeight="1" x14ac:dyDescent="0.25">
      <c r="A1541" s="1" t="s">
        <v>2590</v>
      </c>
      <c r="B1541" s="21">
        <v>21</v>
      </c>
      <c r="C1541" s="1" t="s">
        <v>6151</v>
      </c>
      <c r="D1541" s="21">
        <v>57</v>
      </c>
      <c r="E1541" s="1" t="s">
        <v>6152</v>
      </c>
      <c r="F1541" s="24">
        <v>12</v>
      </c>
      <c r="G1541" s="5" t="s">
        <v>6191</v>
      </c>
      <c r="H1541" s="5" t="s">
        <v>6192</v>
      </c>
      <c r="I1541" s="5" t="s">
        <v>6193</v>
      </c>
      <c r="J1541" s="5" t="s">
        <v>6194</v>
      </c>
      <c r="K1541" s="5"/>
      <c r="L1541" s="2" t="s">
        <v>7</v>
      </c>
    </row>
    <row r="1542" spans="1:12" ht="15" customHeight="1" x14ac:dyDescent="0.25">
      <c r="A1542" s="1" t="s">
        <v>2590</v>
      </c>
      <c r="B1542" s="21">
        <v>21</v>
      </c>
      <c r="C1542" s="1" t="s">
        <v>6151</v>
      </c>
      <c r="D1542" s="21">
        <v>57</v>
      </c>
      <c r="E1542" s="1" t="s">
        <v>6152</v>
      </c>
      <c r="F1542" s="24">
        <v>13</v>
      </c>
      <c r="G1542" s="5" t="s">
        <v>6195</v>
      </c>
      <c r="H1542" s="5" t="s">
        <v>6196</v>
      </c>
      <c r="I1542" s="5" t="s">
        <v>6197</v>
      </c>
      <c r="J1542" s="5" t="s">
        <v>6198</v>
      </c>
      <c r="K1542" s="5"/>
      <c r="L1542" s="2" t="s">
        <v>9</v>
      </c>
    </row>
    <row r="1543" spans="1:12" ht="15" customHeight="1" x14ac:dyDescent="0.25">
      <c r="A1543" s="1" t="s">
        <v>2590</v>
      </c>
      <c r="B1543" s="21">
        <v>21</v>
      </c>
      <c r="C1543" s="1" t="s">
        <v>6151</v>
      </c>
      <c r="D1543" s="21">
        <v>57</v>
      </c>
      <c r="E1543" s="1" t="s">
        <v>6152</v>
      </c>
      <c r="F1543" s="24">
        <v>14</v>
      </c>
      <c r="G1543" s="5" t="s">
        <v>6199</v>
      </c>
      <c r="H1543" s="5" t="s">
        <v>6200</v>
      </c>
      <c r="I1543" s="5" t="s">
        <v>6201</v>
      </c>
      <c r="J1543" s="5" t="s">
        <v>6202</v>
      </c>
      <c r="K1543" s="5"/>
      <c r="L1543" s="2" t="s">
        <v>7</v>
      </c>
    </row>
    <row r="1544" spans="1:12" ht="15" customHeight="1" x14ac:dyDescent="0.25">
      <c r="A1544" s="1" t="s">
        <v>2590</v>
      </c>
      <c r="B1544" s="21">
        <v>21</v>
      </c>
      <c r="C1544" s="1" t="s">
        <v>6151</v>
      </c>
      <c r="D1544" s="21">
        <v>57</v>
      </c>
      <c r="E1544" s="1" t="s">
        <v>6152</v>
      </c>
      <c r="F1544" s="24">
        <v>15</v>
      </c>
      <c r="G1544" s="5" t="s">
        <v>6203</v>
      </c>
      <c r="H1544" s="5" t="s">
        <v>6204</v>
      </c>
      <c r="I1544" s="5" t="s">
        <v>6205</v>
      </c>
      <c r="J1544" s="5" t="s">
        <v>6206</v>
      </c>
      <c r="K1544" s="5"/>
      <c r="L1544" s="2" t="s">
        <v>7</v>
      </c>
    </row>
    <row r="1545" spans="1:12" ht="15" customHeight="1" x14ac:dyDescent="0.25">
      <c r="A1545" s="1" t="s">
        <v>2590</v>
      </c>
      <c r="B1545" s="21">
        <v>21</v>
      </c>
      <c r="C1545" s="1" t="s">
        <v>6151</v>
      </c>
      <c r="D1545" s="21">
        <v>57</v>
      </c>
      <c r="E1545" s="1" t="s">
        <v>6152</v>
      </c>
      <c r="F1545" s="24">
        <v>16</v>
      </c>
      <c r="G1545" s="5" t="s">
        <v>6207</v>
      </c>
      <c r="H1545" s="5" t="s">
        <v>6208</v>
      </c>
      <c r="I1545" s="5" t="s">
        <v>6209</v>
      </c>
      <c r="J1545" s="5" t="s">
        <v>6210</v>
      </c>
      <c r="K1545" s="5"/>
      <c r="L1545" s="2" t="s">
        <v>9</v>
      </c>
    </row>
    <row r="1546" spans="1:12" ht="15" customHeight="1" x14ac:dyDescent="0.25">
      <c r="A1546" s="1" t="s">
        <v>2590</v>
      </c>
      <c r="B1546" s="21">
        <v>21</v>
      </c>
      <c r="C1546" s="1" t="s">
        <v>6151</v>
      </c>
      <c r="D1546" s="21">
        <v>57</v>
      </c>
      <c r="E1546" s="1" t="s">
        <v>6152</v>
      </c>
      <c r="F1546" s="24">
        <v>17</v>
      </c>
      <c r="G1546" s="5" t="s">
        <v>6211</v>
      </c>
      <c r="H1546" s="5" t="s">
        <v>6212</v>
      </c>
      <c r="I1546" s="5" t="s">
        <v>6213</v>
      </c>
      <c r="J1546" s="5" t="s">
        <v>6214</v>
      </c>
      <c r="K1546" s="5"/>
      <c r="L1546" s="2" t="s">
        <v>9</v>
      </c>
    </row>
    <row r="1547" spans="1:12" ht="15" customHeight="1" x14ac:dyDescent="0.25">
      <c r="A1547" s="1" t="s">
        <v>2590</v>
      </c>
      <c r="B1547" s="21">
        <v>21</v>
      </c>
      <c r="C1547" s="1" t="s">
        <v>6151</v>
      </c>
      <c r="D1547" s="21">
        <v>57</v>
      </c>
      <c r="E1547" s="1" t="s">
        <v>6152</v>
      </c>
      <c r="F1547" s="24">
        <v>18</v>
      </c>
      <c r="G1547" s="5" t="s">
        <v>6215</v>
      </c>
      <c r="H1547" s="5" t="s">
        <v>6216</v>
      </c>
      <c r="I1547" s="5" t="s">
        <v>6189</v>
      </c>
      <c r="J1547" s="5" t="s">
        <v>6217</v>
      </c>
      <c r="K1547" s="5"/>
      <c r="L1547" s="2" t="s">
        <v>9</v>
      </c>
    </row>
    <row r="1548" spans="1:12" ht="15" customHeight="1" x14ac:dyDescent="0.25">
      <c r="A1548" s="1" t="s">
        <v>2590</v>
      </c>
      <c r="B1548" s="21">
        <v>21</v>
      </c>
      <c r="C1548" s="1" t="s">
        <v>6151</v>
      </c>
      <c r="D1548" s="21">
        <v>57</v>
      </c>
      <c r="E1548" s="1" t="s">
        <v>6152</v>
      </c>
      <c r="F1548" s="24">
        <v>19</v>
      </c>
      <c r="G1548" s="5" t="s">
        <v>6218</v>
      </c>
      <c r="H1548" s="5" t="s">
        <v>6219</v>
      </c>
      <c r="I1548" s="5" t="s">
        <v>6220</v>
      </c>
      <c r="J1548" s="5" t="s">
        <v>6221</v>
      </c>
      <c r="K1548" s="5"/>
      <c r="L1548" s="2" t="s">
        <v>9</v>
      </c>
    </row>
    <row r="1549" spans="1:12" ht="15" customHeight="1" x14ac:dyDescent="0.25">
      <c r="A1549" s="1" t="s">
        <v>2590</v>
      </c>
      <c r="B1549" s="21">
        <v>21</v>
      </c>
      <c r="C1549" s="1" t="s">
        <v>6151</v>
      </c>
      <c r="D1549" s="21">
        <v>57</v>
      </c>
      <c r="E1549" s="1" t="s">
        <v>6152</v>
      </c>
      <c r="F1549" s="24">
        <v>20</v>
      </c>
      <c r="G1549" s="5" t="s">
        <v>6222</v>
      </c>
      <c r="H1549" s="5" t="s">
        <v>6223</v>
      </c>
      <c r="I1549" s="5" t="s">
        <v>6224</v>
      </c>
      <c r="J1549" s="5" t="s">
        <v>6225</v>
      </c>
      <c r="K1549" s="5"/>
      <c r="L1549" s="2" t="s">
        <v>9</v>
      </c>
    </row>
    <row r="1550" spans="1:12" ht="15" customHeight="1" x14ac:dyDescent="0.25">
      <c r="A1550" s="1" t="s">
        <v>2590</v>
      </c>
      <c r="B1550" s="21">
        <v>22</v>
      </c>
      <c r="C1550" s="1" t="s">
        <v>6226</v>
      </c>
      <c r="D1550" s="21">
        <v>58</v>
      </c>
      <c r="E1550" s="1" t="s">
        <v>6227</v>
      </c>
      <c r="F1550" s="24">
        <v>1</v>
      </c>
      <c r="G1550" s="5" t="s">
        <v>6228</v>
      </c>
      <c r="H1550" s="5" t="s">
        <v>6229</v>
      </c>
      <c r="I1550" s="5" t="s">
        <v>6230</v>
      </c>
      <c r="J1550" s="5" t="s">
        <v>6231</v>
      </c>
      <c r="K1550" s="5" t="s">
        <v>6232</v>
      </c>
      <c r="L1550" s="2" t="s">
        <v>10</v>
      </c>
    </row>
    <row r="1551" spans="1:12" ht="15" customHeight="1" x14ac:dyDescent="0.25">
      <c r="A1551" s="1" t="s">
        <v>2590</v>
      </c>
      <c r="B1551" s="21">
        <v>22</v>
      </c>
      <c r="C1551" s="1" t="s">
        <v>6226</v>
      </c>
      <c r="D1551" s="21">
        <v>58</v>
      </c>
      <c r="E1551" s="1" t="s">
        <v>6227</v>
      </c>
      <c r="F1551" s="24">
        <v>2</v>
      </c>
      <c r="G1551" s="5" t="s">
        <v>6233</v>
      </c>
      <c r="H1551" s="5" t="s">
        <v>6234</v>
      </c>
      <c r="I1551" s="5" t="s">
        <v>6235</v>
      </c>
      <c r="J1551" s="5" t="s">
        <v>6236</v>
      </c>
      <c r="K1551" s="5" t="s">
        <v>6237</v>
      </c>
      <c r="L1551" s="2" t="s">
        <v>7</v>
      </c>
    </row>
    <row r="1552" spans="1:12" ht="15" customHeight="1" x14ac:dyDescent="0.25">
      <c r="A1552" s="1" t="s">
        <v>2590</v>
      </c>
      <c r="B1552" s="21">
        <v>22</v>
      </c>
      <c r="C1552" s="1" t="s">
        <v>6226</v>
      </c>
      <c r="D1552" s="21">
        <v>58</v>
      </c>
      <c r="E1552" s="1" t="s">
        <v>6227</v>
      </c>
      <c r="F1552" s="24">
        <v>3</v>
      </c>
      <c r="G1552" s="5" t="s">
        <v>6238</v>
      </c>
      <c r="H1552" s="5" t="s">
        <v>6239</v>
      </c>
      <c r="I1552" s="5" t="s">
        <v>6240</v>
      </c>
      <c r="J1552" s="5" t="s">
        <v>6241</v>
      </c>
      <c r="K1552" s="5" t="s">
        <v>6242</v>
      </c>
      <c r="L1552" s="2" t="s">
        <v>7</v>
      </c>
    </row>
    <row r="1553" spans="1:12" ht="15" customHeight="1" x14ac:dyDescent="0.25">
      <c r="A1553" s="1" t="s">
        <v>2590</v>
      </c>
      <c r="B1553" s="21">
        <v>22</v>
      </c>
      <c r="C1553" s="1" t="s">
        <v>6226</v>
      </c>
      <c r="D1553" s="21">
        <v>58</v>
      </c>
      <c r="E1553" s="1" t="s">
        <v>6227</v>
      </c>
      <c r="F1553" s="24">
        <v>4</v>
      </c>
      <c r="G1553" s="5" t="s">
        <v>6243</v>
      </c>
      <c r="H1553" s="5">
        <v>85</v>
      </c>
      <c r="I1553" s="5">
        <v>100</v>
      </c>
      <c r="J1553" s="5">
        <v>150</v>
      </c>
      <c r="K1553" s="5">
        <v>160</v>
      </c>
      <c r="L1553" s="2" t="s">
        <v>9</v>
      </c>
    </row>
    <row r="1554" spans="1:12" ht="15" customHeight="1" x14ac:dyDescent="0.25">
      <c r="A1554" s="1" t="s">
        <v>2590</v>
      </c>
      <c r="B1554" s="21">
        <v>22</v>
      </c>
      <c r="C1554" s="1" t="s">
        <v>6226</v>
      </c>
      <c r="D1554" s="21">
        <v>58</v>
      </c>
      <c r="E1554" s="1" t="s">
        <v>6227</v>
      </c>
      <c r="F1554" s="24">
        <v>5</v>
      </c>
      <c r="G1554" s="5" t="s">
        <v>6244</v>
      </c>
      <c r="H1554" s="5">
        <v>85</v>
      </c>
      <c r="I1554" s="5">
        <v>100</v>
      </c>
      <c r="J1554" s="5">
        <v>150</v>
      </c>
      <c r="K1554" s="5">
        <v>160</v>
      </c>
      <c r="L1554" s="2" t="s">
        <v>7</v>
      </c>
    </row>
    <row r="1555" spans="1:12" ht="15" customHeight="1" x14ac:dyDescent="0.25">
      <c r="A1555" s="1" t="s">
        <v>2590</v>
      </c>
      <c r="B1555" s="21">
        <v>22</v>
      </c>
      <c r="C1555" s="1" t="s">
        <v>6226</v>
      </c>
      <c r="D1555" s="21">
        <v>58</v>
      </c>
      <c r="E1555" s="1" t="s">
        <v>6227</v>
      </c>
      <c r="F1555" s="24">
        <v>6</v>
      </c>
      <c r="G1555" s="5" t="s">
        <v>6245</v>
      </c>
      <c r="H1555" s="5" t="s">
        <v>6246</v>
      </c>
      <c r="I1555" s="5" t="s">
        <v>6247</v>
      </c>
      <c r="J1555" s="5" t="s">
        <v>6248</v>
      </c>
      <c r="K1555" s="5" t="s">
        <v>6249</v>
      </c>
      <c r="L1555" s="2" t="s">
        <v>7</v>
      </c>
    </row>
    <row r="1556" spans="1:12" ht="15" customHeight="1" x14ac:dyDescent="0.25">
      <c r="A1556" s="1" t="s">
        <v>2590</v>
      </c>
      <c r="B1556" s="21">
        <v>22</v>
      </c>
      <c r="C1556" s="1" t="s">
        <v>6226</v>
      </c>
      <c r="D1556" s="21">
        <v>58</v>
      </c>
      <c r="E1556" s="1" t="s">
        <v>6227</v>
      </c>
      <c r="F1556" s="24">
        <v>7</v>
      </c>
      <c r="G1556" s="5" t="s">
        <v>6250</v>
      </c>
      <c r="H1556" s="5" t="s">
        <v>6251</v>
      </c>
      <c r="I1556" s="5" t="s">
        <v>6252</v>
      </c>
      <c r="J1556" s="5" t="s">
        <v>6253</v>
      </c>
      <c r="K1556" s="5" t="s">
        <v>6254</v>
      </c>
      <c r="L1556" s="2" t="s">
        <v>7</v>
      </c>
    </row>
    <row r="1557" spans="1:12" ht="15" customHeight="1" x14ac:dyDescent="0.25">
      <c r="A1557" s="1" t="s">
        <v>2590</v>
      </c>
      <c r="B1557" s="21">
        <v>22</v>
      </c>
      <c r="C1557" s="1" t="s">
        <v>6226</v>
      </c>
      <c r="D1557" s="21">
        <v>58</v>
      </c>
      <c r="E1557" s="1" t="s">
        <v>6227</v>
      </c>
      <c r="F1557" s="24">
        <v>8</v>
      </c>
      <c r="G1557" s="5" t="s">
        <v>6255</v>
      </c>
      <c r="H1557" s="5" t="s">
        <v>6256</v>
      </c>
      <c r="I1557" s="5" t="s">
        <v>6257</v>
      </c>
      <c r="J1557" s="5" t="s">
        <v>6258</v>
      </c>
      <c r="K1557" s="5" t="s">
        <v>6259</v>
      </c>
      <c r="L1557" s="2" t="s">
        <v>8</v>
      </c>
    </row>
    <row r="1558" spans="1:12" ht="15" customHeight="1" x14ac:dyDescent="0.25">
      <c r="A1558" s="1" t="s">
        <v>2590</v>
      </c>
      <c r="B1558" s="21">
        <v>22</v>
      </c>
      <c r="C1558" s="1" t="s">
        <v>6226</v>
      </c>
      <c r="D1558" s="21">
        <v>58</v>
      </c>
      <c r="E1558" s="1" t="s">
        <v>6227</v>
      </c>
      <c r="F1558" s="24">
        <v>9</v>
      </c>
      <c r="G1558" s="5" t="s">
        <v>6260</v>
      </c>
      <c r="H1558" s="35" t="s">
        <v>9833</v>
      </c>
      <c r="I1558" s="36" t="s">
        <v>9834</v>
      </c>
      <c r="J1558" s="35" t="s">
        <v>9835</v>
      </c>
      <c r="K1558" s="35" t="s">
        <v>9836</v>
      </c>
      <c r="L1558" s="2" t="s">
        <v>8</v>
      </c>
    </row>
    <row r="1559" spans="1:12" ht="15" customHeight="1" x14ac:dyDescent="0.25">
      <c r="A1559" s="1" t="s">
        <v>2590</v>
      </c>
      <c r="B1559" s="21">
        <v>22</v>
      </c>
      <c r="C1559" s="1" t="s">
        <v>6226</v>
      </c>
      <c r="D1559" s="21">
        <v>58</v>
      </c>
      <c r="E1559" s="1" t="s">
        <v>6227</v>
      </c>
      <c r="F1559" s="24">
        <v>10</v>
      </c>
      <c r="G1559" s="5" t="s">
        <v>6261</v>
      </c>
      <c r="H1559" s="5" t="s">
        <v>6262</v>
      </c>
      <c r="I1559" s="5" t="s">
        <v>6263</v>
      </c>
      <c r="J1559" s="5" t="s">
        <v>6264</v>
      </c>
      <c r="K1559" s="5" t="s">
        <v>6265</v>
      </c>
      <c r="L1559" s="2" t="s">
        <v>8</v>
      </c>
    </row>
    <row r="1560" spans="1:12" ht="15" customHeight="1" x14ac:dyDescent="0.25">
      <c r="A1560" s="1" t="s">
        <v>2590</v>
      </c>
      <c r="B1560" s="21">
        <v>22</v>
      </c>
      <c r="C1560" s="1" t="s">
        <v>6226</v>
      </c>
      <c r="D1560" s="21">
        <v>58</v>
      </c>
      <c r="E1560" s="1" t="s">
        <v>6227</v>
      </c>
      <c r="F1560" s="24">
        <v>11</v>
      </c>
      <c r="G1560" s="5" t="s">
        <v>6266</v>
      </c>
      <c r="H1560" s="5" t="s">
        <v>6267</v>
      </c>
      <c r="I1560" s="5" t="s">
        <v>6268</v>
      </c>
      <c r="J1560" s="5" t="s">
        <v>6269</v>
      </c>
      <c r="K1560" s="5" t="s">
        <v>6270</v>
      </c>
      <c r="L1560" s="2" t="s">
        <v>8</v>
      </c>
    </row>
    <row r="1561" spans="1:12" ht="15" customHeight="1" x14ac:dyDescent="0.25">
      <c r="A1561" s="1" t="s">
        <v>2590</v>
      </c>
      <c r="B1561" s="21">
        <v>22</v>
      </c>
      <c r="C1561" s="1" t="s">
        <v>6226</v>
      </c>
      <c r="D1561" s="21">
        <v>58</v>
      </c>
      <c r="E1561" s="1" t="s">
        <v>6227</v>
      </c>
      <c r="F1561" s="24">
        <v>12</v>
      </c>
      <c r="G1561" s="5" t="s">
        <v>6271</v>
      </c>
      <c r="H1561" s="5" t="s">
        <v>6272</v>
      </c>
      <c r="I1561" s="5" t="s">
        <v>6273</v>
      </c>
      <c r="J1561" s="5" t="s">
        <v>6274</v>
      </c>
      <c r="K1561" s="5" t="s">
        <v>6275</v>
      </c>
      <c r="L1561" s="2" t="s">
        <v>7</v>
      </c>
    </row>
    <row r="1562" spans="1:12" ht="15" customHeight="1" x14ac:dyDescent="0.25">
      <c r="A1562" s="1" t="s">
        <v>2590</v>
      </c>
      <c r="B1562" s="21">
        <v>22</v>
      </c>
      <c r="C1562" s="1" t="s">
        <v>6226</v>
      </c>
      <c r="D1562" s="21">
        <v>58</v>
      </c>
      <c r="E1562" s="1" t="s">
        <v>6227</v>
      </c>
      <c r="F1562" s="24">
        <v>13</v>
      </c>
      <c r="G1562" s="5" t="s">
        <v>6276</v>
      </c>
      <c r="H1562" s="5" t="s">
        <v>6275</v>
      </c>
      <c r="I1562" s="5" t="s">
        <v>6277</v>
      </c>
      <c r="J1562" s="5" t="s">
        <v>6278</v>
      </c>
      <c r="K1562" s="5" t="s">
        <v>6279</v>
      </c>
      <c r="L1562" s="2" t="s">
        <v>9</v>
      </c>
    </row>
    <row r="1563" spans="1:12" ht="15" customHeight="1" x14ac:dyDescent="0.25">
      <c r="A1563" s="1" t="s">
        <v>2590</v>
      </c>
      <c r="B1563" s="21">
        <v>22</v>
      </c>
      <c r="C1563" s="1" t="s">
        <v>6226</v>
      </c>
      <c r="D1563" s="21">
        <v>58</v>
      </c>
      <c r="E1563" s="1" t="s">
        <v>6227</v>
      </c>
      <c r="F1563" s="24">
        <v>14</v>
      </c>
      <c r="G1563" s="5" t="s">
        <v>6280</v>
      </c>
      <c r="H1563" s="5" t="s">
        <v>6281</v>
      </c>
      <c r="I1563" s="5" t="s">
        <v>6282</v>
      </c>
      <c r="J1563" s="5" t="s">
        <v>6283</v>
      </c>
      <c r="K1563" s="5" t="s">
        <v>6284</v>
      </c>
      <c r="L1563" s="2" t="s">
        <v>7</v>
      </c>
    </row>
    <row r="1564" spans="1:12" ht="15" customHeight="1" x14ac:dyDescent="0.25">
      <c r="A1564" s="1" t="s">
        <v>2590</v>
      </c>
      <c r="B1564" s="21">
        <v>22</v>
      </c>
      <c r="C1564" s="1" t="s">
        <v>6226</v>
      </c>
      <c r="D1564" s="21">
        <v>58</v>
      </c>
      <c r="E1564" s="1" t="s">
        <v>6227</v>
      </c>
      <c r="F1564" s="24">
        <v>15</v>
      </c>
      <c r="G1564" s="5" t="s">
        <v>6285</v>
      </c>
      <c r="H1564" s="5" t="s">
        <v>6251</v>
      </c>
      <c r="I1564" s="5" t="s">
        <v>6286</v>
      </c>
      <c r="J1564" s="5" t="s">
        <v>6287</v>
      </c>
      <c r="K1564" s="5" t="s">
        <v>6288</v>
      </c>
      <c r="L1564" s="2" t="s">
        <v>8</v>
      </c>
    </row>
    <row r="1565" spans="1:12" ht="15" customHeight="1" x14ac:dyDescent="0.25">
      <c r="A1565" s="1" t="s">
        <v>2590</v>
      </c>
      <c r="B1565" s="21">
        <v>22</v>
      </c>
      <c r="C1565" s="1" t="s">
        <v>6226</v>
      </c>
      <c r="D1565" s="21">
        <v>58</v>
      </c>
      <c r="E1565" s="1" t="s">
        <v>6227</v>
      </c>
      <c r="F1565" s="24">
        <v>16</v>
      </c>
      <c r="G1565" s="5" t="s">
        <v>6289</v>
      </c>
      <c r="H1565" s="5" t="s">
        <v>6290</v>
      </c>
      <c r="I1565" s="5" t="s">
        <v>6291</v>
      </c>
      <c r="J1565" s="5" t="s">
        <v>6292</v>
      </c>
      <c r="K1565" s="5" t="s">
        <v>6293</v>
      </c>
      <c r="L1565" s="2" t="s">
        <v>10</v>
      </c>
    </row>
    <row r="1566" spans="1:12" ht="15" customHeight="1" x14ac:dyDescent="0.25">
      <c r="A1566" s="1" t="s">
        <v>2590</v>
      </c>
      <c r="B1566" s="21">
        <v>22</v>
      </c>
      <c r="C1566" s="1" t="s">
        <v>6226</v>
      </c>
      <c r="D1566" s="21">
        <v>58</v>
      </c>
      <c r="E1566" s="1" t="s">
        <v>6227</v>
      </c>
      <c r="F1566" s="24">
        <v>17</v>
      </c>
      <c r="G1566" s="5" t="s">
        <v>6294</v>
      </c>
      <c r="H1566" s="5" t="s">
        <v>6295</v>
      </c>
      <c r="I1566" s="5" t="s">
        <v>6296</v>
      </c>
      <c r="J1566" s="5" t="s">
        <v>6297</v>
      </c>
      <c r="K1566" s="5" t="s">
        <v>6298</v>
      </c>
      <c r="L1566" s="2" t="s">
        <v>10</v>
      </c>
    </row>
    <row r="1567" spans="1:12" ht="15" customHeight="1" x14ac:dyDescent="0.25">
      <c r="A1567" s="1" t="s">
        <v>2590</v>
      </c>
      <c r="B1567" s="21">
        <v>22</v>
      </c>
      <c r="C1567" s="1" t="s">
        <v>6226</v>
      </c>
      <c r="D1567" s="21">
        <v>58</v>
      </c>
      <c r="E1567" s="1" t="s">
        <v>6227</v>
      </c>
      <c r="F1567" s="24">
        <v>18</v>
      </c>
      <c r="G1567" s="5" t="s">
        <v>6299</v>
      </c>
      <c r="H1567" s="5" t="s">
        <v>6300</v>
      </c>
      <c r="I1567" s="5" t="s">
        <v>6301</v>
      </c>
      <c r="J1567" s="5" t="s">
        <v>6302</v>
      </c>
      <c r="K1567" s="5" t="s">
        <v>6303</v>
      </c>
      <c r="L1567" s="2" t="s">
        <v>7</v>
      </c>
    </row>
    <row r="1568" spans="1:12" ht="15" customHeight="1" x14ac:dyDescent="0.25">
      <c r="A1568" s="1" t="s">
        <v>2590</v>
      </c>
      <c r="B1568" s="21">
        <v>22</v>
      </c>
      <c r="C1568" s="1" t="s">
        <v>6226</v>
      </c>
      <c r="D1568" s="21">
        <v>58</v>
      </c>
      <c r="E1568" s="1" t="s">
        <v>6227</v>
      </c>
      <c r="F1568" s="24">
        <v>19</v>
      </c>
      <c r="G1568" s="5" t="s">
        <v>6304</v>
      </c>
      <c r="H1568" s="5" t="s">
        <v>6305</v>
      </c>
      <c r="I1568" s="5" t="s">
        <v>6306</v>
      </c>
      <c r="J1568" s="5" t="s">
        <v>6307</v>
      </c>
      <c r="K1568" s="5" t="s">
        <v>6308</v>
      </c>
      <c r="L1568" s="2" t="s">
        <v>9</v>
      </c>
    </row>
    <row r="1569" spans="1:12" ht="15" customHeight="1" x14ac:dyDescent="0.25">
      <c r="A1569" s="1" t="s">
        <v>2590</v>
      </c>
      <c r="B1569" s="21">
        <v>22</v>
      </c>
      <c r="C1569" s="1" t="s">
        <v>6226</v>
      </c>
      <c r="D1569" s="21">
        <v>58</v>
      </c>
      <c r="E1569" s="1" t="s">
        <v>6227</v>
      </c>
      <c r="F1569" s="24">
        <v>20</v>
      </c>
      <c r="G1569" s="5" t="s">
        <v>6309</v>
      </c>
      <c r="H1569" s="5" t="s">
        <v>6235</v>
      </c>
      <c r="I1569" s="5" t="s">
        <v>6234</v>
      </c>
      <c r="J1569" s="5" t="s">
        <v>6310</v>
      </c>
      <c r="K1569" s="5" t="s">
        <v>6311</v>
      </c>
      <c r="L1569" s="2" t="s">
        <v>8</v>
      </c>
    </row>
    <row r="1570" spans="1:12" ht="15" customHeight="1" x14ac:dyDescent="0.25">
      <c r="A1570" s="1" t="s">
        <v>2590</v>
      </c>
      <c r="B1570" s="21">
        <v>17</v>
      </c>
      <c r="C1570" s="1" t="s">
        <v>5255</v>
      </c>
      <c r="D1570" s="21">
        <v>59</v>
      </c>
      <c r="E1570" s="1" t="s">
        <v>6312</v>
      </c>
      <c r="F1570" s="24">
        <v>1</v>
      </c>
      <c r="G1570" s="5" t="s">
        <v>6313</v>
      </c>
      <c r="H1570" s="5" t="s">
        <v>3500</v>
      </c>
      <c r="I1570" s="5" t="s">
        <v>6314</v>
      </c>
      <c r="J1570" s="5" t="s">
        <v>6315</v>
      </c>
      <c r="K1570" s="5"/>
      <c r="L1570" s="2" t="s">
        <v>7</v>
      </c>
    </row>
    <row r="1571" spans="1:12" ht="15" customHeight="1" x14ac:dyDescent="0.25">
      <c r="A1571" s="1" t="s">
        <v>2590</v>
      </c>
      <c r="B1571" s="21">
        <v>17</v>
      </c>
      <c r="C1571" s="1" t="s">
        <v>5255</v>
      </c>
      <c r="D1571" s="21">
        <v>59</v>
      </c>
      <c r="E1571" s="1" t="s">
        <v>6312</v>
      </c>
      <c r="F1571" s="24">
        <v>2</v>
      </c>
      <c r="G1571" s="5" t="s">
        <v>6316</v>
      </c>
      <c r="H1571" s="5" t="s">
        <v>6317</v>
      </c>
      <c r="I1571" s="5" t="s">
        <v>6318</v>
      </c>
      <c r="J1571" s="5" t="s">
        <v>6319</v>
      </c>
      <c r="K1571" s="5"/>
      <c r="L1571" s="2" t="s">
        <v>9</v>
      </c>
    </row>
    <row r="1572" spans="1:12" ht="15" customHeight="1" x14ac:dyDescent="0.25">
      <c r="A1572" s="1" t="s">
        <v>2590</v>
      </c>
      <c r="B1572" s="21">
        <v>17</v>
      </c>
      <c r="C1572" s="1" t="s">
        <v>5255</v>
      </c>
      <c r="D1572" s="21">
        <v>59</v>
      </c>
      <c r="E1572" s="1" t="s">
        <v>6312</v>
      </c>
      <c r="F1572" s="24">
        <v>3</v>
      </c>
      <c r="G1572" s="5" t="s">
        <v>6320</v>
      </c>
      <c r="H1572" s="5" t="s">
        <v>6321</v>
      </c>
      <c r="I1572" s="5" t="s">
        <v>6322</v>
      </c>
      <c r="J1572" s="5" t="s">
        <v>6323</v>
      </c>
      <c r="K1572" s="5"/>
      <c r="L1572" s="2" t="s">
        <v>8</v>
      </c>
    </row>
    <row r="1573" spans="1:12" ht="15" customHeight="1" x14ac:dyDescent="0.25">
      <c r="A1573" s="1" t="s">
        <v>2590</v>
      </c>
      <c r="B1573" s="21">
        <v>17</v>
      </c>
      <c r="C1573" s="1" t="s">
        <v>5255</v>
      </c>
      <c r="D1573" s="21">
        <v>59</v>
      </c>
      <c r="E1573" s="1" t="s">
        <v>6312</v>
      </c>
      <c r="F1573" s="24">
        <v>4</v>
      </c>
      <c r="G1573" s="5" t="s">
        <v>6324</v>
      </c>
      <c r="H1573" s="5" t="s">
        <v>6325</v>
      </c>
      <c r="I1573" s="5" t="s">
        <v>6326</v>
      </c>
      <c r="J1573" s="5" t="s">
        <v>6327</v>
      </c>
      <c r="K1573" s="5"/>
      <c r="L1573" s="2" t="s">
        <v>8</v>
      </c>
    </row>
    <row r="1574" spans="1:12" ht="15" customHeight="1" x14ac:dyDescent="0.25">
      <c r="A1574" s="1" t="s">
        <v>2590</v>
      </c>
      <c r="B1574" s="21">
        <v>17</v>
      </c>
      <c r="C1574" s="1" t="s">
        <v>5255</v>
      </c>
      <c r="D1574" s="21">
        <v>59</v>
      </c>
      <c r="E1574" s="1" t="s">
        <v>6312</v>
      </c>
      <c r="F1574" s="24">
        <v>5</v>
      </c>
      <c r="G1574" s="5" t="s">
        <v>6328</v>
      </c>
      <c r="H1574" s="5" t="s">
        <v>6329</v>
      </c>
      <c r="I1574" s="5" t="s">
        <v>6330</v>
      </c>
      <c r="J1574" s="5" t="s">
        <v>6331</v>
      </c>
      <c r="K1574" s="5"/>
      <c r="L1574" s="2" t="s">
        <v>7</v>
      </c>
    </row>
    <row r="1575" spans="1:12" ht="15" customHeight="1" x14ac:dyDescent="0.25">
      <c r="A1575" s="1" t="s">
        <v>2590</v>
      </c>
      <c r="B1575" s="21">
        <v>17</v>
      </c>
      <c r="C1575" s="1" t="s">
        <v>5255</v>
      </c>
      <c r="D1575" s="21">
        <v>59</v>
      </c>
      <c r="E1575" s="1" t="s">
        <v>6312</v>
      </c>
      <c r="F1575" s="24">
        <v>6</v>
      </c>
      <c r="G1575" s="5" t="s">
        <v>6332</v>
      </c>
      <c r="H1575" s="5" t="s">
        <v>6333</v>
      </c>
      <c r="I1575" s="5" t="s">
        <v>6334</v>
      </c>
      <c r="J1575" s="5" t="s">
        <v>6335</v>
      </c>
      <c r="K1575" s="5"/>
      <c r="L1575" s="2" t="s">
        <v>8</v>
      </c>
    </row>
    <row r="1576" spans="1:12" ht="15" customHeight="1" x14ac:dyDescent="0.25">
      <c r="A1576" s="1" t="s">
        <v>2590</v>
      </c>
      <c r="B1576" s="21">
        <v>17</v>
      </c>
      <c r="C1576" s="1" t="s">
        <v>5255</v>
      </c>
      <c r="D1576" s="21">
        <v>59</v>
      </c>
      <c r="E1576" s="1" t="s">
        <v>6312</v>
      </c>
      <c r="F1576" s="24">
        <v>7</v>
      </c>
      <c r="G1576" s="5" t="s">
        <v>6336</v>
      </c>
      <c r="H1576" s="5" t="s">
        <v>6337</v>
      </c>
      <c r="I1576" s="5" t="s">
        <v>6338</v>
      </c>
      <c r="J1576" s="5" t="s">
        <v>6339</v>
      </c>
      <c r="K1576" s="5"/>
      <c r="L1576" s="2" t="s">
        <v>7</v>
      </c>
    </row>
    <row r="1577" spans="1:12" ht="15" customHeight="1" x14ac:dyDescent="0.25">
      <c r="A1577" s="1" t="s">
        <v>2590</v>
      </c>
      <c r="B1577" s="21">
        <v>17</v>
      </c>
      <c r="C1577" s="1" t="s">
        <v>5255</v>
      </c>
      <c r="D1577" s="21">
        <v>59</v>
      </c>
      <c r="E1577" s="1" t="s">
        <v>6312</v>
      </c>
      <c r="F1577" s="24">
        <v>8</v>
      </c>
      <c r="G1577" s="5" t="s">
        <v>6340</v>
      </c>
      <c r="H1577" s="5" t="s">
        <v>6341</v>
      </c>
      <c r="I1577" s="5" t="s">
        <v>6342</v>
      </c>
      <c r="J1577" s="5" t="s">
        <v>6343</v>
      </c>
      <c r="K1577" s="5"/>
      <c r="L1577" s="2" t="s">
        <v>8</v>
      </c>
    </row>
    <row r="1578" spans="1:12" ht="15" customHeight="1" x14ac:dyDescent="0.25">
      <c r="A1578" s="1" t="s">
        <v>2590</v>
      </c>
      <c r="B1578" s="21">
        <v>17</v>
      </c>
      <c r="C1578" s="1" t="s">
        <v>5255</v>
      </c>
      <c r="D1578" s="21">
        <v>59</v>
      </c>
      <c r="E1578" s="1" t="s">
        <v>6312</v>
      </c>
      <c r="F1578" s="24">
        <v>9</v>
      </c>
      <c r="G1578" s="5" t="s">
        <v>6344</v>
      </c>
      <c r="H1578" s="5" t="s">
        <v>6345</v>
      </c>
      <c r="I1578" s="5" t="s">
        <v>6346</v>
      </c>
      <c r="J1578" s="5" t="s">
        <v>6347</v>
      </c>
      <c r="K1578" s="5"/>
      <c r="L1578" s="2" t="s">
        <v>7</v>
      </c>
    </row>
    <row r="1579" spans="1:12" ht="15" customHeight="1" x14ac:dyDescent="0.25">
      <c r="A1579" s="1" t="s">
        <v>2590</v>
      </c>
      <c r="B1579" s="21">
        <v>17</v>
      </c>
      <c r="C1579" s="1" t="s">
        <v>5255</v>
      </c>
      <c r="D1579" s="21">
        <v>59</v>
      </c>
      <c r="E1579" s="1" t="s">
        <v>6312</v>
      </c>
      <c r="F1579" s="24">
        <v>10</v>
      </c>
      <c r="G1579" s="5" t="s">
        <v>6348</v>
      </c>
      <c r="H1579" s="5" t="s">
        <v>6349</v>
      </c>
      <c r="I1579" s="5" t="s">
        <v>6350</v>
      </c>
      <c r="J1579" s="5" t="s">
        <v>6351</v>
      </c>
      <c r="K1579" s="5"/>
      <c r="L1579" s="2" t="s">
        <v>9</v>
      </c>
    </row>
    <row r="1580" spans="1:12" ht="15" customHeight="1" x14ac:dyDescent="0.25">
      <c r="A1580" s="1" t="s">
        <v>2590</v>
      </c>
      <c r="B1580" s="21">
        <v>17</v>
      </c>
      <c r="C1580" s="1" t="s">
        <v>5255</v>
      </c>
      <c r="D1580" s="21">
        <v>59</v>
      </c>
      <c r="E1580" s="1" t="s">
        <v>6312</v>
      </c>
      <c r="F1580" s="24">
        <v>11</v>
      </c>
      <c r="G1580" s="5" t="s">
        <v>6352</v>
      </c>
      <c r="H1580" s="5" t="s">
        <v>6353</v>
      </c>
      <c r="I1580" s="5" t="s">
        <v>6354</v>
      </c>
      <c r="J1580" s="5" t="s">
        <v>6355</v>
      </c>
      <c r="K1580" s="5"/>
      <c r="L1580" s="2" t="s">
        <v>9</v>
      </c>
    </row>
    <row r="1581" spans="1:12" ht="15" customHeight="1" x14ac:dyDescent="0.25">
      <c r="A1581" s="1" t="s">
        <v>2590</v>
      </c>
      <c r="B1581" s="21">
        <v>17</v>
      </c>
      <c r="C1581" s="1" t="s">
        <v>5255</v>
      </c>
      <c r="D1581" s="21">
        <v>59</v>
      </c>
      <c r="E1581" s="1" t="s">
        <v>6312</v>
      </c>
      <c r="F1581" s="24">
        <v>12</v>
      </c>
      <c r="G1581" s="5" t="s">
        <v>6356</v>
      </c>
      <c r="H1581" s="5" t="s">
        <v>6357</v>
      </c>
      <c r="I1581" s="5" t="s">
        <v>6358</v>
      </c>
      <c r="J1581" s="5" t="s">
        <v>6359</v>
      </c>
      <c r="K1581" s="5"/>
      <c r="L1581" s="2" t="s">
        <v>7</v>
      </c>
    </row>
    <row r="1582" spans="1:12" ht="15" customHeight="1" x14ac:dyDescent="0.25">
      <c r="A1582" s="1" t="s">
        <v>2590</v>
      </c>
      <c r="B1582" s="21">
        <v>17</v>
      </c>
      <c r="C1582" s="1" t="s">
        <v>5255</v>
      </c>
      <c r="D1582" s="21">
        <v>59</v>
      </c>
      <c r="E1582" s="1" t="s">
        <v>6312</v>
      </c>
      <c r="F1582" s="24">
        <v>13</v>
      </c>
      <c r="G1582" s="5" t="s">
        <v>6360</v>
      </c>
      <c r="H1582" s="5" t="s">
        <v>6361</v>
      </c>
      <c r="I1582" s="5" t="s">
        <v>6362</v>
      </c>
      <c r="J1582" s="5" t="s">
        <v>6363</v>
      </c>
      <c r="K1582" s="5"/>
      <c r="L1582" s="2" t="s">
        <v>9</v>
      </c>
    </row>
    <row r="1583" spans="1:12" ht="15" customHeight="1" x14ac:dyDescent="0.25">
      <c r="A1583" s="1" t="s">
        <v>2590</v>
      </c>
      <c r="B1583" s="21">
        <v>17</v>
      </c>
      <c r="C1583" s="1" t="s">
        <v>5255</v>
      </c>
      <c r="D1583" s="21">
        <v>59</v>
      </c>
      <c r="E1583" s="1" t="s">
        <v>6312</v>
      </c>
      <c r="F1583" s="24">
        <v>14</v>
      </c>
      <c r="G1583" s="5" t="s">
        <v>6364</v>
      </c>
      <c r="H1583" s="5" t="s">
        <v>6365</v>
      </c>
      <c r="I1583" s="5" t="s">
        <v>6366</v>
      </c>
      <c r="J1583" s="5" t="s">
        <v>5276</v>
      </c>
      <c r="K1583" s="5"/>
      <c r="L1583" s="2" t="s">
        <v>9</v>
      </c>
    </row>
    <row r="1584" spans="1:12" ht="15" customHeight="1" x14ac:dyDescent="0.25">
      <c r="A1584" s="1" t="s">
        <v>2590</v>
      </c>
      <c r="B1584" s="21">
        <v>17</v>
      </c>
      <c r="C1584" s="1" t="s">
        <v>5255</v>
      </c>
      <c r="D1584" s="21">
        <v>59</v>
      </c>
      <c r="E1584" s="1" t="s">
        <v>6312</v>
      </c>
      <c r="F1584" s="24">
        <v>15</v>
      </c>
      <c r="G1584" s="5" t="s">
        <v>6367</v>
      </c>
      <c r="H1584" s="5" t="s">
        <v>6368</v>
      </c>
      <c r="I1584" s="5" t="s">
        <v>6369</v>
      </c>
      <c r="J1584" s="5" t="s">
        <v>6370</v>
      </c>
      <c r="K1584" s="5"/>
      <c r="L1584" s="2" t="s">
        <v>7</v>
      </c>
    </row>
    <row r="1585" spans="1:12" ht="15" customHeight="1" x14ac:dyDescent="0.25">
      <c r="A1585" s="1" t="s">
        <v>2590</v>
      </c>
      <c r="B1585" s="21">
        <v>17</v>
      </c>
      <c r="C1585" s="1" t="s">
        <v>5255</v>
      </c>
      <c r="D1585" s="21">
        <v>59</v>
      </c>
      <c r="E1585" s="1" t="s">
        <v>6312</v>
      </c>
      <c r="F1585" s="24">
        <v>16</v>
      </c>
      <c r="G1585" s="5" t="s">
        <v>6371</v>
      </c>
      <c r="H1585" s="5" t="s">
        <v>6372</v>
      </c>
      <c r="I1585" s="5" t="s">
        <v>6373</v>
      </c>
      <c r="J1585" s="5" t="s">
        <v>6374</v>
      </c>
      <c r="K1585" s="5"/>
      <c r="L1585" s="2" t="s">
        <v>9</v>
      </c>
    </row>
    <row r="1586" spans="1:12" ht="15" customHeight="1" x14ac:dyDescent="0.25">
      <c r="A1586" s="1" t="s">
        <v>2590</v>
      </c>
      <c r="B1586" s="21">
        <v>17</v>
      </c>
      <c r="C1586" s="1" t="s">
        <v>5255</v>
      </c>
      <c r="D1586" s="21">
        <v>59</v>
      </c>
      <c r="E1586" s="1" t="s">
        <v>6312</v>
      </c>
      <c r="F1586" s="24">
        <v>17</v>
      </c>
      <c r="G1586" s="5" t="s">
        <v>6375</v>
      </c>
      <c r="H1586" s="5" t="s">
        <v>6376</v>
      </c>
      <c r="I1586" s="5" t="s">
        <v>6377</v>
      </c>
      <c r="J1586" s="5" t="s">
        <v>1186</v>
      </c>
      <c r="K1586" s="5"/>
      <c r="L1586" s="2" t="s">
        <v>8</v>
      </c>
    </row>
    <row r="1587" spans="1:12" ht="15" customHeight="1" x14ac:dyDescent="0.25">
      <c r="A1587" s="1" t="s">
        <v>2590</v>
      </c>
      <c r="B1587" s="21">
        <v>17</v>
      </c>
      <c r="C1587" s="1" t="s">
        <v>5255</v>
      </c>
      <c r="D1587" s="21">
        <v>59</v>
      </c>
      <c r="E1587" s="1" t="s">
        <v>6312</v>
      </c>
      <c r="F1587" s="24">
        <v>18</v>
      </c>
      <c r="G1587" s="5" t="s">
        <v>6378</v>
      </c>
      <c r="H1587" s="5" t="s">
        <v>6379</v>
      </c>
      <c r="I1587" s="5" t="s">
        <v>6380</v>
      </c>
      <c r="J1587" s="5" t="s">
        <v>6381</v>
      </c>
      <c r="K1587" s="5"/>
      <c r="L1587" s="2" t="s">
        <v>8</v>
      </c>
    </row>
    <row r="1588" spans="1:12" ht="15" customHeight="1" x14ac:dyDescent="0.25">
      <c r="A1588" s="1" t="s">
        <v>2590</v>
      </c>
      <c r="B1588" s="21">
        <v>17</v>
      </c>
      <c r="C1588" s="1" t="s">
        <v>5255</v>
      </c>
      <c r="D1588" s="21">
        <v>59</v>
      </c>
      <c r="E1588" s="1" t="s">
        <v>6312</v>
      </c>
      <c r="F1588" s="24">
        <v>19</v>
      </c>
      <c r="G1588" s="5" t="s">
        <v>6382</v>
      </c>
      <c r="H1588" s="5" t="s">
        <v>6383</v>
      </c>
      <c r="I1588" s="5" t="s">
        <v>6384</v>
      </c>
      <c r="J1588" s="5" t="s">
        <v>6385</v>
      </c>
      <c r="K1588" s="5"/>
      <c r="L1588" s="2" t="s">
        <v>7</v>
      </c>
    </row>
    <row r="1589" spans="1:12" ht="15" customHeight="1" x14ac:dyDescent="0.25">
      <c r="A1589" s="1" t="s">
        <v>2590</v>
      </c>
      <c r="B1589" s="21">
        <v>17</v>
      </c>
      <c r="C1589" s="1" t="s">
        <v>5255</v>
      </c>
      <c r="D1589" s="21">
        <v>59</v>
      </c>
      <c r="E1589" s="1" t="s">
        <v>6312</v>
      </c>
      <c r="F1589" s="24">
        <v>20</v>
      </c>
      <c r="G1589" s="5" t="s">
        <v>6386</v>
      </c>
      <c r="H1589" s="5" t="s">
        <v>6387</v>
      </c>
      <c r="I1589" s="5" t="s">
        <v>6388</v>
      </c>
      <c r="J1589" s="5" t="s">
        <v>6389</v>
      </c>
      <c r="K1589" s="5"/>
      <c r="L1589" s="2" t="s">
        <v>8</v>
      </c>
    </row>
    <row r="1590" spans="1:12" ht="15" customHeight="1" x14ac:dyDescent="0.25">
      <c r="A1590" s="1" t="s">
        <v>2590</v>
      </c>
      <c r="B1590" s="21">
        <v>17</v>
      </c>
      <c r="C1590" s="1" t="s">
        <v>5255</v>
      </c>
      <c r="D1590" s="21">
        <v>59</v>
      </c>
      <c r="E1590" s="1" t="s">
        <v>6312</v>
      </c>
      <c r="F1590" s="24">
        <v>21</v>
      </c>
      <c r="G1590" s="5" t="s">
        <v>6390</v>
      </c>
      <c r="H1590" s="5" t="s">
        <v>6391</v>
      </c>
      <c r="I1590" s="5" t="s">
        <v>6392</v>
      </c>
      <c r="J1590" s="5" t="s">
        <v>6393</v>
      </c>
      <c r="K1590" s="5"/>
      <c r="L1590" s="2" t="s">
        <v>8</v>
      </c>
    </row>
    <row r="1591" spans="1:12" ht="15" customHeight="1" x14ac:dyDescent="0.25">
      <c r="A1591" s="1" t="s">
        <v>2590</v>
      </c>
      <c r="B1591" s="21">
        <v>17</v>
      </c>
      <c r="C1591" s="1" t="s">
        <v>5255</v>
      </c>
      <c r="D1591" s="21">
        <v>59</v>
      </c>
      <c r="E1591" s="1" t="s">
        <v>6312</v>
      </c>
      <c r="F1591" s="24">
        <v>22</v>
      </c>
      <c r="G1591" s="5" t="s">
        <v>6394</v>
      </c>
      <c r="H1591" s="5" t="s">
        <v>6395</v>
      </c>
      <c r="I1591" s="5" t="s">
        <v>6396</v>
      </c>
      <c r="J1591" s="5" t="s">
        <v>6397</v>
      </c>
      <c r="K1591" s="5"/>
      <c r="L1591" s="2" t="s">
        <v>7</v>
      </c>
    </row>
    <row r="1592" spans="1:12" ht="15" customHeight="1" x14ac:dyDescent="0.25">
      <c r="A1592" s="1" t="s">
        <v>2590</v>
      </c>
      <c r="B1592" s="21">
        <v>17</v>
      </c>
      <c r="C1592" s="1" t="s">
        <v>5255</v>
      </c>
      <c r="D1592" s="21">
        <v>59</v>
      </c>
      <c r="E1592" s="1" t="s">
        <v>6312</v>
      </c>
      <c r="F1592" s="24">
        <v>23</v>
      </c>
      <c r="G1592" s="5" t="s">
        <v>6398</v>
      </c>
      <c r="H1592" s="5" t="s">
        <v>6399</v>
      </c>
      <c r="I1592" s="5" t="s">
        <v>6370</v>
      </c>
      <c r="J1592" s="5" t="s">
        <v>6400</v>
      </c>
      <c r="K1592" s="5"/>
      <c r="L1592" s="2" t="s">
        <v>7</v>
      </c>
    </row>
    <row r="1593" spans="1:12" ht="15" customHeight="1" x14ac:dyDescent="0.25">
      <c r="A1593" s="1" t="s">
        <v>2590</v>
      </c>
      <c r="B1593" s="21">
        <v>17</v>
      </c>
      <c r="C1593" s="1" t="s">
        <v>5255</v>
      </c>
      <c r="D1593" s="21">
        <v>59</v>
      </c>
      <c r="E1593" s="1" t="s">
        <v>6312</v>
      </c>
      <c r="F1593" s="24">
        <v>24</v>
      </c>
      <c r="G1593" s="5" t="s">
        <v>6401</v>
      </c>
      <c r="H1593" s="5" t="s">
        <v>6363</v>
      </c>
      <c r="I1593" s="5" t="s">
        <v>6402</v>
      </c>
      <c r="J1593" s="5" t="s">
        <v>6403</v>
      </c>
      <c r="K1593" s="5"/>
      <c r="L1593" s="2" t="s">
        <v>8</v>
      </c>
    </row>
    <row r="1594" spans="1:12" ht="15" customHeight="1" x14ac:dyDescent="0.25">
      <c r="A1594" s="1" t="s">
        <v>2590</v>
      </c>
      <c r="B1594" s="21">
        <v>17</v>
      </c>
      <c r="C1594" s="1" t="s">
        <v>5255</v>
      </c>
      <c r="D1594" s="21">
        <v>59</v>
      </c>
      <c r="E1594" s="1" t="s">
        <v>6312</v>
      </c>
      <c r="F1594" s="24">
        <v>25</v>
      </c>
      <c r="G1594" s="5" t="s">
        <v>6404</v>
      </c>
      <c r="H1594" s="5" t="s">
        <v>6405</v>
      </c>
      <c r="I1594" s="5" t="s">
        <v>6406</v>
      </c>
      <c r="J1594" s="5" t="s">
        <v>6407</v>
      </c>
      <c r="K1594" s="5"/>
      <c r="L1594" s="2" t="s">
        <v>8</v>
      </c>
    </row>
    <row r="1595" spans="1:12" ht="15" customHeight="1" x14ac:dyDescent="0.25">
      <c r="A1595" s="1" t="s">
        <v>2590</v>
      </c>
      <c r="B1595" s="21">
        <v>17</v>
      </c>
      <c r="C1595" s="1" t="s">
        <v>5255</v>
      </c>
      <c r="D1595" s="21">
        <v>60</v>
      </c>
      <c r="E1595" s="1" t="s">
        <v>6408</v>
      </c>
      <c r="F1595" s="24">
        <v>1</v>
      </c>
      <c r="G1595" s="5" t="s">
        <v>6409</v>
      </c>
      <c r="H1595" s="5" t="s">
        <v>6410</v>
      </c>
      <c r="I1595" s="5" t="s">
        <v>6411</v>
      </c>
      <c r="J1595" s="5" t="s">
        <v>6412</v>
      </c>
      <c r="K1595" s="5"/>
      <c r="L1595" s="2" t="s">
        <v>7</v>
      </c>
    </row>
    <row r="1596" spans="1:12" ht="15" customHeight="1" x14ac:dyDescent="0.25">
      <c r="A1596" s="1" t="s">
        <v>2590</v>
      </c>
      <c r="B1596" s="21">
        <v>17</v>
      </c>
      <c r="C1596" s="1" t="s">
        <v>5255</v>
      </c>
      <c r="D1596" s="21">
        <v>60</v>
      </c>
      <c r="E1596" s="1" t="s">
        <v>6408</v>
      </c>
      <c r="F1596" s="24">
        <v>2</v>
      </c>
      <c r="G1596" s="5" t="s">
        <v>6413</v>
      </c>
      <c r="H1596" s="5" t="s">
        <v>6414</v>
      </c>
      <c r="I1596" s="5" t="s">
        <v>6415</v>
      </c>
      <c r="J1596" s="5" t="s">
        <v>3827</v>
      </c>
      <c r="K1596" s="5"/>
      <c r="L1596" s="2" t="s">
        <v>9</v>
      </c>
    </row>
    <row r="1597" spans="1:12" ht="15" customHeight="1" x14ac:dyDescent="0.25">
      <c r="A1597" s="1" t="s">
        <v>2590</v>
      </c>
      <c r="B1597" s="21">
        <v>17</v>
      </c>
      <c r="C1597" s="1" t="s">
        <v>5255</v>
      </c>
      <c r="D1597" s="21">
        <v>60</v>
      </c>
      <c r="E1597" s="1" t="s">
        <v>6408</v>
      </c>
      <c r="F1597" s="24">
        <v>3</v>
      </c>
      <c r="G1597" s="5" t="s">
        <v>6416</v>
      </c>
      <c r="H1597" s="5" t="s">
        <v>6417</v>
      </c>
      <c r="I1597" s="5" t="s">
        <v>6418</v>
      </c>
      <c r="J1597" s="5" t="s">
        <v>6419</v>
      </c>
      <c r="K1597" s="5"/>
      <c r="L1597" s="2" t="s">
        <v>9</v>
      </c>
    </row>
    <row r="1598" spans="1:12" ht="15" customHeight="1" x14ac:dyDescent="0.25">
      <c r="A1598" s="1" t="s">
        <v>2590</v>
      </c>
      <c r="B1598" s="21">
        <v>17</v>
      </c>
      <c r="C1598" s="1" t="s">
        <v>5255</v>
      </c>
      <c r="D1598" s="21">
        <v>60</v>
      </c>
      <c r="E1598" s="1" t="s">
        <v>6408</v>
      </c>
      <c r="F1598" s="24">
        <v>4</v>
      </c>
      <c r="G1598" s="5" t="s">
        <v>6420</v>
      </c>
      <c r="H1598" s="5" t="s">
        <v>6421</v>
      </c>
      <c r="I1598" s="5" t="s">
        <v>6422</v>
      </c>
      <c r="J1598" s="5" t="s">
        <v>3827</v>
      </c>
      <c r="K1598" s="5"/>
      <c r="L1598" s="2" t="s">
        <v>7</v>
      </c>
    </row>
    <row r="1599" spans="1:12" ht="15" customHeight="1" x14ac:dyDescent="0.25">
      <c r="A1599" s="1" t="s">
        <v>2590</v>
      </c>
      <c r="B1599" s="21">
        <v>17</v>
      </c>
      <c r="C1599" s="1" t="s">
        <v>5255</v>
      </c>
      <c r="D1599" s="21">
        <v>60</v>
      </c>
      <c r="E1599" s="1" t="s">
        <v>6408</v>
      </c>
      <c r="F1599" s="24">
        <v>5</v>
      </c>
      <c r="G1599" s="5" t="s">
        <v>6423</v>
      </c>
      <c r="H1599" s="5" t="s">
        <v>6424</v>
      </c>
      <c r="I1599" s="5" t="s">
        <v>6425</v>
      </c>
      <c r="J1599" s="5" t="s">
        <v>6426</v>
      </c>
      <c r="K1599" s="5"/>
      <c r="L1599" s="2" t="s">
        <v>9</v>
      </c>
    </row>
    <row r="1600" spans="1:12" ht="15" customHeight="1" x14ac:dyDescent="0.25">
      <c r="A1600" s="1" t="s">
        <v>2590</v>
      </c>
      <c r="B1600" s="21">
        <v>17</v>
      </c>
      <c r="C1600" s="1" t="s">
        <v>5255</v>
      </c>
      <c r="D1600" s="21">
        <v>60</v>
      </c>
      <c r="E1600" s="1" t="s">
        <v>6408</v>
      </c>
      <c r="F1600" s="24">
        <v>6</v>
      </c>
      <c r="G1600" s="5" t="s">
        <v>6427</v>
      </c>
      <c r="H1600" s="5" t="s">
        <v>6428</v>
      </c>
      <c r="I1600" s="5" t="s">
        <v>6429</v>
      </c>
      <c r="J1600" s="5" t="s">
        <v>6430</v>
      </c>
      <c r="K1600" s="5"/>
      <c r="L1600" s="2" t="s">
        <v>8</v>
      </c>
    </row>
    <row r="1601" spans="1:12" ht="15" customHeight="1" x14ac:dyDescent="0.25">
      <c r="A1601" s="1" t="s">
        <v>2590</v>
      </c>
      <c r="B1601" s="21">
        <v>17</v>
      </c>
      <c r="C1601" s="1" t="s">
        <v>5255</v>
      </c>
      <c r="D1601" s="21">
        <v>60</v>
      </c>
      <c r="E1601" s="1" t="s">
        <v>6408</v>
      </c>
      <c r="F1601" s="24">
        <v>7</v>
      </c>
      <c r="G1601" s="5" t="s">
        <v>6431</v>
      </c>
      <c r="H1601" s="5" t="s">
        <v>6432</v>
      </c>
      <c r="I1601" s="5" t="s">
        <v>6433</v>
      </c>
      <c r="J1601" s="5" t="s">
        <v>6434</v>
      </c>
      <c r="K1601" s="5"/>
      <c r="L1601" s="2" t="s">
        <v>8</v>
      </c>
    </row>
    <row r="1602" spans="1:12" ht="15" customHeight="1" x14ac:dyDescent="0.25">
      <c r="A1602" s="1" t="s">
        <v>2590</v>
      </c>
      <c r="B1602" s="21">
        <v>17</v>
      </c>
      <c r="C1602" s="1" t="s">
        <v>5255</v>
      </c>
      <c r="D1602" s="21">
        <v>60</v>
      </c>
      <c r="E1602" s="1" t="s">
        <v>6408</v>
      </c>
      <c r="F1602" s="24">
        <v>8</v>
      </c>
      <c r="G1602" s="5" t="s">
        <v>6435</v>
      </c>
      <c r="H1602" s="5" t="s">
        <v>6436</v>
      </c>
      <c r="I1602" s="5" t="s">
        <v>6437</v>
      </c>
      <c r="J1602" s="5" t="s">
        <v>6438</v>
      </c>
      <c r="K1602" s="5"/>
      <c r="L1602" s="2" t="s">
        <v>9</v>
      </c>
    </row>
    <row r="1603" spans="1:12" ht="15" customHeight="1" x14ac:dyDescent="0.25">
      <c r="A1603" s="1" t="s">
        <v>2590</v>
      </c>
      <c r="B1603" s="21">
        <v>17</v>
      </c>
      <c r="C1603" s="1" t="s">
        <v>5255</v>
      </c>
      <c r="D1603" s="21">
        <v>60</v>
      </c>
      <c r="E1603" s="1" t="s">
        <v>6408</v>
      </c>
      <c r="F1603" s="24">
        <v>9</v>
      </c>
      <c r="G1603" s="5" t="s">
        <v>6439</v>
      </c>
      <c r="H1603" s="5" t="s">
        <v>6440</v>
      </c>
      <c r="I1603" s="5" t="s">
        <v>6441</v>
      </c>
      <c r="J1603" s="5" t="s">
        <v>6442</v>
      </c>
      <c r="K1603" s="5"/>
      <c r="L1603" s="2" t="s">
        <v>8</v>
      </c>
    </row>
    <row r="1604" spans="1:12" ht="15" customHeight="1" x14ac:dyDescent="0.25">
      <c r="A1604" s="1" t="s">
        <v>2590</v>
      </c>
      <c r="B1604" s="21">
        <v>17</v>
      </c>
      <c r="C1604" s="1" t="s">
        <v>5255</v>
      </c>
      <c r="D1604" s="21">
        <v>60</v>
      </c>
      <c r="E1604" s="1" t="s">
        <v>6408</v>
      </c>
      <c r="F1604" s="24">
        <v>10</v>
      </c>
      <c r="G1604" s="5" t="s">
        <v>6443</v>
      </c>
      <c r="H1604" s="5" t="s">
        <v>6444</v>
      </c>
      <c r="I1604" s="5" t="s">
        <v>6445</v>
      </c>
      <c r="J1604" s="5" t="s">
        <v>6446</v>
      </c>
      <c r="K1604" s="5"/>
      <c r="L1604" s="2" t="s">
        <v>7</v>
      </c>
    </row>
    <row r="1605" spans="1:12" ht="15" customHeight="1" x14ac:dyDescent="0.25">
      <c r="A1605" s="1" t="s">
        <v>2590</v>
      </c>
      <c r="B1605" s="21">
        <v>17</v>
      </c>
      <c r="C1605" s="1" t="s">
        <v>5255</v>
      </c>
      <c r="D1605" s="21">
        <v>60</v>
      </c>
      <c r="E1605" s="1" t="s">
        <v>6408</v>
      </c>
      <c r="F1605" s="24">
        <v>11</v>
      </c>
      <c r="G1605" s="5" t="s">
        <v>6447</v>
      </c>
      <c r="H1605" s="5" t="s">
        <v>6448</v>
      </c>
      <c r="I1605" s="5" t="s">
        <v>6449</v>
      </c>
      <c r="J1605" s="5" t="s">
        <v>3237</v>
      </c>
      <c r="K1605" s="5"/>
      <c r="L1605" s="2" t="s">
        <v>9</v>
      </c>
    </row>
    <row r="1606" spans="1:12" ht="15" customHeight="1" x14ac:dyDescent="0.25">
      <c r="A1606" s="1" t="s">
        <v>2590</v>
      </c>
      <c r="B1606" s="21">
        <v>17</v>
      </c>
      <c r="C1606" s="1" t="s">
        <v>5255</v>
      </c>
      <c r="D1606" s="21">
        <v>60</v>
      </c>
      <c r="E1606" s="1" t="s">
        <v>6408</v>
      </c>
      <c r="F1606" s="24">
        <v>12</v>
      </c>
      <c r="G1606" s="5" t="s">
        <v>6450</v>
      </c>
      <c r="H1606" s="5" t="s">
        <v>6451</v>
      </c>
      <c r="I1606" s="5" t="s">
        <v>6452</v>
      </c>
      <c r="J1606" s="5" t="s">
        <v>3237</v>
      </c>
      <c r="K1606" s="5"/>
      <c r="L1606" s="2" t="s">
        <v>7</v>
      </c>
    </row>
    <row r="1607" spans="1:12" ht="15" customHeight="1" x14ac:dyDescent="0.25">
      <c r="A1607" s="1" t="s">
        <v>2590</v>
      </c>
      <c r="B1607" s="21">
        <v>17</v>
      </c>
      <c r="C1607" s="1" t="s">
        <v>5255</v>
      </c>
      <c r="D1607" s="21">
        <v>60</v>
      </c>
      <c r="E1607" s="1" t="s">
        <v>6408</v>
      </c>
      <c r="F1607" s="24">
        <v>13</v>
      </c>
      <c r="G1607" s="5" t="s">
        <v>6453</v>
      </c>
      <c r="H1607" s="5" t="s">
        <v>6454</v>
      </c>
      <c r="I1607" s="5" t="s">
        <v>6455</v>
      </c>
      <c r="J1607" s="5" t="s">
        <v>3827</v>
      </c>
      <c r="K1607" s="5"/>
      <c r="L1607" s="2" t="s">
        <v>9</v>
      </c>
    </row>
    <row r="1608" spans="1:12" ht="15" customHeight="1" x14ac:dyDescent="0.25">
      <c r="A1608" s="1" t="s">
        <v>2590</v>
      </c>
      <c r="B1608" s="21">
        <v>17</v>
      </c>
      <c r="C1608" s="1" t="s">
        <v>5255</v>
      </c>
      <c r="D1608" s="21">
        <v>60</v>
      </c>
      <c r="E1608" s="1" t="s">
        <v>6408</v>
      </c>
      <c r="F1608" s="24">
        <v>14</v>
      </c>
      <c r="G1608" s="5" t="s">
        <v>6456</v>
      </c>
      <c r="H1608" s="5" t="s">
        <v>6457</v>
      </c>
      <c r="I1608" s="5" t="s">
        <v>6458</v>
      </c>
      <c r="J1608" s="5" t="s">
        <v>6459</v>
      </c>
      <c r="K1608" s="5"/>
      <c r="L1608" s="2" t="s">
        <v>8</v>
      </c>
    </row>
    <row r="1609" spans="1:12" ht="15" customHeight="1" x14ac:dyDescent="0.25">
      <c r="A1609" s="1" t="s">
        <v>2590</v>
      </c>
      <c r="B1609" s="21">
        <v>17</v>
      </c>
      <c r="C1609" s="1" t="s">
        <v>5255</v>
      </c>
      <c r="D1609" s="21">
        <v>60</v>
      </c>
      <c r="E1609" s="1" t="s">
        <v>6408</v>
      </c>
      <c r="F1609" s="24">
        <v>15</v>
      </c>
      <c r="G1609" s="5" t="s">
        <v>6460</v>
      </c>
      <c r="H1609" s="5" t="s">
        <v>6461</v>
      </c>
      <c r="I1609" s="5" t="s">
        <v>6462</v>
      </c>
      <c r="J1609" s="5" t="s">
        <v>3827</v>
      </c>
      <c r="K1609" s="5"/>
      <c r="L1609" s="2" t="s">
        <v>7</v>
      </c>
    </row>
    <row r="1610" spans="1:12" ht="15" customHeight="1" x14ac:dyDescent="0.25">
      <c r="A1610" s="1" t="s">
        <v>2590</v>
      </c>
      <c r="B1610" s="21">
        <v>17</v>
      </c>
      <c r="C1610" s="1" t="s">
        <v>5255</v>
      </c>
      <c r="D1610" s="21">
        <v>60</v>
      </c>
      <c r="E1610" s="1" t="s">
        <v>6408</v>
      </c>
      <c r="F1610" s="24">
        <v>16</v>
      </c>
      <c r="G1610" s="5" t="s">
        <v>6463</v>
      </c>
      <c r="H1610" s="5" t="s">
        <v>6464</v>
      </c>
      <c r="I1610" s="5" t="s">
        <v>6465</v>
      </c>
      <c r="J1610" s="5" t="s">
        <v>6466</v>
      </c>
      <c r="K1610" s="5"/>
      <c r="L1610" s="2" t="s">
        <v>7</v>
      </c>
    </row>
    <row r="1611" spans="1:12" ht="15" customHeight="1" x14ac:dyDescent="0.25">
      <c r="A1611" s="1" t="s">
        <v>2590</v>
      </c>
      <c r="B1611" s="21">
        <v>17</v>
      </c>
      <c r="C1611" s="1" t="s">
        <v>5255</v>
      </c>
      <c r="D1611" s="21">
        <v>60</v>
      </c>
      <c r="E1611" s="1" t="s">
        <v>6408</v>
      </c>
      <c r="F1611" s="24">
        <v>17</v>
      </c>
      <c r="G1611" s="5" t="s">
        <v>6467</v>
      </c>
      <c r="H1611" s="5" t="s">
        <v>6468</v>
      </c>
      <c r="I1611" s="5" t="s">
        <v>6469</v>
      </c>
      <c r="J1611" s="5" t="s">
        <v>6470</v>
      </c>
      <c r="K1611" s="5"/>
      <c r="L1611" s="2" t="s">
        <v>9</v>
      </c>
    </row>
    <row r="1612" spans="1:12" ht="15" customHeight="1" x14ac:dyDescent="0.25">
      <c r="A1612" s="1" t="s">
        <v>2590</v>
      </c>
      <c r="B1612" s="21">
        <v>17</v>
      </c>
      <c r="C1612" s="1" t="s">
        <v>5255</v>
      </c>
      <c r="D1612" s="21">
        <v>60</v>
      </c>
      <c r="E1612" s="1" t="s">
        <v>6408</v>
      </c>
      <c r="F1612" s="24">
        <v>18</v>
      </c>
      <c r="G1612" s="5" t="s">
        <v>6471</v>
      </c>
      <c r="H1612" s="5" t="s">
        <v>6472</v>
      </c>
      <c r="I1612" s="5" t="s">
        <v>6473</v>
      </c>
      <c r="J1612" s="5" t="s">
        <v>6474</v>
      </c>
      <c r="K1612" s="5"/>
      <c r="L1612" s="2" t="s">
        <v>8</v>
      </c>
    </row>
    <row r="1613" spans="1:12" ht="15" customHeight="1" x14ac:dyDescent="0.25">
      <c r="A1613" s="1" t="s">
        <v>2590</v>
      </c>
      <c r="B1613" s="21">
        <v>17</v>
      </c>
      <c r="C1613" s="1" t="s">
        <v>5255</v>
      </c>
      <c r="D1613" s="21">
        <v>60</v>
      </c>
      <c r="E1613" s="1" t="s">
        <v>6408</v>
      </c>
      <c r="F1613" s="24">
        <v>19</v>
      </c>
      <c r="G1613" s="5" t="s">
        <v>6475</v>
      </c>
      <c r="H1613" s="5" t="s">
        <v>6476</v>
      </c>
      <c r="I1613" s="5" t="s">
        <v>6477</v>
      </c>
      <c r="J1613" s="5" t="s">
        <v>6478</v>
      </c>
      <c r="K1613" s="5"/>
      <c r="L1613" s="2" t="s">
        <v>7</v>
      </c>
    </row>
    <row r="1614" spans="1:12" ht="15" customHeight="1" x14ac:dyDescent="0.25">
      <c r="A1614" s="1" t="s">
        <v>2590</v>
      </c>
      <c r="B1614" s="21">
        <v>17</v>
      </c>
      <c r="C1614" s="1" t="s">
        <v>5255</v>
      </c>
      <c r="D1614" s="21">
        <v>60</v>
      </c>
      <c r="E1614" s="1" t="s">
        <v>6408</v>
      </c>
      <c r="F1614" s="24">
        <v>20</v>
      </c>
      <c r="G1614" s="5" t="s">
        <v>6479</v>
      </c>
      <c r="H1614" s="5" t="s">
        <v>6480</v>
      </c>
      <c r="I1614" s="5" t="s">
        <v>6481</v>
      </c>
      <c r="J1614" s="5" t="s">
        <v>3827</v>
      </c>
      <c r="K1614" s="5"/>
      <c r="L1614" s="2" t="s">
        <v>9</v>
      </c>
    </row>
    <row r="1615" spans="1:12" ht="15" customHeight="1" x14ac:dyDescent="0.25">
      <c r="A1615" s="1" t="s">
        <v>2590</v>
      </c>
      <c r="B1615" s="21">
        <v>17</v>
      </c>
      <c r="C1615" s="1" t="s">
        <v>5255</v>
      </c>
      <c r="D1615" s="21">
        <v>60</v>
      </c>
      <c r="E1615" s="1" t="s">
        <v>6408</v>
      </c>
      <c r="F1615" s="24">
        <v>21</v>
      </c>
      <c r="G1615" s="5" t="s">
        <v>6482</v>
      </c>
      <c r="H1615" s="5" t="s">
        <v>6483</v>
      </c>
      <c r="I1615" s="5" t="s">
        <v>6484</v>
      </c>
      <c r="J1615" s="5" t="s">
        <v>6485</v>
      </c>
      <c r="K1615" s="5"/>
      <c r="L1615" s="2" t="s">
        <v>7</v>
      </c>
    </row>
    <row r="1616" spans="1:12" ht="15" customHeight="1" x14ac:dyDescent="0.25">
      <c r="A1616" s="1" t="s">
        <v>2590</v>
      </c>
      <c r="B1616" s="21">
        <v>17</v>
      </c>
      <c r="C1616" s="1" t="s">
        <v>5255</v>
      </c>
      <c r="D1616" s="21">
        <v>60</v>
      </c>
      <c r="E1616" s="1" t="s">
        <v>6408</v>
      </c>
      <c r="F1616" s="24">
        <v>22</v>
      </c>
      <c r="G1616" s="5" t="s">
        <v>6486</v>
      </c>
      <c r="H1616" s="5" t="s">
        <v>6487</v>
      </c>
      <c r="I1616" s="5" t="s">
        <v>6488</v>
      </c>
      <c r="J1616" s="5" t="s">
        <v>6489</v>
      </c>
      <c r="K1616" s="5"/>
      <c r="L1616" s="2" t="s">
        <v>9</v>
      </c>
    </row>
    <row r="1617" spans="1:12" ht="15" customHeight="1" x14ac:dyDescent="0.25">
      <c r="A1617" s="1" t="s">
        <v>2590</v>
      </c>
      <c r="B1617" s="21">
        <v>17</v>
      </c>
      <c r="C1617" s="1" t="s">
        <v>5255</v>
      </c>
      <c r="D1617" s="21">
        <v>60</v>
      </c>
      <c r="E1617" s="1" t="s">
        <v>6408</v>
      </c>
      <c r="F1617" s="24">
        <v>23</v>
      </c>
      <c r="G1617" s="5" t="s">
        <v>6490</v>
      </c>
      <c r="H1617" s="5" t="s">
        <v>6491</v>
      </c>
      <c r="I1617" s="5" t="s">
        <v>6492</v>
      </c>
      <c r="J1617" s="5" t="s">
        <v>6493</v>
      </c>
      <c r="K1617" s="5"/>
      <c r="L1617" s="2" t="s">
        <v>8</v>
      </c>
    </row>
    <row r="1618" spans="1:12" ht="15" customHeight="1" x14ac:dyDescent="0.25">
      <c r="A1618" s="1" t="s">
        <v>2590</v>
      </c>
      <c r="B1618" s="21">
        <v>17</v>
      </c>
      <c r="C1618" s="1" t="s">
        <v>5255</v>
      </c>
      <c r="D1618" s="21">
        <v>60</v>
      </c>
      <c r="E1618" s="1" t="s">
        <v>6408</v>
      </c>
      <c r="F1618" s="24">
        <v>24</v>
      </c>
      <c r="G1618" s="5" t="s">
        <v>6494</v>
      </c>
      <c r="H1618" s="5" t="s">
        <v>6495</v>
      </c>
      <c r="I1618" s="5" t="s">
        <v>6496</v>
      </c>
      <c r="J1618" s="5" t="s">
        <v>3827</v>
      </c>
      <c r="K1618" s="5"/>
      <c r="L1618" s="2" t="s">
        <v>9</v>
      </c>
    </row>
    <row r="1619" spans="1:12" ht="15" customHeight="1" x14ac:dyDescent="0.25">
      <c r="A1619" s="1" t="s">
        <v>2590</v>
      </c>
      <c r="B1619" s="21">
        <v>17</v>
      </c>
      <c r="C1619" s="1" t="s">
        <v>5255</v>
      </c>
      <c r="D1619" s="21">
        <v>60</v>
      </c>
      <c r="E1619" s="1" t="s">
        <v>6408</v>
      </c>
      <c r="F1619" s="24">
        <v>25</v>
      </c>
      <c r="G1619" s="5" t="s">
        <v>6497</v>
      </c>
      <c r="H1619" s="5" t="s">
        <v>6498</v>
      </c>
      <c r="I1619" s="5" t="s">
        <v>6499</v>
      </c>
      <c r="J1619" s="5" t="s">
        <v>6500</v>
      </c>
      <c r="K1619" s="5"/>
      <c r="L1619" s="2" t="s">
        <v>7</v>
      </c>
    </row>
    <row r="1620" spans="1:12" ht="15" customHeight="1" x14ac:dyDescent="0.25">
      <c r="A1620" s="1" t="s">
        <v>2590</v>
      </c>
      <c r="B1620" s="21">
        <v>17</v>
      </c>
      <c r="C1620" s="1" t="s">
        <v>5255</v>
      </c>
      <c r="D1620" s="21">
        <v>61</v>
      </c>
      <c r="E1620" s="1" t="s">
        <v>6700</v>
      </c>
      <c r="F1620" s="24">
        <v>1</v>
      </c>
      <c r="G1620" s="5" t="s">
        <v>6501</v>
      </c>
      <c r="H1620" s="5" t="s">
        <v>6502</v>
      </c>
      <c r="I1620" s="5" t="s">
        <v>6503</v>
      </c>
      <c r="J1620" s="5" t="s">
        <v>6504</v>
      </c>
      <c r="K1620" s="5"/>
      <c r="L1620" s="2" t="s">
        <v>9</v>
      </c>
    </row>
    <row r="1621" spans="1:12" ht="15" customHeight="1" x14ac:dyDescent="0.25">
      <c r="A1621" s="1" t="s">
        <v>2590</v>
      </c>
      <c r="B1621" s="21">
        <v>17</v>
      </c>
      <c r="C1621" s="1" t="s">
        <v>5255</v>
      </c>
      <c r="D1621" s="21">
        <v>61</v>
      </c>
      <c r="E1621" s="1" t="s">
        <v>6700</v>
      </c>
      <c r="F1621" s="24">
        <v>2</v>
      </c>
      <c r="G1621" s="5" t="s">
        <v>6505</v>
      </c>
      <c r="H1621" s="5" t="s">
        <v>6506</v>
      </c>
      <c r="I1621" s="5" t="s">
        <v>6507</v>
      </c>
      <c r="J1621" s="5" t="s">
        <v>6508</v>
      </c>
      <c r="K1621" s="5"/>
      <c r="L1621" s="2" t="s">
        <v>9</v>
      </c>
    </row>
    <row r="1622" spans="1:12" ht="15" customHeight="1" x14ac:dyDescent="0.25">
      <c r="A1622" s="1" t="s">
        <v>2590</v>
      </c>
      <c r="B1622" s="21">
        <v>17</v>
      </c>
      <c r="C1622" s="1" t="s">
        <v>5255</v>
      </c>
      <c r="D1622" s="21">
        <v>61</v>
      </c>
      <c r="E1622" s="1" t="s">
        <v>6700</v>
      </c>
      <c r="F1622" s="24">
        <v>3</v>
      </c>
      <c r="G1622" s="5" t="s">
        <v>6509</v>
      </c>
      <c r="H1622" s="5" t="s">
        <v>6510</v>
      </c>
      <c r="I1622" s="5" t="s">
        <v>6511</v>
      </c>
      <c r="J1622" s="5" t="s">
        <v>6512</v>
      </c>
      <c r="K1622" s="5"/>
      <c r="L1622" s="2" t="s">
        <v>8</v>
      </c>
    </row>
    <row r="1623" spans="1:12" ht="15" customHeight="1" x14ac:dyDescent="0.25">
      <c r="A1623" s="1" t="s">
        <v>2590</v>
      </c>
      <c r="B1623" s="21">
        <v>17</v>
      </c>
      <c r="C1623" s="1" t="s">
        <v>5255</v>
      </c>
      <c r="D1623" s="21">
        <v>61</v>
      </c>
      <c r="E1623" s="1" t="s">
        <v>6700</v>
      </c>
      <c r="F1623" s="24">
        <v>4</v>
      </c>
      <c r="G1623" s="5" t="s">
        <v>6513</v>
      </c>
      <c r="H1623" s="5" t="s">
        <v>6514</v>
      </c>
      <c r="I1623" s="5" t="s">
        <v>6515</v>
      </c>
      <c r="J1623" s="5" t="s">
        <v>6516</v>
      </c>
      <c r="K1623" s="5"/>
      <c r="L1623" s="2" t="s">
        <v>9</v>
      </c>
    </row>
    <row r="1624" spans="1:12" ht="15" customHeight="1" x14ac:dyDescent="0.25">
      <c r="A1624" s="1" t="s">
        <v>2590</v>
      </c>
      <c r="B1624" s="21">
        <v>17</v>
      </c>
      <c r="C1624" s="1" t="s">
        <v>5255</v>
      </c>
      <c r="D1624" s="21">
        <v>61</v>
      </c>
      <c r="E1624" s="1" t="s">
        <v>6700</v>
      </c>
      <c r="F1624" s="24">
        <v>5</v>
      </c>
      <c r="G1624" s="5" t="s">
        <v>6517</v>
      </c>
      <c r="H1624" s="5" t="s">
        <v>6518</v>
      </c>
      <c r="I1624" s="5" t="s">
        <v>6519</v>
      </c>
      <c r="J1624" s="5" t="s">
        <v>6520</v>
      </c>
      <c r="K1624" s="5"/>
      <c r="L1624" s="2" t="s">
        <v>9</v>
      </c>
    </row>
    <row r="1625" spans="1:12" ht="15" customHeight="1" x14ac:dyDescent="0.25">
      <c r="A1625" s="1" t="s">
        <v>2590</v>
      </c>
      <c r="B1625" s="21">
        <v>17</v>
      </c>
      <c r="C1625" s="1" t="s">
        <v>5255</v>
      </c>
      <c r="D1625" s="21">
        <v>61</v>
      </c>
      <c r="E1625" s="1" t="s">
        <v>6700</v>
      </c>
      <c r="F1625" s="24">
        <v>6</v>
      </c>
      <c r="G1625" s="5" t="s">
        <v>6521</v>
      </c>
      <c r="H1625" s="5" t="s">
        <v>6522</v>
      </c>
      <c r="I1625" s="5" t="s">
        <v>6523</v>
      </c>
      <c r="J1625" s="5" t="s">
        <v>6524</v>
      </c>
      <c r="K1625" s="5"/>
      <c r="L1625" s="2" t="s">
        <v>7</v>
      </c>
    </row>
    <row r="1626" spans="1:12" ht="15" customHeight="1" x14ac:dyDescent="0.25">
      <c r="A1626" s="1" t="s">
        <v>2590</v>
      </c>
      <c r="B1626" s="21">
        <v>17</v>
      </c>
      <c r="C1626" s="1" t="s">
        <v>5255</v>
      </c>
      <c r="D1626" s="21">
        <v>61</v>
      </c>
      <c r="E1626" s="1" t="s">
        <v>6700</v>
      </c>
      <c r="F1626" s="24">
        <v>7</v>
      </c>
      <c r="G1626" s="5" t="s">
        <v>6525</v>
      </c>
      <c r="H1626" s="5" t="s">
        <v>6526</v>
      </c>
      <c r="I1626" s="5" t="s">
        <v>6527</v>
      </c>
      <c r="J1626" s="5" t="s">
        <v>6528</v>
      </c>
      <c r="K1626" s="5"/>
      <c r="L1626" s="2" t="s">
        <v>9</v>
      </c>
    </row>
    <row r="1627" spans="1:12" ht="15" customHeight="1" x14ac:dyDescent="0.25">
      <c r="A1627" s="1" t="s">
        <v>2590</v>
      </c>
      <c r="B1627" s="21">
        <v>17</v>
      </c>
      <c r="C1627" s="1" t="s">
        <v>5255</v>
      </c>
      <c r="D1627" s="21">
        <v>61</v>
      </c>
      <c r="E1627" s="1" t="s">
        <v>6700</v>
      </c>
      <c r="F1627" s="24">
        <v>8</v>
      </c>
      <c r="G1627" s="5" t="s">
        <v>6529</v>
      </c>
      <c r="H1627" s="5" t="s">
        <v>6530</v>
      </c>
      <c r="I1627" s="5" t="s">
        <v>6531</v>
      </c>
      <c r="J1627" s="5" t="s">
        <v>6532</v>
      </c>
      <c r="K1627" s="5"/>
      <c r="L1627" s="2" t="s">
        <v>8</v>
      </c>
    </row>
    <row r="1628" spans="1:12" ht="15" customHeight="1" x14ac:dyDescent="0.25">
      <c r="A1628" s="1" t="s">
        <v>2590</v>
      </c>
      <c r="B1628" s="21">
        <v>17</v>
      </c>
      <c r="C1628" s="1" t="s">
        <v>5255</v>
      </c>
      <c r="D1628" s="21">
        <v>61</v>
      </c>
      <c r="E1628" s="1" t="s">
        <v>6700</v>
      </c>
      <c r="F1628" s="24">
        <v>9</v>
      </c>
      <c r="G1628" s="5" t="s">
        <v>6533</v>
      </c>
      <c r="H1628" s="5" t="s">
        <v>6534</v>
      </c>
      <c r="I1628" s="5" t="s">
        <v>6535</v>
      </c>
      <c r="J1628" s="5" t="s">
        <v>6536</v>
      </c>
      <c r="K1628" s="5"/>
      <c r="L1628" s="2" t="s">
        <v>8</v>
      </c>
    </row>
    <row r="1629" spans="1:12" ht="15" customHeight="1" x14ac:dyDescent="0.25">
      <c r="A1629" s="1" t="s">
        <v>2590</v>
      </c>
      <c r="B1629" s="21">
        <v>17</v>
      </c>
      <c r="C1629" s="1" t="s">
        <v>5255</v>
      </c>
      <c r="D1629" s="21">
        <v>61</v>
      </c>
      <c r="E1629" s="1" t="s">
        <v>6700</v>
      </c>
      <c r="F1629" s="24">
        <v>10</v>
      </c>
      <c r="G1629" s="5" t="s">
        <v>6537</v>
      </c>
      <c r="H1629" s="5" t="s">
        <v>6538</v>
      </c>
      <c r="I1629" s="5" t="s">
        <v>6539</v>
      </c>
      <c r="J1629" s="5" t="s">
        <v>6540</v>
      </c>
      <c r="K1629" s="5"/>
      <c r="L1629" s="2" t="s">
        <v>7</v>
      </c>
    </row>
    <row r="1630" spans="1:12" ht="15" customHeight="1" x14ac:dyDescent="0.25">
      <c r="A1630" s="1" t="s">
        <v>2590</v>
      </c>
      <c r="B1630" s="21">
        <v>17</v>
      </c>
      <c r="C1630" s="1" t="s">
        <v>5255</v>
      </c>
      <c r="D1630" s="21">
        <v>61</v>
      </c>
      <c r="E1630" s="1" t="s">
        <v>6700</v>
      </c>
      <c r="F1630" s="24">
        <v>11</v>
      </c>
      <c r="G1630" s="5" t="s">
        <v>6541</v>
      </c>
      <c r="H1630" s="5" t="s">
        <v>6542</v>
      </c>
      <c r="I1630" s="5" t="s">
        <v>6543</v>
      </c>
      <c r="J1630" s="5" t="s">
        <v>6544</v>
      </c>
      <c r="K1630" s="5"/>
      <c r="L1630" s="2" t="s">
        <v>8</v>
      </c>
    </row>
    <row r="1631" spans="1:12" ht="15" customHeight="1" x14ac:dyDescent="0.25">
      <c r="A1631" s="1" t="s">
        <v>2590</v>
      </c>
      <c r="B1631" s="21">
        <v>17</v>
      </c>
      <c r="C1631" s="1" t="s">
        <v>5255</v>
      </c>
      <c r="D1631" s="21">
        <v>61</v>
      </c>
      <c r="E1631" s="1" t="s">
        <v>6700</v>
      </c>
      <c r="F1631" s="24">
        <v>12</v>
      </c>
      <c r="G1631" s="5" t="s">
        <v>6545</v>
      </c>
      <c r="H1631" s="5" t="s">
        <v>6546</v>
      </c>
      <c r="I1631" s="5" t="s">
        <v>6547</v>
      </c>
      <c r="J1631" s="5" t="s">
        <v>6548</v>
      </c>
      <c r="K1631" s="5"/>
      <c r="L1631" s="2" t="s">
        <v>7</v>
      </c>
    </row>
    <row r="1632" spans="1:12" ht="15" customHeight="1" x14ac:dyDescent="0.25">
      <c r="A1632" s="1" t="s">
        <v>2590</v>
      </c>
      <c r="B1632" s="21">
        <v>17</v>
      </c>
      <c r="C1632" s="1" t="s">
        <v>5255</v>
      </c>
      <c r="D1632" s="21">
        <v>61</v>
      </c>
      <c r="E1632" s="1" t="s">
        <v>6700</v>
      </c>
      <c r="F1632" s="24">
        <v>13</v>
      </c>
      <c r="G1632" s="5" t="s">
        <v>6549</v>
      </c>
      <c r="H1632" s="5" t="s">
        <v>6550</v>
      </c>
      <c r="I1632" s="5" t="s">
        <v>6551</v>
      </c>
      <c r="J1632" s="5" t="s">
        <v>6552</v>
      </c>
      <c r="K1632" s="5"/>
      <c r="L1632" s="2" t="s">
        <v>8</v>
      </c>
    </row>
    <row r="1633" spans="1:12" ht="15" customHeight="1" x14ac:dyDescent="0.25">
      <c r="A1633" s="1" t="s">
        <v>2590</v>
      </c>
      <c r="B1633" s="21">
        <v>17</v>
      </c>
      <c r="C1633" s="1" t="s">
        <v>5255</v>
      </c>
      <c r="D1633" s="21">
        <v>61</v>
      </c>
      <c r="E1633" s="1" t="s">
        <v>6700</v>
      </c>
      <c r="F1633" s="24">
        <v>14</v>
      </c>
      <c r="G1633" s="5" t="s">
        <v>6553</v>
      </c>
      <c r="H1633" s="5" t="s">
        <v>6554</v>
      </c>
      <c r="I1633" s="5" t="s">
        <v>6555</v>
      </c>
      <c r="J1633" s="5" t="s">
        <v>6556</v>
      </c>
      <c r="K1633" s="5"/>
      <c r="L1633" s="2" t="s">
        <v>8</v>
      </c>
    </row>
    <row r="1634" spans="1:12" ht="15" customHeight="1" x14ac:dyDescent="0.25">
      <c r="A1634" s="1" t="s">
        <v>2590</v>
      </c>
      <c r="B1634" s="21">
        <v>17</v>
      </c>
      <c r="C1634" s="1" t="s">
        <v>5255</v>
      </c>
      <c r="D1634" s="21">
        <v>61</v>
      </c>
      <c r="E1634" s="1" t="s">
        <v>6700</v>
      </c>
      <c r="F1634" s="24">
        <v>15</v>
      </c>
      <c r="G1634" s="5" t="s">
        <v>6557</v>
      </c>
      <c r="H1634" s="5" t="s">
        <v>6558</v>
      </c>
      <c r="I1634" s="5" t="s">
        <v>6559</v>
      </c>
      <c r="J1634" s="5" t="s">
        <v>6560</v>
      </c>
      <c r="K1634" s="5"/>
      <c r="L1634" s="2" t="s">
        <v>9</v>
      </c>
    </row>
    <row r="1635" spans="1:12" ht="15" customHeight="1" x14ac:dyDescent="0.25">
      <c r="A1635" s="1" t="s">
        <v>2590</v>
      </c>
      <c r="B1635" s="21">
        <v>17</v>
      </c>
      <c r="C1635" s="1" t="s">
        <v>5255</v>
      </c>
      <c r="D1635" s="21">
        <v>61</v>
      </c>
      <c r="E1635" s="1" t="s">
        <v>6700</v>
      </c>
      <c r="F1635" s="24">
        <v>16</v>
      </c>
      <c r="G1635" s="5" t="s">
        <v>6561</v>
      </c>
      <c r="H1635" s="5" t="s">
        <v>6562</v>
      </c>
      <c r="I1635" s="5" t="s">
        <v>6563</v>
      </c>
      <c r="J1635" s="5" t="s">
        <v>6564</v>
      </c>
      <c r="K1635" s="5"/>
      <c r="L1635" s="2" t="s">
        <v>7</v>
      </c>
    </row>
    <row r="1636" spans="1:12" ht="15" customHeight="1" x14ac:dyDescent="0.25">
      <c r="A1636" s="1" t="s">
        <v>2590</v>
      </c>
      <c r="B1636" s="21">
        <v>17</v>
      </c>
      <c r="C1636" s="1" t="s">
        <v>5255</v>
      </c>
      <c r="D1636" s="21">
        <v>61</v>
      </c>
      <c r="E1636" s="1" t="s">
        <v>6700</v>
      </c>
      <c r="F1636" s="24">
        <v>17</v>
      </c>
      <c r="G1636" s="5" t="s">
        <v>6565</v>
      </c>
      <c r="H1636" s="5" t="s">
        <v>6566</v>
      </c>
      <c r="I1636" s="5" t="s">
        <v>6567</v>
      </c>
      <c r="J1636" s="5" t="s">
        <v>6568</v>
      </c>
      <c r="K1636" s="5"/>
      <c r="L1636" s="2" t="s">
        <v>9</v>
      </c>
    </row>
    <row r="1637" spans="1:12" ht="15" customHeight="1" x14ac:dyDescent="0.25">
      <c r="A1637" s="1" t="s">
        <v>2590</v>
      </c>
      <c r="B1637" s="21">
        <v>17</v>
      </c>
      <c r="C1637" s="1" t="s">
        <v>5255</v>
      </c>
      <c r="D1637" s="21">
        <v>61</v>
      </c>
      <c r="E1637" s="1" t="s">
        <v>6700</v>
      </c>
      <c r="F1637" s="24">
        <v>18</v>
      </c>
      <c r="G1637" s="5" t="s">
        <v>6569</v>
      </c>
      <c r="H1637" s="5" t="s">
        <v>6570</v>
      </c>
      <c r="I1637" s="5" t="s">
        <v>6571</v>
      </c>
      <c r="J1637" s="5" t="s">
        <v>6572</v>
      </c>
      <c r="K1637" s="5"/>
      <c r="L1637" s="2" t="s">
        <v>8</v>
      </c>
    </row>
    <row r="1638" spans="1:12" ht="15" customHeight="1" x14ac:dyDescent="0.25">
      <c r="A1638" s="1" t="s">
        <v>2590</v>
      </c>
      <c r="B1638" s="21">
        <v>17</v>
      </c>
      <c r="C1638" s="1" t="s">
        <v>5255</v>
      </c>
      <c r="D1638" s="21">
        <v>61</v>
      </c>
      <c r="E1638" s="1" t="s">
        <v>6700</v>
      </c>
      <c r="F1638" s="24">
        <v>19</v>
      </c>
      <c r="G1638" s="5" t="s">
        <v>6573</v>
      </c>
      <c r="H1638" s="5" t="s">
        <v>6574</v>
      </c>
      <c r="I1638" s="5" t="s">
        <v>6575</v>
      </c>
      <c r="J1638" s="5" t="s">
        <v>6576</v>
      </c>
      <c r="K1638" s="5"/>
      <c r="L1638" s="2" t="s">
        <v>9</v>
      </c>
    </row>
    <row r="1639" spans="1:12" ht="15" customHeight="1" x14ac:dyDescent="0.25">
      <c r="A1639" s="1" t="s">
        <v>2590</v>
      </c>
      <c r="B1639" s="21">
        <v>17</v>
      </c>
      <c r="C1639" s="1" t="s">
        <v>5255</v>
      </c>
      <c r="D1639" s="21">
        <v>61</v>
      </c>
      <c r="E1639" s="1" t="s">
        <v>6700</v>
      </c>
      <c r="F1639" s="24">
        <v>20</v>
      </c>
      <c r="G1639" s="5" t="s">
        <v>6577</v>
      </c>
      <c r="H1639" s="5" t="s">
        <v>6578</v>
      </c>
      <c r="I1639" s="5" t="s">
        <v>6579</v>
      </c>
      <c r="J1639" s="5" t="s">
        <v>6580</v>
      </c>
      <c r="K1639" s="5"/>
      <c r="L1639" s="2" t="s">
        <v>8</v>
      </c>
    </row>
    <row r="1640" spans="1:12" ht="15" customHeight="1" x14ac:dyDescent="0.25">
      <c r="A1640" s="1" t="s">
        <v>2590</v>
      </c>
      <c r="B1640" s="21">
        <v>17</v>
      </c>
      <c r="C1640" s="1" t="s">
        <v>5255</v>
      </c>
      <c r="D1640" s="21">
        <v>61</v>
      </c>
      <c r="E1640" s="1" t="s">
        <v>6700</v>
      </c>
      <c r="F1640" s="24">
        <v>21</v>
      </c>
      <c r="G1640" s="5" t="s">
        <v>6581</v>
      </c>
      <c r="H1640" s="5" t="s">
        <v>6582</v>
      </c>
      <c r="I1640" s="5" t="s">
        <v>6583</v>
      </c>
      <c r="J1640" s="5" t="s">
        <v>6584</v>
      </c>
      <c r="K1640" s="5"/>
      <c r="L1640" s="2" t="s">
        <v>9</v>
      </c>
    </row>
    <row r="1641" spans="1:12" ht="15" customHeight="1" x14ac:dyDescent="0.25">
      <c r="A1641" s="1" t="s">
        <v>2590</v>
      </c>
      <c r="B1641" s="21">
        <v>17</v>
      </c>
      <c r="C1641" s="1" t="s">
        <v>5255</v>
      </c>
      <c r="D1641" s="21">
        <v>61</v>
      </c>
      <c r="E1641" s="1" t="s">
        <v>6700</v>
      </c>
      <c r="F1641" s="24">
        <v>22</v>
      </c>
      <c r="G1641" s="5" t="s">
        <v>6585</v>
      </c>
      <c r="H1641" s="5" t="s">
        <v>6586</v>
      </c>
      <c r="I1641" s="5" t="s">
        <v>6587</v>
      </c>
      <c r="J1641" s="5" t="s">
        <v>6588</v>
      </c>
      <c r="K1641" s="5"/>
      <c r="L1641" s="2" t="s">
        <v>8</v>
      </c>
    </row>
    <row r="1642" spans="1:12" ht="15" customHeight="1" x14ac:dyDescent="0.25">
      <c r="A1642" s="1" t="s">
        <v>2590</v>
      </c>
      <c r="B1642" s="21">
        <v>17</v>
      </c>
      <c r="C1642" s="1" t="s">
        <v>5255</v>
      </c>
      <c r="D1642" s="21">
        <v>61</v>
      </c>
      <c r="E1642" s="1" t="s">
        <v>6700</v>
      </c>
      <c r="F1642" s="24">
        <v>23</v>
      </c>
      <c r="G1642" s="5" t="s">
        <v>6589</v>
      </c>
      <c r="H1642" s="5" t="s">
        <v>6590</v>
      </c>
      <c r="I1642" s="5" t="s">
        <v>6591</v>
      </c>
      <c r="J1642" s="5" t="s">
        <v>6592</v>
      </c>
      <c r="K1642" s="5"/>
      <c r="L1642" s="2" t="s">
        <v>9</v>
      </c>
    </row>
    <row r="1643" spans="1:12" ht="15" customHeight="1" x14ac:dyDescent="0.25">
      <c r="A1643" s="1" t="s">
        <v>2590</v>
      </c>
      <c r="B1643" s="21">
        <v>17</v>
      </c>
      <c r="C1643" s="1" t="s">
        <v>5255</v>
      </c>
      <c r="D1643" s="21">
        <v>61</v>
      </c>
      <c r="E1643" s="1" t="s">
        <v>6700</v>
      </c>
      <c r="F1643" s="24">
        <v>24</v>
      </c>
      <c r="G1643" s="5" t="s">
        <v>6593</v>
      </c>
      <c r="H1643" s="5" t="s">
        <v>6594</v>
      </c>
      <c r="I1643" s="5" t="s">
        <v>6595</v>
      </c>
      <c r="J1643" s="5" t="s">
        <v>6596</v>
      </c>
      <c r="K1643" s="5"/>
      <c r="L1643" s="2" t="s">
        <v>7</v>
      </c>
    </row>
    <row r="1644" spans="1:12" ht="15" customHeight="1" x14ac:dyDescent="0.25">
      <c r="A1644" s="1" t="s">
        <v>2590</v>
      </c>
      <c r="B1644" s="21">
        <v>17</v>
      </c>
      <c r="C1644" s="1" t="s">
        <v>5255</v>
      </c>
      <c r="D1644" s="21">
        <v>61</v>
      </c>
      <c r="E1644" s="1" t="s">
        <v>6700</v>
      </c>
      <c r="F1644" s="24">
        <v>25</v>
      </c>
      <c r="G1644" s="5" t="s">
        <v>6597</v>
      </c>
      <c r="H1644" s="5" t="s">
        <v>6598</v>
      </c>
      <c r="I1644" s="5" t="s">
        <v>6599</v>
      </c>
      <c r="J1644" s="5" t="s">
        <v>6600</v>
      </c>
      <c r="K1644" s="5"/>
      <c r="L1644" s="2" t="s">
        <v>7</v>
      </c>
    </row>
    <row r="1645" spans="1:12" ht="15" customHeight="1" x14ac:dyDescent="0.25">
      <c r="A1645" s="1" t="s">
        <v>2590</v>
      </c>
      <c r="B1645" s="21">
        <v>17</v>
      </c>
      <c r="C1645" s="1" t="s">
        <v>5255</v>
      </c>
      <c r="D1645" s="21">
        <v>61</v>
      </c>
      <c r="E1645" s="1" t="s">
        <v>6700</v>
      </c>
      <c r="F1645" s="24">
        <v>26</v>
      </c>
      <c r="G1645" s="5" t="s">
        <v>6601</v>
      </c>
      <c r="H1645" s="5" t="s">
        <v>6602</v>
      </c>
      <c r="I1645" s="5" t="s">
        <v>6603</v>
      </c>
      <c r="J1645" s="5" t="s">
        <v>6604</v>
      </c>
      <c r="K1645" s="5"/>
      <c r="L1645" s="2" t="s">
        <v>8</v>
      </c>
    </row>
    <row r="1646" spans="1:12" ht="15" customHeight="1" x14ac:dyDescent="0.25">
      <c r="A1646" s="1" t="s">
        <v>2590</v>
      </c>
      <c r="B1646" s="21">
        <v>17</v>
      </c>
      <c r="C1646" s="1" t="s">
        <v>5255</v>
      </c>
      <c r="D1646" s="21">
        <v>61</v>
      </c>
      <c r="E1646" s="1" t="s">
        <v>6700</v>
      </c>
      <c r="F1646" s="24">
        <v>27</v>
      </c>
      <c r="G1646" s="5" t="s">
        <v>6605</v>
      </c>
      <c r="H1646" s="5" t="s">
        <v>6606</v>
      </c>
      <c r="I1646" s="5" t="s">
        <v>6607</v>
      </c>
      <c r="J1646" s="5" t="s">
        <v>6608</v>
      </c>
      <c r="K1646" s="5"/>
      <c r="L1646" s="2" t="s">
        <v>9</v>
      </c>
    </row>
    <row r="1647" spans="1:12" ht="15" customHeight="1" x14ac:dyDescent="0.25">
      <c r="A1647" s="1" t="s">
        <v>2590</v>
      </c>
      <c r="B1647" s="21">
        <v>17</v>
      </c>
      <c r="C1647" s="1" t="s">
        <v>5255</v>
      </c>
      <c r="D1647" s="21">
        <v>61</v>
      </c>
      <c r="E1647" s="1" t="s">
        <v>6700</v>
      </c>
      <c r="F1647" s="24">
        <v>28</v>
      </c>
      <c r="G1647" s="5" t="s">
        <v>6609</v>
      </c>
      <c r="H1647" s="5" t="s">
        <v>6610</v>
      </c>
      <c r="I1647" s="5" t="s">
        <v>6611</v>
      </c>
      <c r="J1647" s="5" t="s">
        <v>6612</v>
      </c>
      <c r="K1647" s="5"/>
      <c r="L1647" s="2" t="s">
        <v>7</v>
      </c>
    </row>
    <row r="1648" spans="1:12" ht="15" customHeight="1" x14ac:dyDescent="0.25">
      <c r="A1648" s="1" t="s">
        <v>2590</v>
      </c>
      <c r="B1648" s="21">
        <v>17</v>
      </c>
      <c r="C1648" s="1" t="s">
        <v>5255</v>
      </c>
      <c r="D1648" s="21">
        <v>61</v>
      </c>
      <c r="E1648" s="1" t="s">
        <v>6700</v>
      </c>
      <c r="F1648" s="24">
        <v>29</v>
      </c>
      <c r="G1648" s="5" t="s">
        <v>6613</v>
      </c>
      <c r="H1648" s="5" t="s">
        <v>6614</v>
      </c>
      <c r="I1648" s="5" t="s">
        <v>6615</v>
      </c>
      <c r="J1648" s="5" t="s">
        <v>6616</v>
      </c>
      <c r="K1648" s="5"/>
      <c r="L1648" s="2" t="s">
        <v>7</v>
      </c>
    </row>
    <row r="1649" spans="1:12" ht="15" customHeight="1" x14ac:dyDescent="0.25">
      <c r="A1649" s="1" t="s">
        <v>2590</v>
      </c>
      <c r="B1649" s="21">
        <v>17</v>
      </c>
      <c r="C1649" s="1" t="s">
        <v>5255</v>
      </c>
      <c r="D1649" s="21">
        <v>61</v>
      </c>
      <c r="E1649" s="1" t="s">
        <v>6700</v>
      </c>
      <c r="F1649" s="24">
        <v>30</v>
      </c>
      <c r="G1649" s="5" t="s">
        <v>6617</v>
      </c>
      <c r="H1649" s="5" t="s">
        <v>6618</v>
      </c>
      <c r="I1649" s="5" t="s">
        <v>6619</v>
      </c>
      <c r="J1649" s="5" t="s">
        <v>6620</v>
      </c>
      <c r="K1649" s="5"/>
      <c r="L1649" s="2" t="s">
        <v>8</v>
      </c>
    </row>
    <row r="1650" spans="1:12" ht="15" customHeight="1" x14ac:dyDescent="0.25">
      <c r="A1650" s="1" t="s">
        <v>2590</v>
      </c>
      <c r="B1650" s="21">
        <v>17</v>
      </c>
      <c r="C1650" s="1" t="s">
        <v>5255</v>
      </c>
      <c r="D1650" s="21">
        <v>61</v>
      </c>
      <c r="E1650" s="1" t="s">
        <v>6700</v>
      </c>
      <c r="F1650" s="24">
        <v>31</v>
      </c>
      <c r="G1650" s="5" t="s">
        <v>6621</v>
      </c>
      <c r="H1650" s="5" t="s">
        <v>6622</v>
      </c>
      <c r="I1650" s="5" t="s">
        <v>6623</v>
      </c>
      <c r="J1650" s="5" t="s">
        <v>6624</v>
      </c>
      <c r="K1650" s="5"/>
      <c r="L1650" s="2" t="s">
        <v>9</v>
      </c>
    </row>
    <row r="1651" spans="1:12" ht="15" customHeight="1" x14ac:dyDescent="0.25">
      <c r="A1651" s="1" t="s">
        <v>2590</v>
      </c>
      <c r="B1651" s="21">
        <v>17</v>
      </c>
      <c r="C1651" s="1" t="s">
        <v>5255</v>
      </c>
      <c r="D1651" s="21">
        <v>61</v>
      </c>
      <c r="E1651" s="1" t="s">
        <v>6700</v>
      </c>
      <c r="F1651" s="24">
        <v>32</v>
      </c>
      <c r="G1651" s="5" t="s">
        <v>6625</v>
      </c>
      <c r="H1651" s="5" t="s">
        <v>6626</v>
      </c>
      <c r="I1651" s="5" t="s">
        <v>6627</v>
      </c>
      <c r="J1651" s="5" t="s">
        <v>6628</v>
      </c>
      <c r="K1651" s="5"/>
      <c r="L1651" s="2" t="s">
        <v>7</v>
      </c>
    </row>
    <row r="1652" spans="1:12" ht="15" customHeight="1" x14ac:dyDescent="0.25">
      <c r="A1652" s="1" t="s">
        <v>2590</v>
      </c>
      <c r="B1652" s="21">
        <v>17</v>
      </c>
      <c r="C1652" s="1" t="s">
        <v>5255</v>
      </c>
      <c r="D1652" s="21">
        <v>61</v>
      </c>
      <c r="E1652" s="1" t="s">
        <v>6700</v>
      </c>
      <c r="F1652" s="24">
        <v>33</v>
      </c>
      <c r="G1652" s="5" t="s">
        <v>6629</v>
      </c>
      <c r="H1652" s="5" t="s">
        <v>6630</v>
      </c>
      <c r="I1652" s="5" t="s">
        <v>6631</v>
      </c>
      <c r="J1652" s="5" t="s">
        <v>6632</v>
      </c>
      <c r="K1652" s="5"/>
      <c r="L1652" s="2" t="s">
        <v>8</v>
      </c>
    </row>
    <row r="1653" spans="1:12" ht="15" customHeight="1" x14ac:dyDescent="0.25">
      <c r="A1653" s="1" t="s">
        <v>2590</v>
      </c>
      <c r="B1653" s="21">
        <v>17</v>
      </c>
      <c r="C1653" s="1" t="s">
        <v>5255</v>
      </c>
      <c r="D1653" s="21">
        <v>61</v>
      </c>
      <c r="E1653" s="1" t="s">
        <v>6700</v>
      </c>
      <c r="F1653" s="24">
        <v>34</v>
      </c>
      <c r="G1653" s="5" t="s">
        <v>6633</v>
      </c>
      <c r="H1653" s="5" t="s">
        <v>6634</v>
      </c>
      <c r="I1653" s="5" t="s">
        <v>6635</v>
      </c>
      <c r="J1653" s="5" t="s">
        <v>6636</v>
      </c>
      <c r="K1653" s="5"/>
      <c r="L1653" s="2" t="s">
        <v>9</v>
      </c>
    </row>
    <row r="1654" spans="1:12" ht="15" customHeight="1" x14ac:dyDescent="0.25">
      <c r="A1654" s="1" t="s">
        <v>2590</v>
      </c>
      <c r="B1654" s="21">
        <v>17</v>
      </c>
      <c r="C1654" s="1" t="s">
        <v>5255</v>
      </c>
      <c r="D1654" s="21">
        <v>61</v>
      </c>
      <c r="E1654" s="1" t="s">
        <v>6700</v>
      </c>
      <c r="F1654" s="24">
        <v>35</v>
      </c>
      <c r="G1654" s="5" t="s">
        <v>6637</v>
      </c>
      <c r="H1654" s="5" t="s">
        <v>6638</v>
      </c>
      <c r="I1654" s="5" t="s">
        <v>6639</v>
      </c>
      <c r="J1654" s="5" t="s">
        <v>6640</v>
      </c>
      <c r="K1654" s="5"/>
      <c r="L1654" s="2" t="s">
        <v>7</v>
      </c>
    </row>
    <row r="1655" spans="1:12" ht="15" customHeight="1" x14ac:dyDescent="0.25">
      <c r="A1655" s="1" t="s">
        <v>2590</v>
      </c>
      <c r="B1655" s="21">
        <v>17</v>
      </c>
      <c r="C1655" s="1" t="s">
        <v>5255</v>
      </c>
      <c r="D1655" s="21">
        <v>61</v>
      </c>
      <c r="E1655" s="1" t="s">
        <v>6700</v>
      </c>
      <c r="F1655" s="24">
        <v>36</v>
      </c>
      <c r="G1655" s="5" t="s">
        <v>6641</v>
      </c>
      <c r="H1655" s="5" t="s">
        <v>6642</v>
      </c>
      <c r="I1655" s="5" t="s">
        <v>6643</v>
      </c>
      <c r="J1655" s="5" t="s">
        <v>6644</v>
      </c>
      <c r="K1655" s="5"/>
      <c r="L1655" s="2" t="s">
        <v>9</v>
      </c>
    </row>
    <row r="1656" spans="1:12" ht="15" customHeight="1" x14ac:dyDescent="0.25">
      <c r="A1656" s="1" t="s">
        <v>2590</v>
      </c>
      <c r="B1656" s="21">
        <v>17</v>
      </c>
      <c r="C1656" s="1" t="s">
        <v>5255</v>
      </c>
      <c r="D1656" s="21">
        <v>61</v>
      </c>
      <c r="E1656" s="1" t="s">
        <v>6700</v>
      </c>
      <c r="F1656" s="24">
        <v>37</v>
      </c>
      <c r="G1656" s="5" t="s">
        <v>6645</v>
      </c>
      <c r="H1656" s="5" t="s">
        <v>6646</v>
      </c>
      <c r="I1656" s="5" t="s">
        <v>6647</v>
      </c>
      <c r="J1656" s="5" t="s">
        <v>6648</v>
      </c>
      <c r="K1656" s="5"/>
      <c r="L1656" s="2" t="s">
        <v>7</v>
      </c>
    </row>
    <row r="1657" spans="1:12" ht="15" customHeight="1" x14ac:dyDescent="0.25">
      <c r="A1657" s="1" t="s">
        <v>2590</v>
      </c>
      <c r="B1657" s="21">
        <v>17</v>
      </c>
      <c r="C1657" s="1" t="s">
        <v>5255</v>
      </c>
      <c r="D1657" s="21">
        <v>61</v>
      </c>
      <c r="E1657" s="1" t="s">
        <v>6700</v>
      </c>
      <c r="F1657" s="24">
        <v>38</v>
      </c>
      <c r="G1657" s="5" t="s">
        <v>6649</v>
      </c>
      <c r="H1657" s="5" t="s">
        <v>6650</v>
      </c>
      <c r="I1657" s="5" t="s">
        <v>6651</v>
      </c>
      <c r="J1657" s="5" t="s">
        <v>6652</v>
      </c>
      <c r="K1657" s="5"/>
      <c r="L1657" s="2" t="s">
        <v>9</v>
      </c>
    </row>
    <row r="1658" spans="1:12" ht="15" customHeight="1" x14ac:dyDescent="0.25">
      <c r="A1658" s="1" t="s">
        <v>2590</v>
      </c>
      <c r="B1658" s="21">
        <v>17</v>
      </c>
      <c r="C1658" s="1" t="s">
        <v>5255</v>
      </c>
      <c r="D1658" s="21">
        <v>61</v>
      </c>
      <c r="E1658" s="1" t="s">
        <v>6700</v>
      </c>
      <c r="F1658" s="24">
        <v>39</v>
      </c>
      <c r="G1658" s="5" t="s">
        <v>6653</v>
      </c>
      <c r="H1658" s="5" t="s">
        <v>6654</v>
      </c>
      <c r="I1658" s="5" t="s">
        <v>6655</v>
      </c>
      <c r="J1658" s="5" t="s">
        <v>6656</v>
      </c>
      <c r="K1658" s="5"/>
      <c r="L1658" s="2" t="s">
        <v>8</v>
      </c>
    </row>
    <row r="1659" spans="1:12" ht="15" customHeight="1" x14ac:dyDescent="0.25">
      <c r="A1659" s="1" t="s">
        <v>2590</v>
      </c>
      <c r="B1659" s="21">
        <v>17</v>
      </c>
      <c r="C1659" s="1" t="s">
        <v>5255</v>
      </c>
      <c r="D1659" s="21">
        <v>61</v>
      </c>
      <c r="E1659" s="1" t="s">
        <v>6700</v>
      </c>
      <c r="F1659" s="24">
        <v>40</v>
      </c>
      <c r="G1659" s="5" t="s">
        <v>6657</v>
      </c>
      <c r="H1659" s="5" t="s">
        <v>6658</v>
      </c>
      <c r="I1659" s="5" t="s">
        <v>6659</v>
      </c>
      <c r="J1659" s="5" t="s">
        <v>6660</v>
      </c>
      <c r="K1659" s="5"/>
      <c r="L1659" s="2" t="s">
        <v>7</v>
      </c>
    </row>
    <row r="1660" spans="1:12" ht="15" customHeight="1" x14ac:dyDescent="0.25">
      <c r="A1660" s="1" t="s">
        <v>2590</v>
      </c>
      <c r="B1660" s="21">
        <v>17</v>
      </c>
      <c r="C1660" s="1" t="s">
        <v>5255</v>
      </c>
      <c r="D1660" s="21">
        <v>61</v>
      </c>
      <c r="E1660" s="1" t="s">
        <v>6700</v>
      </c>
      <c r="F1660" s="24">
        <v>41</v>
      </c>
      <c r="G1660" s="5" t="s">
        <v>6661</v>
      </c>
      <c r="H1660" s="5" t="s">
        <v>6662</v>
      </c>
      <c r="I1660" s="5" t="s">
        <v>6663</v>
      </c>
      <c r="J1660" s="5" t="s">
        <v>6664</v>
      </c>
      <c r="K1660" s="5"/>
      <c r="L1660" s="2" t="s">
        <v>9</v>
      </c>
    </row>
    <row r="1661" spans="1:12" ht="15" customHeight="1" x14ac:dyDescent="0.25">
      <c r="A1661" s="1" t="s">
        <v>2590</v>
      </c>
      <c r="B1661" s="21">
        <v>17</v>
      </c>
      <c r="C1661" s="1" t="s">
        <v>5255</v>
      </c>
      <c r="D1661" s="21">
        <v>61</v>
      </c>
      <c r="E1661" s="1" t="s">
        <v>6700</v>
      </c>
      <c r="F1661" s="24">
        <v>42</v>
      </c>
      <c r="G1661" s="5" t="s">
        <v>6665</v>
      </c>
      <c r="H1661" s="5" t="s">
        <v>6666</v>
      </c>
      <c r="I1661" s="5" t="s">
        <v>6667</v>
      </c>
      <c r="J1661" s="5" t="s">
        <v>6668</v>
      </c>
      <c r="K1661" s="5"/>
      <c r="L1661" s="2" t="s">
        <v>7</v>
      </c>
    </row>
    <row r="1662" spans="1:12" ht="15" customHeight="1" x14ac:dyDescent="0.25">
      <c r="A1662" s="1" t="s">
        <v>2590</v>
      </c>
      <c r="B1662" s="21">
        <v>17</v>
      </c>
      <c r="C1662" s="1" t="s">
        <v>5255</v>
      </c>
      <c r="D1662" s="21">
        <v>61</v>
      </c>
      <c r="E1662" s="1" t="s">
        <v>6700</v>
      </c>
      <c r="F1662" s="24">
        <v>43</v>
      </c>
      <c r="G1662" s="5" t="s">
        <v>6669</v>
      </c>
      <c r="H1662" s="5" t="s">
        <v>6670</v>
      </c>
      <c r="I1662" s="5" t="s">
        <v>6671</v>
      </c>
      <c r="J1662" s="5" t="s">
        <v>6672</v>
      </c>
      <c r="K1662" s="5"/>
      <c r="L1662" s="2" t="s">
        <v>9</v>
      </c>
    </row>
    <row r="1663" spans="1:12" ht="15" customHeight="1" x14ac:dyDescent="0.25">
      <c r="A1663" s="1" t="s">
        <v>2590</v>
      </c>
      <c r="B1663" s="21">
        <v>17</v>
      </c>
      <c r="C1663" s="1" t="s">
        <v>5255</v>
      </c>
      <c r="D1663" s="21">
        <v>61</v>
      </c>
      <c r="E1663" s="1" t="s">
        <v>6700</v>
      </c>
      <c r="F1663" s="24">
        <v>44</v>
      </c>
      <c r="G1663" s="5" t="s">
        <v>6673</v>
      </c>
      <c r="H1663" s="5" t="s">
        <v>6674</v>
      </c>
      <c r="I1663" s="5" t="s">
        <v>6675</v>
      </c>
      <c r="J1663" s="5" t="s">
        <v>6676</v>
      </c>
      <c r="K1663" s="5"/>
      <c r="L1663" s="2" t="s">
        <v>7</v>
      </c>
    </row>
    <row r="1664" spans="1:12" ht="15" customHeight="1" x14ac:dyDescent="0.25">
      <c r="A1664" s="1" t="s">
        <v>2590</v>
      </c>
      <c r="B1664" s="21">
        <v>17</v>
      </c>
      <c r="C1664" s="1" t="s">
        <v>5255</v>
      </c>
      <c r="D1664" s="21">
        <v>61</v>
      </c>
      <c r="E1664" s="1" t="s">
        <v>6700</v>
      </c>
      <c r="F1664" s="24">
        <v>45</v>
      </c>
      <c r="G1664" s="5" t="s">
        <v>6677</v>
      </c>
      <c r="H1664" s="5" t="s">
        <v>6678</v>
      </c>
      <c r="I1664" s="5" t="s">
        <v>6679</v>
      </c>
      <c r="J1664" s="5" t="s">
        <v>6680</v>
      </c>
      <c r="K1664" s="5"/>
      <c r="L1664" s="2" t="s">
        <v>7</v>
      </c>
    </row>
    <row r="1665" spans="1:12" ht="15" customHeight="1" x14ac:dyDescent="0.25">
      <c r="A1665" s="1" t="s">
        <v>2590</v>
      </c>
      <c r="B1665" s="21">
        <v>17</v>
      </c>
      <c r="C1665" s="1" t="s">
        <v>5255</v>
      </c>
      <c r="D1665" s="21">
        <v>61</v>
      </c>
      <c r="E1665" s="1" t="s">
        <v>6700</v>
      </c>
      <c r="F1665" s="24">
        <v>46</v>
      </c>
      <c r="G1665" s="5" t="s">
        <v>6681</v>
      </c>
      <c r="H1665" s="5" t="s">
        <v>6682</v>
      </c>
      <c r="I1665" s="5" t="s">
        <v>6683</v>
      </c>
      <c r="J1665" s="5" t="s">
        <v>2663</v>
      </c>
      <c r="K1665" s="5"/>
      <c r="L1665" s="2" t="s">
        <v>8</v>
      </c>
    </row>
    <row r="1666" spans="1:12" ht="15" customHeight="1" x14ac:dyDescent="0.25">
      <c r="A1666" s="1" t="s">
        <v>2590</v>
      </c>
      <c r="B1666" s="21">
        <v>17</v>
      </c>
      <c r="C1666" s="1" t="s">
        <v>5255</v>
      </c>
      <c r="D1666" s="21">
        <v>61</v>
      </c>
      <c r="E1666" s="1" t="s">
        <v>6700</v>
      </c>
      <c r="F1666" s="24">
        <v>47</v>
      </c>
      <c r="G1666" s="5" t="s">
        <v>6684</v>
      </c>
      <c r="H1666" s="5" t="s">
        <v>6685</v>
      </c>
      <c r="I1666" s="5" t="s">
        <v>6686</v>
      </c>
      <c r="J1666" s="5" t="s">
        <v>6687</v>
      </c>
      <c r="K1666" s="5"/>
      <c r="L1666" s="2" t="s">
        <v>8</v>
      </c>
    </row>
    <row r="1667" spans="1:12" ht="15" customHeight="1" x14ac:dyDescent="0.25">
      <c r="A1667" s="1" t="s">
        <v>2590</v>
      </c>
      <c r="B1667" s="21">
        <v>17</v>
      </c>
      <c r="C1667" s="1" t="s">
        <v>5255</v>
      </c>
      <c r="D1667" s="21">
        <v>61</v>
      </c>
      <c r="E1667" s="1" t="s">
        <v>6700</v>
      </c>
      <c r="F1667" s="24">
        <v>48</v>
      </c>
      <c r="G1667" s="5" t="s">
        <v>6688</v>
      </c>
      <c r="H1667" s="5" t="s">
        <v>6689</v>
      </c>
      <c r="I1667" s="5" t="s">
        <v>6690</v>
      </c>
      <c r="J1667" s="5" t="s">
        <v>6691</v>
      </c>
      <c r="K1667" s="5"/>
      <c r="L1667" s="2" t="s">
        <v>9</v>
      </c>
    </row>
    <row r="1668" spans="1:12" ht="15" customHeight="1" x14ac:dyDescent="0.25">
      <c r="A1668" s="1" t="s">
        <v>2590</v>
      </c>
      <c r="B1668" s="21">
        <v>17</v>
      </c>
      <c r="C1668" s="1" t="s">
        <v>5255</v>
      </c>
      <c r="D1668" s="21">
        <v>61</v>
      </c>
      <c r="E1668" s="1" t="s">
        <v>6700</v>
      </c>
      <c r="F1668" s="24">
        <v>49</v>
      </c>
      <c r="G1668" s="5" t="s">
        <v>6692</v>
      </c>
      <c r="H1668" s="5" t="s">
        <v>6693</v>
      </c>
      <c r="I1668" s="5" t="s">
        <v>6694</v>
      </c>
      <c r="J1668" s="5" t="s">
        <v>6695</v>
      </c>
      <c r="K1668" s="5"/>
      <c r="L1668" s="2" t="s">
        <v>8</v>
      </c>
    </row>
    <row r="1669" spans="1:12" ht="15" customHeight="1" x14ac:dyDescent="0.25">
      <c r="A1669" s="1" t="s">
        <v>2590</v>
      </c>
      <c r="B1669" s="21">
        <v>17</v>
      </c>
      <c r="C1669" s="1" t="s">
        <v>5255</v>
      </c>
      <c r="D1669" s="21">
        <v>61</v>
      </c>
      <c r="E1669" s="1" t="s">
        <v>6700</v>
      </c>
      <c r="F1669" s="24">
        <v>50</v>
      </c>
      <c r="G1669" s="5" t="s">
        <v>6696</v>
      </c>
      <c r="H1669" s="5" t="s">
        <v>6697</v>
      </c>
      <c r="I1669" s="5" t="s">
        <v>6698</v>
      </c>
      <c r="J1669" s="5" t="s">
        <v>6699</v>
      </c>
      <c r="K1669" s="5"/>
      <c r="L1669" s="2" t="s">
        <v>7</v>
      </c>
    </row>
    <row r="1670" spans="1:12" ht="15" customHeight="1" x14ac:dyDescent="0.25">
      <c r="A1670" s="1" t="s">
        <v>12</v>
      </c>
      <c r="B1670" s="21">
        <v>1</v>
      </c>
      <c r="C1670" s="1" t="s">
        <v>13</v>
      </c>
      <c r="D1670" s="21">
        <v>62</v>
      </c>
      <c r="E1670" s="9" t="s">
        <v>9002</v>
      </c>
      <c r="F1670" s="24">
        <v>1</v>
      </c>
      <c r="G1670" s="5" t="s">
        <v>6701</v>
      </c>
      <c r="H1670" s="5" t="s">
        <v>2201</v>
      </c>
      <c r="I1670" s="5" t="s">
        <v>6702</v>
      </c>
      <c r="J1670" s="5" t="s">
        <v>6703</v>
      </c>
      <c r="K1670" s="5"/>
      <c r="L1670" s="2" t="s">
        <v>8</v>
      </c>
    </row>
    <row r="1671" spans="1:12" ht="15" customHeight="1" x14ac:dyDescent="0.25">
      <c r="A1671" s="1" t="s">
        <v>12</v>
      </c>
      <c r="B1671" s="21">
        <v>3</v>
      </c>
      <c r="C1671" s="1" t="s">
        <v>495</v>
      </c>
      <c r="D1671" s="21">
        <v>62</v>
      </c>
      <c r="E1671" s="9" t="s">
        <v>9002</v>
      </c>
      <c r="F1671" s="24">
        <v>2</v>
      </c>
      <c r="G1671" s="5" t="s">
        <v>6704</v>
      </c>
      <c r="H1671" s="5" t="s">
        <v>6705</v>
      </c>
      <c r="I1671" s="5" t="s">
        <v>6706</v>
      </c>
      <c r="J1671" s="5" t="s">
        <v>6707</v>
      </c>
      <c r="K1671" s="5"/>
      <c r="L1671" s="2" t="s">
        <v>7</v>
      </c>
    </row>
    <row r="1672" spans="1:12" ht="15" customHeight="1" x14ac:dyDescent="0.25">
      <c r="A1672" s="1" t="s">
        <v>12</v>
      </c>
      <c r="B1672" s="21">
        <v>3</v>
      </c>
      <c r="C1672" s="1" t="s">
        <v>495</v>
      </c>
      <c r="D1672" s="21">
        <v>62</v>
      </c>
      <c r="E1672" s="9" t="s">
        <v>9002</v>
      </c>
      <c r="F1672" s="24">
        <v>4</v>
      </c>
      <c r="G1672" s="5" t="s">
        <v>6708</v>
      </c>
      <c r="H1672" s="5" t="s">
        <v>2201</v>
      </c>
      <c r="I1672" s="5" t="s">
        <v>6709</v>
      </c>
      <c r="J1672" s="5" t="s">
        <v>6710</v>
      </c>
      <c r="K1672" s="5"/>
      <c r="L1672" s="2" t="s">
        <v>8</v>
      </c>
    </row>
    <row r="1673" spans="1:12" ht="15" customHeight="1" x14ac:dyDescent="0.25">
      <c r="A1673" s="1" t="s">
        <v>12</v>
      </c>
      <c r="B1673" s="21">
        <v>2</v>
      </c>
      <c r="C1673" s="1" t="s">
        <v>398</v>
      </c>
      <c r="D1673" s="21">
        <v>62</v>
      </c>
      <c r="E1673" s="9" t="s">
        <v>9002</v>
      </c>
      <c r="F1673" s="24">
        <v>6</v>
      </c>
      <c r="G1673" s="5" t="s">
        <v>6711</v>
      </c>
      <c r="H1673" s="5" t="s">
        <v>6712</v>
      </c>
      <c r="I1673" s="5" t="s">
        <v>6713</v>
      </c>
      <c r="J1673" s="5" t="s">
        <v>6714</v>
      </c>
      <c r="K1673" s="5"/>
      <c r="L1673" s="2" t="s">
        <v>8</v>
      </c>
    </row>
    <row r="1674" spans="1:12" ht="15" customHeight="1" x14ac:dyDescent="0.25">
      <c r="A1674" s="1" t="s">
        <v>12</v>
      </c>
      <c r="B1674" s="21">
        <v>2</v>
      </c>
      <c r="C1674" s="1" t="s">
        <v>398</v>
      </c>
      <c r="D1674" s="21">
        <v>62</v>
      </c>
      <c r="E1674" s="9" t="s">
        <v>9002</v>
      </c>
      <c r="F1674" s="24">
        <v>7</v>
      </c>
      <c r="G1674" s="5" t="s">
        <v>6715</v>
      </c>
      <c r="H1674" s="5" t="s">
        <v>407</v>
      </c>
      <c r="I1674" s="5" t="s">
        <v>405</v>
      </c>
      <c r="J1674" s="5" t="s">
        <v>406</v>
      </c>
      <c r="K1674" s="5"/>
      <c r="L1674" s="2" t="s">
        <v>9</v>
      </c>
    </row>
    <row r="1675" spans="1:12" ht="15" customHeight="1" x14ac:dyDescent="0.25">
      <c r="A1675" s="1" t="s">
        <v>12</v>
      </c>
      <c r="B1675" s="21">
        <v>6</v>
      </c>
      <c r="C1675" s="1" t="s">
        <v>8374</v>
      </c>
      <c r="D1675" s="21">
        <v>62</v>
      </c>
      <c r="E1675" s="9" t="s">
        <v>9002</v>
      </c>
      <c r="F1675" s="24">
        <v>10</v>
      </c>
      <c r="G1675" s="5" t="s">
        <v>6716</v>
      </c>
      <c r="H1675" s="5" t="s">
        <v>6717</v>
      </c>
      <c r="I1675" s="5" t="s">
        <v>6718</v>
      </c>
      <c r="J1675" s="5" t="s">
        <v>2132</v>
      </c>
      <c r="K1675" s="5"/>
      <c r="L1675" s="2" t="s">
        <v>9</v>
      </c>
    </row>
    <row r="1676" spans="1:12" ht="15" customHeight="1" x14ac:dyDescent="0.25">
      <c r="A1676" s="1" t="s">
        <v>2590</v>
      </c>
      <c r="B1676" s="21">
        <v>11</v>
      </c>
      <c r="C1676" s="1" t="s">
        <v>3187</v>
      </c>
      <c r="D1676" s="21">
        <v>62</v>
      </c>
      <c r="E1676" s="9" t="s">
        <v>9002</v>
      </c>
      <c r="F1676" s="24">
        <v>11</v>
      </c>
      <c r="G1676" s="5" t="s">
        <v>6719</v>
      </c>
      <c r="H1676" s="5" t="s">
        <v>6720</v>
      </c>
      <c r="I1676" s="5" t="s">
        <v>6721</v>
      </c>
      <c r="J1676" s="5" t="s">
        <v>6722</v>
      </c>
      <c r="K1676" s="5"/>
      <c r="L1676" s="2" t="s">
        <v>9</v>
      </c>
    </row>
    <row r="1677" spans="1:12" ht="15" customHeight="1" x14ac:dyDescent="0.25">
      <c r="A1677" s="1" t="s">
        <v>2590</v>
      </c>
      <c r="B1677" s="21">
        <v>11</v>
      </c>
      <c r="C1677" s="1" t="s">
        <v>3187</v>
      </c>
      <c r="D1677" s="21">
        <v>62</v>
      </c>
      <c r="E1677" s="9" t="s">
        <v>9002</v>
      </c>
      <c r="F1677" s="24">
        <v>12</v>
      </c>
      <c r="G1677" s="5" t="s">
        <v>6723</v>
      </c>
      <c r="H1677" s="5" t="s">
        <v>6724</v>
      </c>
      <c r="I1677" s="5" t="s">
        <v>6725</v>
      </c>
      <c r="J1677" s="5" t="s">
        <v>2663</v>
      </c>
      <c r="K1677" s="5"/>
      <c r="L1677" s="2" t="s">
        <v>7</v>
      </c>
    </row>
    <row r="1678" spans="1:12" ht="15" customHeight="1" x14ac:dyDescent="0.25">
      <c r="A1678" s="1" t="s">
        <v>2590</v>
      </c>
      <c r="B1678" s="21">
        <v>11</v>
      </c>
      <c r="C1678" s="1" t="s">
        <v>3187</v>
      </c>
      <c r="D1678" s="21">
        <v>62</v>
      </c>
      <c r="E1678" s="9" t="s">
        <v>9002</v>
      </c>
      <c r="F1678" s="24">
        <v>13</v>
      </c>
      <c r="G1678" s="5" t="s">
        <v>6726</v>
      </c>
      <c r="H1678" s="5" t="s">
        <v>6727</v>
      </c>
      <c r="I1678" s="5" t="s">
        <v>6728</v>
      </c>
      <c r="J1678" s="5" t="s">
        <v>6729</v>
      </c>
      <c r="K1678" s="5"/>
      <c r="L1678" s="2" t="s">
        <v>7</v>
      </c>
    </row>
    <row r="1679" spans="1:12" ht="15" customHeight="1" x14ac:dyDescent="0.25">
      <c r="A1679" s="1" t="s">
        <v>2590</v>
      </c>
      <c r="B1679" s="21">
        <v>11</v>
      </c>
      <c r="C1679" s="1" t="s">
        <v>3187</v>
      </c>
      <c r="D1679" s="21">
        <v>62</v>
      </c>
      <c r="E1679" s="9" t="s">
        <v>9002</v>
      </c>
      <c r="F1679" s="24">
        <v>14</v>
      </c>
      <c r="G1679" s="5" t="s">
        <v>6730</v>
      </c>
      <c r="H1679" s="5" t="s">
        <v>6731</v>
      </c>
      <c r="I1679" s="5" t="s">
        <v>6732</v>
      </c>
      <c r="J1679" s="5" t="s">
        <v>6733</v>
      </c>
      <c r="K1679" s="5"/>
      <c r="L1679" s="2" t="s">
        <v>7</v>
      </c>
    </row>
    <row r="1680" spans="1:12" ht="15" customHeight="1" x14ac:dyDescent="0.25">
      <c r="A1680" s="1" t="s">
        <v>2590</v>
      </c>
      <c r="B1680" s="21">
        <v>17</v>
      </c>
      <c r="C1680" s="1" t="s">
        <v>5255</v>
      </c>
      <c r="D1680" s="21">
        <v>62</v>
      </c>
      <c r="E1680" s="9" t="s">
        <v>9002</v>
      </c>
      <c r="F1680" s="24">
        <v>16</v>
      </c>
      <c r="G1680" s="5" t="s">
        <v>6734</v>
      </c>
      <c r="H1680" s="5" t="s">
        <v>6735</v>
      </c>
      <c r="I1680" s="5" t="s">
        <v>6736</v>
      </c>
      <c r="J1680" s="5" t="s">
        <v>6737</v>
      </c>
      <c r="K1680" s="5"/>
      <c r="L1680" s="2" t="s">
        <v>7</v>
      </c>
    </row>
    <row r="1681" spans="1:12" ht="15" customHeight="1" x14ac:dyDescent="0.25">
      <c r="A1681" s="1" t="s">
        <v>2590</v>
      </c>
      <c r="B1681" s="21">
        <v>18</v>
      </c>
      <c r="C1681" s="1" t="s">
        <v>5448</v>
      </c>
      <c r="D1681" s="21">
        <v>62</v>
      </c>
      <c r="E1681" s="9" t="s">
        <v>9002</v>
      </c>
      <c r="F1681" s="24">
        <v>17</v>
      </c>
      <c r="G1681" s="5" t="s">
        <v>6738</v>
      </c>
      <c r="H1681" s="5" t="s">
        <v>6739</v>
      </c>
      <c r="I1681" s="5" t="s">
        <v>6740</v>
      </c>
      <c r="J1681" s="5" t="s">
        <v>6741</v>
      </c>
      <c r="K1681" s="5"/>
      <c r="L1681" s="2" t="s">
        <v>9</v>
      </c>
    </row>
    <row r="1682" spans="1:12" ht="15" customHeight="1" x14ac:dyDescent="0.25">
      <c r="A1682" s="1" t="s">
        <v>2590</v>
      </c>
      <c r="B1682" s="21">
        <v>18</v>
      </c>
      <c r="C1682" s="1" t="s">
        <v>5448</v>
      </c>
      <c r="D1682" s="21">
        <v>62</v>
      </c>
      <c r="E1682" s="9" t="s">
        <v>9002</v>
      </c>
      <c r="F1682" s="24">
        <v>18</v>
      </c>
      <c r="G1682" s="5" t="s">
        <v>6742</v>
      </c>
      <c r="H1682" s="5" t="s">
        <v>6743</v>
      </c>
      <c r="I1682" s="5" t="s">
        <v>6744</v>
      </c>
      <c r="J1682" s="5" t="s">
        <v>6745</v>
      </c>
      <c r="K1682" s="5"/>
      <c r="L1682" s="2" t="s">
        <v>8</v>
      </c>
    </row>
    <row r="1683" spans="1:12" ht="15" customHeight="1" x14ac:dyDescent="0.25">
      <c r="A1683" s="1" t="s">
        <v>2590</v>
      </c>
      <c r="B1683">
        <f>_xlfn.XLOOKUP(C1683,Temas!C:C,Temas!B:B)</f>
        <v>25</v>
      </c>
      <c r="C1683" t="s">
        <v>9159</v>
      </c>
      <c r="D1683" s="21">
        <v>62</v>
      </c>
      <c r="E1683" s="9" t="s">
        <v>9002</v>
      </c>
      <c r="F1683" s="24">
        <v>19</v>
      </c>
      <c r="G1683" s="5" t="s">
        <v>6746</v>
      </c>
      <c r="H1683" s="5" t="s">
        <v>6747</v>
      </c>
      <c r="I1683" s="5" t="s">
        <v>6748</v>
      </c>
      <c r="J1683" s="5" t="s">
        <v>2663</v>
      </c>
      <c r="K1683" s="5"/>
      <c r="L1683" s="2" t="s">
        <v>9</v>
      </c>
    </row>
    <row r="1684" spans="1:12" ht="15" customHeight="1" x14ac:dyDescent="0.25">
      <c r="A1684" s="1" t="s">
        <v>2590</v>
      </c>
      <c r="B1684">
        <f>_xlfn.XLOOKUP(C1684,Temas!C:C,Temas!B:B)</f>
        <v>25</v>
      </c>
      <c r="C1684" t="s">
        <v>9159</v>
      </c>
      <c r="D1684" s="21">
        <v>62</v>
      </c>
      <c r="E1684" s="9" t="s">
        <v>9002</v>
      </c>
      <c r="F1684" s="24">
        <v>20</v>
      </c>
      <c r="G1684" s="5" t="s">
        <v>6749</v>
      </c>
      <c r="H1684" s="5" t="s">
        <v>6750</v>
      </c>
      <c r="I1684" s="5" t="s">
        <v>6751</v>
      </c>
      <c r="J1684" s="5" t="s">
        <v>6752</v>
      </c>
      <c r="K1684" s="5"/>
      <c r="L1684" s="2" t="s">
        <v>7</v>
      </c>
    </row>
    <row r="1685" spans="1:12" ht="15" customHeight="1" x14ac:dyDescent="0.25">
      <c r="A1685" s="1" t="s">
        <v>2590</v>
      </c>
      <c r="B1685" s="1">
        <v>27</v>
      </c>
      <c r="C1685" s="1" t="s">
        <v>7706</v>
      </c>
      <c r="D1685" s="21">
        <v>62</v>
      </c>
      <c r="E1685" s="9" t="s">
        <v>9002</v>
      </c>
      <c r="F1685" s="24">
        <v>21</v>
      </c>
      <c r="G1685" s="5" t="s">
        <v>6753</v>
      </c>
      <c r="H1685" s="5" t="s">
        <v>6754</v>
      </c>
      <c r="I1685" s="5" t="s">
        <v>6755</v>
      </c>
      <c r="J1685" s="5" t="s">
        <v>6756</v>
      </c>
      <c r="K1685" s="5"/>
      <c r="L1685" s="2" t="s">
        <v>7</v>
      </c>
    </row>
    <row r="1686" spans="1:12" ht="15" customHeight="1" x14ac:dyDescent="0.25">
      <c r="A1686" s="1" t="s">
        <v>2590</v>
      </c>
      <c r="B1686" s="1">
        <v>9</v>
      </c>
      <c r="C1686" s="1" t="s">
        <v>8378</v>
      </c>
      <c r="D1686" s="21">
        <v>62</v>
      </c>
      <c r="E1686" s="9" t="s">
        <v>9002</v>
      </c>
      <c r="F1686" s="24">
        <v>23</v>
      </c>
      <c r="G1686" s="5" t="s">
        <v>6757</v>
      </c>
      <c r="H1686" s="5" t="s">
        <v>6758</v>
      </c>
      <c r="I1686" s="5" t="s">
        <v>6759</v>
      </c>
      <c r="J1686" s="5" t="s">
        <v>6760</v>
      </c>
      <c r="K1686" s="5"/>
      <c r="L1686" s="2" t="s">
        <v>7</v>
      </c>
    </row>
    <row r="1687" spans="1:12" ht="15" customHeight="1" x14ac:dyDescent="0.25">
      <c r="A1687" s="1" t="s">
        <v>2590</v>
      </c>
      <c r="B1687" s="1">
        <v>9</v>
      </c>
      <c r="C1687" s="1" t="s">
        <v>8378</v>
      </c>
      <c r="D1687" s="21">
        <v>62</v>
      </c>
      <c r="E1687" s="9" t="s">
        <v>9002</v>
      </c>
      <c r="F1687" s="24">
        <v>24</v>
      </c>
      <c r="G1687" s="5" t="s">
        <v>6761</v>
      </c>
      <c r="H1687" s="5" t="s">
        <v>6762</v>
      </c>
      <c r="I1687" s="5" t="s">
        <v>6763</v>
      </c>
      <c r="J1687" s="5" t="s">
        <v>6764</v>
      </c>
      <c r="K1687" s="5"/>
      <c r="L1687" s="2" t="s">
        <v>7</v>
      </c>
    </row>
    <row r="1688" spans="1:12" ht="15" customHeight="1" x14ac:dyDescent="0.25">
      <c r="A1688" s="1" t="s">
        <v>2590</v>
      </c>
      <c r="B1688" s="1">
        <v>9</v>
      </c>
      <c r="C1688" s="1" t="s">
        <v>8378</v>
      </c>
      <c r="D1688" s="21">
        <v>62</v>
      </c>
      <c r="E1688" s="9" t="s">
        <v>9002</v>
      </c>
      <c r="F1688" s="24">
        <v>25</v>
      </c>
      <c r="G1688" s="5" t="s">
        <v>6765</v>
      </c>
      <c r="H1688" s="5" t="s">
        <v>6766</v>
      </c>
      <c r="I1688" s="5" t="s">
        <v>6767</v>
      </c>
      <c r="J1688" s="5" t="s">
        <v>6768</v>
      </c>
      <c r="K1688" s="5"/>
      <c r="L1688" s="2" t="s">
        <v>9</v>
      </c>
    </row>
    <row r="1689" spans="1:12" ht="15" customHeight="1" x14ac:dyDescent="0.25">
      <c r="A1689" s="1" t="s">
        <v>2590</v>
      </c>
      <c r="B1689" s="1">
        <v>11</v>
      </c>
      <c r="C1689" s="1" t="s">
        <v>3187</v>
      </c>
      <c r="D1689" s="21">
        <v>62</v>
      </c>
      <c r="E1689" s="9" t="s">
        <v>9002</v>
      </c>
      <c r="F1689" s="24">
        <v>27</v>
      </c>
      <c r="G1689" s="5" t="s">
        <v>6769</v>
      </c>
      <c r="H1689" s="5" t="s">
        <v>6770</v>
      </c>
      <c r="I1689" s="5" t="s">
        <v>6771</v>
      </c>
      <c r="J1689" s="5" t="s">
        <v>6772</v>
      </c>
      <c r="K1689" s="5"/>
      <c r="L1689" s="2" t="s">
        <v>8</v>
      </c>
    </row>
    <row r="1690" spans="1:12" ht="15" customHeight="1" x14ac:dyDescent="0.25">
      <c r="A1690" s="1" t="s">
        <v>2590</v>
      </c>
      <c r="B1690" s="1">
        <v>11</v>
      </c>
      <c r="C1690" s="1" t="s">
        <v>3187</v>
      </c>
      <c r="D1690" s="21">
        <v>62</v>
      </c>
      <c r="E1690" s="9" t="s">
        <v>9002</v>
      </c>
      <c r="F1690" s="24">
        <v>28</v>
      </c>
      <c r="G1690" s="5" t="s">
        <v>6773</v>
      </c>
      <c r="H1690" s="5" t="s">
        <v>6774</v>
      </c>
      <c r="I1690" s="5" t="s">
        <v>6775</v>
      </c>
      <c r="J1690" s="5" t="s">
        <v>6776</v>
      </c>
      <c r="K1690" s="5"/>
      <c r="L1690" s="2" t="s">
        <v>8</v>
      </c>
    </row>
    <row r="1691" spans="1:12" ht="15" customHeight="1" x14ac:dyDescent="0.25">
      <c r="A1691" s="1" t="s">
        <v>2590</v>
      </c>
      <c r="B1691" s="1">
        <v>11</v>
      </c>
      <c r="C1691" s="1" t="s">
        <v>3187</v>
      </c>
      <c r="D1691" s="21">
        <v>62</v>
      </c>
      <c r="E1691" s="9" t="s">
        <v>9002</v>
      </c>
      <c r="F1691" s="24">
        <v>29</v>
      </c>
      <c r="G1691" s="5" t="s">
        <v>6777</v>
      </c>
      <c r="H1691" s="5" t="s">
        <v>6778</v>
      </c>
      <c r="I1691" s="5" t="s">
        <v>6779</v>
      </c>
      <c r="J1691" s="5" t="s">
        <v>6780</v>
      </c>
      <c r="K1691" s="5"/>
      <c r="L1691" s="2" t="s">
        <v>9</v>
      </c>
    </row>
    <row r="1692" spans="1:12" ht="15" customHeight="1" x14ac:dyDescent="0.25">
      <c r="A1692" s="1" t="s">
        <v>2590</v>
      </c>
      <c r="B1692" s="1">
        <v>11</v>
      </c>
      <c r="C1692" s="1" t="s">
        <v>3187</v>
      </c>
      <c r="D1692" s="21">
        <v>62</v>
      </c>
      <c r="E1692" s="9" t="s">
        <v>9002</v>
      </c>
      <c r="F1692" s="24">
        <v>30</v>
      </c>
      <c r="G1692" s="5" t="s">
        <v>6781</v>
      </c>
      <c r="H1692" s="5" t="s">
        <v>6782</v>
      </c>
      <c r="I1692" s="5" t="s">
        <v>6783</v>
      </c>
      <c r="J1692" s="5" t="s">
        <v>6784</v>
      </c>
      <c r="K1692" s="5"/>
      <c r="L1692" s="2" t="s">
        <v>8</v>
      </c>
    </row>
    <row r="1693" spans="1:12" ht="15" customHeight="1" x14ac:dyDescent="0.25">
      <c r="A1693" s="1" t="s">
        <v>2590</v>
      </c>
      <c r="B1693" s="1">
        <v>12</v>
      </c>
      <c r="C1693" s="1" t="s">
        <v>3352</v>
      </c>
      <c r="D1693" s="21">
        <v>62</v>
      </c>
      <c r="E1693" s="9" t="s">
        <v>9002</v>
      </c>
      <c r="F1693" s="24">
        <v>31</v>
      </c>
      <c r="G1693" s="5" t="s">
        <v>6785</v>
      </c>
      <c r="H1693" s="5" t="s">
        <v>6786</v>
      </c>
      <c r="I1693" s="5" t="s">
        <v>6787</v>
      </c>
      <c r="J1693" s="5" t="s">
        <v>6788</v>
      </c>
      <c r="K1693" s="5"/>
      <c r="L1693" s="2" t="s">
        <v>7</v>
      </c>
    </row>
    <row r="1694" spans="1:12" ht="15" customHeight="1" x14ac:dyDescent="0.25">
      <c r="A1694" s="1" t="s">
        <v>2590</v>
      </c>
      <c r="B1694" s="1">
        <v>12</v>
      </c>
      <c r="C1694" s="1" t="s">
        <v>3352</v>
      </c>
      <c r="D1694" s="21">
        <v>62</v>
      </c>
      <c r="E1694" s="9" t="s">
        <v>9002</v>
      </c>
      <c r="F1694" s="24">
        <v>32</v>
      </c>
      <c r="G1694" s="5" t="s">
        <v>6789</v>
      </c>
      <c r="H1694" s="5" t="s">
        <v>6790</v>
      </c>
      <c r="I1694" s="5" t="s">
        <v>6791</v>
      </c>
      <c r="J1694" s="5" t="s">
        <v>6792</v>
      </c>
      <c r="K1694" s="5"/>
      <c r="L1694" s="2" t="s">
        <v>9</v>
      </c>
    </row>
    <row r="1695" spans="1:12" ht="15" customHeight="1" x14ac:dyDescent="0.25">
      <c r="A1695" s="1" t="s">
        <v>2590</v>
      </c>
      <c r="B1695" s="1">
        <v>12</v>
      </c>
      <c r="C1695" s="1" t="s">
        <v>3352</v>
      </c>
      <c r="D1695" s="21">
        <v>62</v>
      </c>
      <c r="E1695" s="9" t="s">
        <v>9002</v>
      </c>
      <c r="F1695" s="24">
        <v>33</v>
      </c>
      <c r="G1695" s="5" t="s">
        <v>6793</v>
      </c>
      <c r="H1695" s="5" t="s">
        <v>3919</v>
      </c>
      <c r="I1695" s="5" t="s">
        <v>3920</v>
      </c>
      <c r="J1695" s="5" t="s">
        <v>6794</v>
      </c>
      <c r="K1695" s="5"/>
      <c r="L1695" s="2" t="s">
        <v>8</v>
      </c>
    </row>
    <row r="1696" spans="1:12" ht="15" customHeight="1" x14ac:dyDescent="0.25">
      <c r="A1696" s="1" t="s">
        <v>2590</v>
      </c>
      <c r="B1696" s="1">
        <v>12</v>
      </c>
      <c r="C1696" s="1" t="s">
        <v>3352</v>
      </c>
      <c r="D1696" s="21">
        <v>62</v>
      </c>
      <c r="E1696" s="9" t="s">
        <v>9002</v>
      </c>
      <c r="F1696" s="24">
        <v>34</v>
      </c>
      <c r="G1696" s="5" t="s">
        <v>6795</v>
      </c>
      <c r="H1696" s="5" t="s">
        <v>6796</v>
      </c>
      <c r="I1696" s="5" t="s">
        <v>6797</v>
      </c>
      <c r="J1696" s="5" t="s">
        <v>6798</v>
      </c>
      <c r="K1696" s="5"/>
      <c r="L1696" s="2" t="s">
        <v>8</v>
      </c>
    </row>
    <row r="1697" spans="1:12" ht="15" customHeight="1" x14ac:dyDescent="0.25">
      <c r="A1697" s="1" t="s">
        <v>2590</v>
      </c>
      <c r="B1697" s="1">
        <v>13</v>
      </c>
      <c r="C1697" s="1" t="s">
        <v>4093</v>
      </c>
      <c r="D1697" s="21">
        <v>62</v>
      </c>
      <c r="E1697" s="9" t="s">
        <v>9002</v>
      </c>
      <c r="F1697" s="24">
        <v>35</v>
      </c>
      <c r="G1697" s="5" t="s">
        <v>6799</v>
      </c>
      <c r="H1697" s="5" t="s">
        <v>6800</v>
      </c>
      <c r="I1697" s="5" t="s">
        <v>6801</v>
      </c>
      <c r="J1697" s="5" t="s">
        <v>6802</v>
      </c>
      <c r="K1697" s="5"/>
      <c r="L1697" s="2" t="s">
        <v>9</v>
      </c>
    </row>
    <row r="1698" spans="1:12" ht="15" customHeight="1" x14ac:dyDescent="0.25">
      <c r="A1698" s="1" t="s">
        <v>2590</v>
      </c>
      <c r="B1698" s="1">
        <v>13</v>
      </c>
      <c r="C1698" s="1" t="s">
        <v>4093</v>
      </c>
      <c r="D1698" s="21">
        <v>62</v>
      </c>
      <c r="E1698" s="9" t="s">
        <v>9002</v>
      </c>
      <c r="F1698" s="24">
        <v>36</v>
      </c>
      <c r="G1698" s="5" t="s">
        <v>6803</v>
      </c>
      <c r="H1698" s="5" t="s">
        <v>6804</v>
      </c>
      <c r="I1698" s="5" t="s">
        <v>6805</v>
      </c>
      <c r="J1698" s="5" t="s">
        <v>6806</v>
      </c>
      <c r="K1698" s="5"/>
      <c r="L1698" s="2" t="s">
        <v>8</v>
      </c>
    </row>
    <row r="1699" spans="1:12" ht="15" customHeight="1" x14ac:dyDescent="0.25">
      <c r="A1699" s="1" t="s">
        <v>2590</v>
      </c>
      <c r="B1699" s="1">
        <v>14</v>
      </c>
      <c r="C1699" s="1" t="s">
        <v>4241</v>
      </c>
      <c r="D1699" s="21">
        <v>62</v>
      </c>
      <c r="E1699" s="9" t="s">
        <v>9002</v>
      </c>
      <c r="F1699" s="24">
        <v>37</v>
      </c>
      <c r="G1699" s="5" t="s">
        <v>6807</v>
      </c>
      <c r="H1699" s="5" t="s">
        <v>6808</v>
      </c>
      <c r="I1699" s="5" t="s">
        <v>6809</v>
      </c>
      <c r="J1699" s="5" t="s">
        <v>6810</v>
      </c>
      <c r="K1699" s="5"/>
      <c r="L1699" s="2" t="s">
        <v>7</v>
      </c>
    </row>
    <row r="1700" spans="1:12" ht="15" customHeight="1" x14ac:dyDescent="0.25">
      <c r="A1700" s="1" t="s">
        <v>2590</v>
      </c>
      <c r="B1700" s="1">
        <v>14</v>
      </c>
      <c r="C1700" s="1" t="s">
        <v>4241</v>
      </c>
      <c r="D1700" s="21">
        <v>62</v>
      </c>
      <c r="E1700" s="9" t="s">
        <v>9002</v>
      </c>
      <c r="F1700" s="24">
        <v>38</v>
      </c>
      <c r="G1700" s="5" t="s">
        <v>6811</v>
      </c>
      <c r="H1700" s="5" t="s">
        <v>6812</v>
      </c>
      <c r="I1700" s="5" t="s">
        <v>6813</v>
      </c>
      <c r="J1700" s="5" t="s">
        <v>6814</v>
      </c>
      <c r="K1700" s="5"/>
      <c r="L1700" s="2" t="s">
        <v>9</v>
      </c>
    </row>
    <row r="1701" spans="1:12" ht="15" customHeight="1" x14ac:dyDescent="0.25">
      <c r="A1701" s="1" t="s">
        <v>2590</v>
      </c>
      <c r="B1701" s="1">
        <v>27</v>
      </c>
      <c r="C1701" s="1" t="s">
        <v>7706</v>
      </c>
      <c r="D1701" s="21">
        <v>62</v>
      </c>
      <c r="E1701" s="9" t="s">
        <v>9002</v>
      </c>
      <c r="F1701" s="24">
        <v>39</v>
      </c>
      <c r="G1701" s="5" t="s">
        <v>6815</v>
      </c>
      <c r="H1701" s="5" t="s">
        <v>6816</v>
      </c>
      <c r="I1701" s="5" t="s">
        <v>6817</v>
      </c>
      <c r="J1701" s="5" t="s">
        <v>6818</v>
      </c>
      <c r="K1701" s="5"/>
      <c r="L1701" s="2" t="s">
        <v>8</v>
      </c>
    </row>
    <row r="1702" spans="1:12" ht="15" customHeight="1" x14ac:dyDescent="0.25">
      <c r="A1702" s="1" t="s">
        <v>2590</v>
      </c>
      <c r="B1702" s="1">
        <v>27</v>
      </c>
      <c r="C1702" s="1" t="s">
        <v>7706</v>
      </c>
      <c r="D1702" s="21">
        <v>62</v>
      </c>
      <c r="E1702" s="9" t="s">
        <v>9002</v>
      </c>
      <c r="F1702" s="24">
        <v>40</v>
      </c>
      <c r="G1702" s="5" t="s">
        <v>6819</v>
      </c>
      <c r="H1702" s="5" t="s">
        <v>6820</v>
      </c>
      <c r="I1702" s="5" t="s">
        <v>6821</v>
      </c>
      <c r="J1702" s="5" t="s">
        <v>6822</v>
      </c>
      <c r="K1702" s="5"/>
      <c r="L1702" s="2" t="s">
        <v>9</v>
      </c>
    </row>
    <row r="1703" spans="1:12" ht="15" customHeight="1" x14ac:dyDescent="0.25">
      <c r="A1703" s="1" t="s">
        <v>2590</v>
      </c>
      <c r="B1703" s="1">
        <v>10</v>
      </c>
      <c r="C1703" s="1" t="s">
        <v>2591</v>
      </c>
      <c r="D1703" s="21">
        <v>62</v>
      </c>
      <c r="E1703" s="9" t="s">
        <v>9002</v>
      </c>
      <c r="F1703" s="24">
        <v>41</v>
      </c>
      <c r="G1703" s="5" t="s">
        <v>6823</v>
      </c>
      <c r="H1703" s="5" t="s">
        <v>6824</v>
      </c>
      <c r="I1703" s="5" t="s">
        <v>6825</v>
      </c>
      <c r="J1703" s="5" t="s">
        <v>6826</v>
      </c>
      <c r="K1703" s="5"/>
      <c r="L1703" s="2" t="s">
        <v>7</v>
      </c>
    </row>
    <row r="1704" spans="1:12" ht="15" customHeight="1" x14ac:dyDescent="0.25">
      <c r="A1704" s="1" t="s">
        <v>2590</v>
      </c>
      <c r="B1704" s="1">
        <v>10</v>
      </c>
      <c r="C1704" s="1" t="s">
        <v>2591</v>
      </c>
      <c r="D1704" s="21">
        <v>62</v>
      </c>
      <c r="E1704" s="9" t="s">
        <v>9002</v>
      </c>
      <c r="F1704" s="24">
        <v>42</v>
      </c>
      <c r="G1704" s="5" t="s">
        <v>6827</v>
      </c>
      <c r="H1704" s="5" t="s">
        <v>6828</v>
      </c>
      <c r="I1704" s="5" t="s">
        <v>6829</v>
      </c>
      <c r="J1704" s="5" t="s">
        <v>6830</v>
      </c>
      <c r="K1704" s="5"/>
      <c r="L1704" s="2" t="s">
        <v>8</v>
      </c>
    </row>
    <row r="1705" spans="1:12" ht="15" customHeight="1" x14ac:dyDescent="0.25">
      <c r="A1705" s="1" t="s">
        <v>2590</v>
      </c>
      <c r="B1705" s="1">
        <v>10</v>
      </c>
      <c r="C1705" s="1" t="s">
        <v>2591</v>
      </c>
      <c r="D1705" s="21">
        <v>62</v>
      </c>
      <c r="E1705" s="9" t="s">
        <v>9002</v>
      </c>
      <c r="F1705" s="24">
        <v>43</v>
      </c>
      <c r="G1705" s="5" t="s">
        <v>6831</v>
      </c>
      <c r="H1705" s="5" t="s">
        <v>6832</v>
      </c>
      <c r="I1705" s="5" t="s">
        <v>6833</v>
      </c>
      <c r="J1705" s="5" t="s">
        <v>6834</v>
      </c>
      <c r="K1705" s="5"/>
      <c r="L1705" s="2" t="s">
        <v>7</v>
      </c>
    </row>
    <row r="1706" spans="1:12" ht="15" customHeight="1" x14ac:dyDescent="0.25">
      <c r="A1706" s="1" t="s">
        <v>2590</v>
      </c>
      <c r="B1706" s="1">
        <v>12</v>
      </c>
      <c r="C1706" s="1" t="s">
        <v>3352</v>
      </c>
      <c r="D1706" s="21">
        <v>62</v>
      </c>
      <c r="E1706" s="9" t="s">
        <v>9002</v>
      </c>
      <c r="F1706" s="24">
        <v>44</v>
      </c>
      <c r="G1706" s="5" t="s">
        <v>6835</v>
      </c>
      <c r="H1706" s="5" t="s">
        <v>6836</v>
      </c>
      <c r="I1706" s="5" t="s">
        <v>6837</v>
      </c>
      <c r="J1706" s="5" t="s">
        <v>6838</v>
      </c>
      <c r="K1706" s="5"/>
      <c r="L1706" s="2" t="s">
        <v>9</v>
      </c>
    </row>
    <row r="1707" spans="1:12" ht="15" customHeight="1" x14ac:dyDescent="0.25">
      <c r="A1707" s="1" t="s">
        <v>2590</v>
      </c>
      <c r="B1707" s="1">
        <v>18</v>
      </c>
      <c r="C1707" s="1" t="s">
        <v>5448</v>
      </c>
      <c r="D1707" s="21">
        <v>62</v>
      </c>
      <c r="E1707" s="9" t="s">
        <v>9002</v>
      </c>
      <c r="F1707" s="24">
        <v>45</v>
      </c>
      <c r="G1707" s="5" t="s">
        <v>6839</v>
      </c>
      <c r="H1707" s="5" t="s">
        <v>6840</v>
      </c>
      <c r="I1707" s="5" t="s">
        <v>6841</v>
      </c>
      <c r="J1707" s="5" t="s">
        <v>6842</v>
      </c>
      <c r="K1707" s="5"/>
      <c r="L1707" s="2" t="s">
        <v>7</v>
      </c>
    </row>
    <row r="1708" spans="1:12" ht="15" customHeight="1" x14ac:dyDescent="0.25">
      <c r="A1708" s="1" t="s">
        <v>2590</v>
      </c>
      <c r="B1708" s="1">
        <v>18</v>
      </c>
      <c r="C1708" s="1" t="s">
        <v>5448</v>
      </c>
      <c r="D1708" s="21">
        <v>62</v>
      </c>
      <c r="E1708" s="9" t="s">
        <v>9002</v>
      </c>
      <c r="F1708" s="24">
        <v>46</v>
      </c>
      <c r="G1708" s="5" t="s">
        <v>6843</v>
      </c>
      <c r="H1708" s="5" t="s">
        <v>6844</v>
      </c>
      <c r="I1708" s="5" t="s">
        <v>6845</v>
      </c>
      <c r="J1708" s="5" t="s">
        <v>6846</v>
      </c>
      <c r="K1708" s="5"/>
      <c r="L1708" s="2" t="s">
        <v>9</v>
      </c>
    </row>
    <row r="1709" spans="1:12" ht="15" customHeight="1" x14ac:dyDescent="0.25">
      <c r="A1709" s="1" t="s">
        <v>2590</v>
      </c>
      <c r="B1709">
        <f>_xlfn.XLOOKUP(C1709,Temas!C:C,Temas!B:B)</f>
        <v>25</v>
      </c>
      <c r="C1709" t="s">
        <v>9159</v>
      </c>
      <c r="D1709" s="21">
        <v>62</v>
      </c>
      <c r="E1709" s="9" t="s">
        <v>9002</v>
      </c>
      <c r="F1709" s="24">
        <v>47</v>
      </c>
      <c r="G1709" s="5" t="s">
        <v>6847</v>
      </c>
      <c r="H1709" s="5" t="s">
        <v>6848</v>
      </c>
      <c r="I1709" s="5" t="s">
        <v>6849</v>
      </c>
      <c r="J1709" s="5" t="s">
        <v>6850</v>
      </c>
      <c r="K1709" s="5"/>
      <c r="L1709" s="2" t="s">
        <v>8</v>
      </c>
    </row>
    <row r="1710" spans="1:12" ht="15" customHeight="1" x14ac:dyDescent="0.25">
      <c r="A1710" s="1" t="s">
        <v>2590</v>
      </c>
      <c r="B1710" s="1">
        <v>21</v>
      </c>
      <c r="C1710" s="1" t="s">
        <v>6151</v>
      </c>
      <c r="D1710" s="21">
        <v>62</v>
      </c>
      <c r="E1710" s="9" t="s">
        <v>9002</v>
      </c>
      <c r="F1710" s="24">
        <v>48</v>
      </c>
      <c r="G1710" s="5" t="s">
        <v>6851</v>
      </c>
      <c r="H1710" s="5" t="s">
        <v>6852</v>
      </c>
      <c r="I1710" s="5" t="s">
        <v>6853</v>
      </c>
      <c r="J1710" s="5" t="s">
        <v>6854</v>
      </c>
      <c r="K1710" s="5"/>
      <c r="L1710" s="2" t="s">
        <v>7</v>
      </c>
    </row>
    <row r="1711" spans="1:12" ht="15" customHeight="1" x14ac:dyDescent="0.25">
      <c r="A1711" s="1" t="s">
        <v>2590</v>
      </c>
      <c r="B1711" s="1">
        <v>10</v>
      </c>
      <c r="C1711" s="1" t="s">
        <v>2591</v>
      </c>
      <c r="D1711" s="21">
        <v>62</v>
      </c>
      <c r="E1711" s="9" t="s">
        <v>9002</v>
      </c>
      <c r="F1711" s="24">
        <v>49</v>
      </c>
      <c r="G1711" s="5" t="s">
        <v>6855</v>
      </c>
      <c r="H1711" s="5" t="s">
        <v>6856</v>
      </c>
      <c r="I1711" s="5" t="s">
        <v>6857</v>
      </c>
      <c r="J1711" s="5" t="s">
        <v>6858</v>
      </c>
      <c r="K1711" s="5"/>
      <c r="L1711" s="2" t="s">
        <v>7</v>
      </c>
    </row>
    <row r="1712" spans="1:12" ht="15" customHeight="1" x14ac:dyDescent="0.25">
      <c r="A1712" s="1" t="s">
        <v>2590</v>
      </c>
      <c r="B1712" s="1">
        <v>10</v>
      </c>
      <c r="C1712" s="1" t="s">
        <v>2591</v>
      </c>
      <c r="D1712" s="21">
        <v>62</v>
      </c>
      <c r="E1712" s="9" t="s">
        <v>9002</v>
      </c>
      <c r="F1712" s="24">
        <v>50</v>
      </c>
      <c r="G1712" s="5" t="s">
        <v>6859</v>
      </c>
      <c r="H1712" s="5" t="s">
        <v>6860</v>
      </c>
      <c r="I1712" s="5" t="s">
        <v>6861</v>
      </c>
      <c r="J1712" s="5" t="s">
        <v>6862</v>
      </c>
      <c r="K1712" s="5"/>
      <c r="L1712" s="2" t="s">
        <v>7</v>
      </c>
    </row>
    <row r="1713" spans="1:12" ht="15" customHeight="1" x14ac:dyDescent="0.25">
      <c r="A1713" s="1" t="s">
        <v>12</v>
      </c>
      <c r="B1713" s="1">
        <v>4</v>
      </c>
      <c r="C1713" s="1" t="s">
        <v>833</v>
      </c>
      <c r="D1713" s="21">
        <v>63</v>
      </c>
      <c r="E1713" s="9" t="s">
        <v>9001</v>
      </c>
      <c r="F1713" s="24">
        <v>1</v>
      </c>
      <c r="G1713" s="5" t="s">
        <v>6863</v>
      </c>
      <c r="H1713" s="5" t="s">
        <v>2557</v>
      </c>
      <c r="I1713" s="5" t="s">
        <v>2558</v>
      </c>
      <c r="J1713" s="5" t="s">
        <v>2353</v>
      </c>
      <c r="K1713" s="5"/>
      <c r="L1713" s="2" t="s">
        <v>9</v>
      </c>
    </row>
    <row r="1714" spans="1:12" ht="15" customHeight="1" x14ac:dyDescent="0.25">
      <c r="A1714" s="1" t="s">
        <v>12</v>
      </c>
      <c r="B1714" s="1">
        <v>5</v>
      </c>
      <c r="C1714" s="1" t="s">
        <v>1111</v>
      </c>
      <c r="D1714" s="21">
        <v>63</v>
      </c>
      <c r="E1714" s="9" t="s">
        <v>9001</v>
      </c>
      <c r="F1714" s="24">
        <v>8</v>
      </c>
      <c r="G1714" s="5" t="s">
        <v>6864</v>
      </c>
      <c r="H1714" s="5" t="s">
        <v>937</v>
      </c>
      <c r="I1714" s="5" t="s">
        <v>938</v>
      </c>
      <c r="J1714" s="5" t="s">
        <v>1171</v>
      </c>
      <c r="K1714" s="5"/>
      <c r="L1714" s="2" t="s">
        <v>8</v>
      </c>
    </row>
    <row r="1715" spans="1:12" ht="15" customHeight="1" x14ac:dyDescent="0.25">
      <c r="A1715" s="1" t="s">
        <v>12</v>
      </c>
      <c r="B1715" s="1">
        <v>2</v>
      </c>
      <c r="C1715" s="1" t="s">
        <v>398</v>
      </c>
      <c r="D1715" s="21">
        <v>63</v>
      </c>
      <c r="E1715" s="9" t="s">
        <v>9001</v>
      </c>
      <c r="F1715" s="24">
        <v>9</v>
      </c>
      <c r="G1715" s="5" t="s">
        <v>2576</v>
      </c>
      <c r="H1715" s="5" t="s">
        <v>2577</v>
      </c>
      <c r="I1715" s="5" t="s">
        <v>2578</v>
      </c>
      <c r="J1715" s="5" t="s">
        <v>2579</v>
      </c>
      <c r="K1715" s="5"/>
      <c r="L1715" s="2" t="s">
        <v>8</v>
      </c>
    </row>
    <row r="1716" spans="1:12" ht="15" customHeight="1" x14ac:dyDescent="0.25">
      <c r="A1716" s="1" t="s">
        <v>2590</v>
      </c>
      <c r="B1716" s="1">
        <v>12</v>
      </c>
      <c r="C1716" s="1" t="s">
        <v>3352</v>
      </c>
      <c r="D1716" s="21">
        <v>63</v>
      </c>
      <c r="E1716" s="9" t="s">
        <v>9001</v>
      </c>
      <c r="F1716" s="24">
        <v>11</v>
      </c>
      <c r="G1716" s="5" t="s">
        <v>6865</v>
      </c>
      <c r="H1716" s="5" t="s">
        <v>6866</v>
      </c>
      <c r="I1716" s="5" t="s">
        <v>6867</v>
      </c>
      <c r="J1716" s="5" t="s">
        <v>6868</v>
      </c>
      <c r="K1716" s="5"/>
      <c r="L1716" s="2" t="s">
        <v>8</v>
      </c>
    </row>
    <row r="1717" spans="1:12" ht="15" customHeight="1" x14ac:dyDescent="0.25">
      <c r="A1717" s="1" t="s">
        <v>2590</v>
      </c>
      <c r="B1717" s="1">
        <v>12</v>
      </c>
      <c r="C1717" s="1" t="s">
        <v>3352</v>
      </c>
      <c r="D1717" s="21">
        <v>63</v>
      </c>
      <c r="E1717" s="9" t="s">
        <v>9001</v>
      </c>
      <c r="F1717" s="24">
        <v>12</v>
      </c>
      <c r="G1717" s="5" t="s">
        <v>6869</v>
      </c>
      <c r="H1717" s="5" t="s">
        <v>6870</v>
      </c>
      <c r="I1717" s="5" t="s">
        <v>6871</v>
      </c>
      <c r="J1717" s="5" t="s">
        <v>3719</v>
      </c>
      <c r="K1717" s="5"/>
      <c r="L1717" s="2" t="s">
        <v>7</v>
      </c>
    </row>
    <row r="1718" spans="1:12" ht="15" customHeight="1" x14ac:dyDescent="0.25">
      <c r="A1718" s="1" t="s">
        <v>2590</v>
      </c>
      <c r="B1718" s="1">
        <v>12</v>
      </c>
      <c r="C1718" s="1" t="s">
        <v>3352</v>
      </c>
      <c r="D1718" s="21">
        <v>63</v>
      </c>
      <c r="E1718" s="9" t="s">
        <v>9001</v>
      </c>
      <c r="F1718" s="24">
        <v>13</v>
      </c>
      <c r="G1718" s="5" t="s">
        <v>6872</v>
      </c>
      <c r="H1718" s="5" t="s">
        <v>6873</v>
      </c>
      <c r="I1718" s="5" t="s">
        <v>6874</v>
      </c>
      <c r="J1718" s="5" t="s">
        <v>6875</v>
      </c>
      <c r="K1718" s="5"/>
      <c r="L1718" s="2" t="s">
        <v>9</v>
      </c>
    </row>
    <row r="1719" spans="1:12" ht="15" customHeight="1" x14ac:dyDescent="0.25">
      <c r="A1719" s="1" t="s">
        <v>2590</v>
      </c>
      <c r="B1719" s="1">
        <v>13</v>
      </c>
      <c r="C1719" s="1" t="s">
        <v>4093</v>
      </c>
      <c r="D1719" s="21">
        <v>63</v>
      </c>
      <c r="E1719" s="9" t="s">
        <v>9001</v>
      </c>
      <c r="F1719" s="24">
        <v>14</v>
      </c>
      <c r="G1719" s="5" t="s">
        <v>6876</v>
      </c>
      <c r="H1719" s="5" t="s">
        <v>6877</v>
      </c>
      <c r="I1719" s="5" t="s">
        <v>6878</v>
      </c>
      <c r="J1719" s="5" t="s">
        <v>6879</v>
      </c>
      <c r="K1719" s="5"/>
      <c r="L1719" s="2" t="s">
        <v>7</v>
      </c>
    </row>
    <row r="1720" spans="1:12" ht="15" customHeight="1" x14ac:dyDescent="0.25">
      <c r="A1720" s="1" t="s">
        <v>2590</v>
      </c>
      <c r="B1720" s="1">
        <v>13</v>
      </c>
      <c r="C1720" s="1" t="s">
        <v>4093</v>
      </c>
      <c r="D1720" s="21">
        <v>63</v>
      </c>
      <c r="E1720" s="9" t="s">
        <v>9001</v>
      </c>
      <c r="F1720" s="24">
        <v>15</v>
      </c>
      <c r="G1720" s="5" t="s">
        <v>6880</v>
      </c>
      <c r="H1720" s="5" t="s">
        <v>6881</v>
      </c>
      <c r="I1720" s="5" t="s">
        <v>6882</v>
      </c>
      <c r="J1720" s="5" t="s">
        <v>6883</v>
      </c>
      <c r="K1720" s="5"/>
      <c r="L1720" s="2" t="s">
        <v>9</v>
      </c>
    </row>
    <row r="1721" spans="1:12" ht="15" customHeight="1" x14ac:dyDescent="0.25">
      <c r="A1721" s="1" t="s">
        <v>2590</v>
      </c>
      <c r="B1721" s="1">
        <v>13</v>
      </c>
      <c r="C1721" s="1" t="s">
        <v>4093</v>
      </c>
      <c r="D1721" s="21">
        <v>63</v>
      </c>
      <c r="E1721" s="9" t="s">
        <v>9001</v>
      </c>
      <c r="F1721" s="24">
        <v>16</v>
      </c>
      <c r="G1721" s="5" t="s">
        <v>6884</v>
      </c>
      <c r="H1721" s="5" t="s">
        <v>6885</v>
      </c>
      <c r="I1721" s="5" t="s">
        <v>6886</v>
      </c>
      <c r="J1721" s="5" t="s">
        <v>6887</v>
      </c>
      <c r="K1721" s="5"/>
      <c r="L1721" s="2" t="s">
        <v>7</v>
      </c>
    </row>
    <row r="1722" spans="1:12" ht="15" customHeight="1" x14ac:dyDescent="0.25">
      <c r="A1722" s="1" t="s">
        <v>2590</v>
      </c>
      <c r="B1722" s="1">
        <v>14</v>
      </c>
      <c r="C1722" s="1" t="s">
        <v>4241</v>
      </c>
      <c r="D1722" s="21">
        <v>63</v>
      </c>
      <c r="E1722" s="9" t="s">
        <v>9001</v>
      </c>
      <c r="F1722" s="24">
        <v>17</v>
      </c>
      <c r="G1722" s="5" t="s">
        <v>6888</v>
      </c>
      <c r="H1722" s="5" t="s">
        <v>6889</v>
      </c>
      <c r="I1722" s="5" t="s">
        <v>6890</v>
      </c>
      <c r="J1722" s="5" t="s">
        <v>789</v>
      </c>
      <c r="K1722" s="5"/>
      <c r="L1722" s="2" t="s">
        <v>9</v>
      </c>
    </row>
    <row r="1723" spans="1:12" ht="15" customHeight="1" x14ac:dyDescent="0.25">
      <c r="A1723" s="1" t="s">
        <v>2590</v>
      </c>
      <c r="B1723" s="1">
        <v>26</v>
      </c>
      <c r="C1723" s="1" t="s">
        <v>7671</v>
      </c>
      <c r="D1723" s="21">
        <v>63</v>
      </c>
      <c r="E1723" s="9" t="s">
        <v>9001</v>
      </c>
      <c r="F1723" s="24">
        <v>18</v>
      </c>
      <c r="G1723" s="5" t="s">
        <v>6891</v>
      </c>
      <c r="H1723" s="5" t="s">
        <v>6892</v>
      </c>
      <c r="I1723" s="5" t="s">
        <v>6893</v>
      </c>
      <c r="J1723" s="5" t="s">
        <v>766</v>
      </c>
      <c r="K1723" s="5"/>
      <c r="L1723" s="2" t="s">
        <v>7</v>
      </c>
    </row>
    <row r="1724" spans="1:12" ht="15" customHeight="1" x14ac:dyDescent="0.25">
      <c r="A1724" s="1" t="s">
        <v>2590</v>
      </c>
      <c r="B1724" s="1">
        <v>27</v>
      </c>
      <c r="C1724" s="1" t="s">
        <v>7706</v>
      </c>
      <c r="D1724" s="21">
        <v>63</v>
      </c>
      <c r="E1724" s="9" t="s">
        <v>9001</v>
      </c>
      <c r="F1724" s="24">
        <v>19</v>
      </c>
      <c r="G1724" s="5" t="s">
        <v>6894</v>
      </c>
      <c r="H1724" s="5" t="s">
        <v>6895</v>
      </c>
      <c r="I1724" s="5" t="s">
        <v>6896</v>
      </c>
      <c r="J1724" s="5" t="s">
        <v>6897</v>
      </c>
      <c r="K1724" s="5"/>
      <c r="L1724" s="2" t="s">
        <v>9</v>
      </c>
    </row>
    <row r="1725" spans="1:12" ht="15" customHeight="1" x14ac:dyDescent="0.25">
      <c r="A1725" s="1" t="s">
        <v>2590</v>
      </c>
      <c r="B1725" s="1">
        <v>27</v>
      </c>
      <c r="C1725" s="1" t="s">
        <v>7706</v>
      </c>
      <c r="D1725" s="21">
        <v>63</v>
      </c>
      <c r="E1725" s="9" t="s">
        <v>9001</v>
      </c>
      <c r="F1725" s="24">
        <v>21</v>
      </c>
      <c r="G1725" s="5" t="s">
        <v>6898</v>
      </c>
      <c r="H1725" s="5" t="s">
        <v>6899</v>
      </c>
      <c r="I1725" s="5" t="s">
        <v>6900</v>
      </c>
      <c r="J1725" s="5" t="s">
        <v>6901</v>
      </c>
      <c r="K1725" s="5"/>
      <c r="L1725" s="2" t="s">
        <v>9</v>
      </c>
    </row>
    <row r="1726" spans="1:12" ht="15" customHeight="1" x14ac:dyDescent="0.25">
      <c r="A1726" s="1" t="s">
        <v>2590</v>
      </c>
      <c r="B1726" s="1">
        <v>10</v>
      </c>
      <c r="C1726" s="1" t="s">
        <v>2591</v>
      </c>
      <c r="D1726" s="21">
        <v>63</v>
      </c>
      <c r="E1726" s="9" t="s">
        <v>9001</v>
      </c>
      <c r="F1726" s="24">
        <v>22</v>
      </c>
      <c r="G1726" s="5" t="s">
        <v>6902</v>
      </c>
      <c r="H1726" s="5" t="s">
        <v>6903</v>
      </c>
      <c r="I1726" s="5" t="s">
        <v>6904</v>
      </c>
      <c r="J1726" s="5" t="s">
        <v>6905</v>
      </c>
      <c r="K1726" s="5"/>
      <c r="L1726" s="2" t="s">
        <v>8</v>
      </c>
    </row>
    <row r="1727" spans="1:12" ht="15" customHeight="1" x14ac:dyDescent="0.25">
      <c r="A1727" s="1" t="s">
        <v>2590</v>
      </c>
      <c r="B1727" s="1">
        <v>10</v>
      </c>
      <c r="C1727" s="1" t="s">
        <v>2591</v>
      </c>
      <c r="D1727" s="21">
        <v>63</v>
      </c>
      <c r="E1727" s="9" t="s">
        <v>9001</v>
      </c>
      <c r="F1727" s="24">
        <v>23</v>
      </c>
      <c r="G1727" s="5" t="s">
        <v>6906</v>
      </c>
      <c r="H1727" s="5" t="s">
        <v>6907</v>
      </c>
      <c r="I1727" s="5" t="s">
        <v>6908</v>
      </c>
      <c r="J1727" s="5" t="s">
        <v>6909</v>
      </c>
      <c r="K1727" s="5"/>
      <c r="L1727" s="2" t="s">
        <v>9</v>
      </c>
    </row>
    <row r="1728" spans="1:12" ht="15" customHeight="1" x14ac:dyDescent="0.25">
      <c r="A1728" s="1" t="s">
        <v>2590</v>
      </c>
      <c r="B1728" s="1">
        <v>18</v>
      </c>
      <c r="C1728" s="1" t="s">
        <v>5448</v>
      </c>
      <c r="D1728" s="21">
        <v>63</v>
      </c>
      <c r="E1728" s="9" t="s">
        <v>9001</v>
      </c>
      <c r="F1728" s="24">
        <v>25</v>
      </c>
      <c r="G1728" s="5" t="s">
        <v>6910</v>
      </c>
      <c r="H1728" s="5" t="s">
        <v>6911</v>
      </c>
      <c r="I1728" s="5" t="s">
        <v>6912</v>
      </c>
      <c r="J1728" s="5" t="s">
        <v>6913</v>
      </c>
      <c r="K1728" s="5"/>
      <c r="L1728" s="2" t="s">
        <v>7</v>
      </c>
    </row>
    <row r="1729" spans="1:12" ht="15" customHeight="1" x14ac:dyDescent="0.25">
      <c r="A1729" s="1" t="s">
        <v>2590</v>
      </c>
      <c r="B1729" s="1">
        <v>10</v>
      </c>
      <c r="C1729" s="1" t="s">
        <v>2591</v>
      </c>
      <c r="D1729" s="21">
        <v>63</v>
      </c>
      <c r="E1729" s="9" t="s">
        <v>9001</v>
      </c>
      <c r="F1729" s="24">
        <v>26</v>
      </c>
      <c r="G1729" s="5" t="s">
        <v>6914</v>
      </c>
      <c r="H1729" s="5" t="s">
        <v>6915</v>
      </c>
      <c r="I1729" s="5" t="s">
        <v>6916</v>
      </c>
      <c r="J1729" s="5" t="s">
        <v>6917</v>
      </c>
      <c r="K1729" s="5"/>
      <c r="L1729" s="2" t="s">
        <v>8</v>
      </c>
    </row>
    <row r="1730" spans="1:12" ht="15" customHeight="1" x14ac:dyDescent="0.25">
      <c r="A1730" s="1" t="s">
        <v>2590</v>
      </c>
      <c r="B1730" s="1">
        <v>9</v>
      </c>
      <c r="C1730" s="1" t="s">
        <v>8378</v>
      </c>
      <c r="D1730" s="21">
        <v>63</v>
      </c>
      <c r="E1730" s="9" t="s">
        <v>9001</v>
      </c>
      <c r="F1730" s="24">
        <v>29</v>
      </c>
      <c r="G1730" s="5" t="s">
        <v>6918</v>
      </c>
      <c r="H1730" s="5" t="s">
        <v>6919</v>
      </c>
      <c r="I1730" s="5" t="s">
        <v>6586</v>
      </c>
      <c r="J1730" s="5" t="s">
        <v>6920</v>
      </c>
      <c r="K1730" s="5"/>
      <c r="L1730" s="2" t="s">
        <v>7</v>
      </c>
    </row>
    <row r="1731" spans="1:12" ht="15" customHeight="1" x14ac:dyDescent="0.25">
      <c r="A1731" s="1" t="s">
        <v>2590</v>
      </c>
      <c r="B1731" s="1">
        <v>9</v>
      </c>
      <c r="C1731" s="1" t="s">
        <v>8378</v>
      </c>
      <c r="D1731" s="21">
        <v>63</v>
      </c>
      <c r="E1731" s="9" t="s">
        <v>9001</v>
      </c>
      <c r="F1731" s="24">
        <v>30</v>
      </c>
      <c r="G1731" s="5" t="s">
        <v>6921</v>
      </c>
      <c r="H1731" s="5" t="s">
        <v>6922</v>
      </c>
      <c r="I1731" s="5" t="s">
        <v>6923</v>
      </c>
      <c r="J1731" s="5" t="s">
        <v>6924</v>
      </c>
      <c r="K1731" s="5"/>
      <c r="L1731" s="2" t="s">
        <v>9</v>
      </c>
    </row>
    <row r="1732" spans="1:12" ht="15" customHeight="1" x14ac:dyDescent="0.25">
      <c r="A1732" s="1" t="s">
        <v>2590</v>
      </c>
      <c r="B1732" s="1">
        <v>17</v>
      </c>
      <c r="C1732" s="1" t="s">
        <v>5255</v>
      </c>
      <c r="D1732" s="21">
        <v>63</v>
      </c>
      <c r="E1732" s="9" t="s">
        <v>9001</v>
      </c>
      <c r="F1732" s="24">
        <v>31</v>
      </c>
      <c r="G1732" s="5" t="s">
        <v>6925</v>
      </c>
      <c r="H1732" s="5" t="s">
        <v>6926</v>
      </c>
      <c r="I1732" s="5" t="s">
        <v>6927</v>
      </c>
      <c r="J1732" s="5" t="s">
        <v>6928</v>
      </c>
      <c r="K1732" s="5"/>
      <c r="L1732" s="2" t="s">
        <v>8</v>
      </c>
    </row>
    <row r="1733" spans="1:12" ht="15" customHeight="1" x14ac:dyDescent="0.25">
      <c r="A1733" s="1" t="s">
        <v>2590</v>
      </c>
      <c r="B1733" s="1">
        <v>17</v>
      </c>
      <c r="C1733" s="1" t="s">
        <v>5255</v>
      </c>
      <c r="D1733" s="21">
        <v>63</v>
      </c>
      <c r="E1733" s="9" t="s">
        <v>9001</v>
      </c>
      <c r="F1733" s="24">
        <v>32</v>
      </c>
      <c r="G1733" s="5" t="s">
        <v>6929</v>
      </c>
      <c r="H1733" s="5" t="s">
        <v>6930</v>
      </c>
      <c r="I1733" s="5" t="s">
        <v>6931</v>
      </c>
      <c r="J1733" s="5" t="s">
        <v>6932</v>
      </c>
      <c r="K1733" s="5"/>
      <c r="L1733" s="2" t="s">
        <v>7</v>
      </c>
    </row>
    <row r="1734" spans="1:12" ht="15" customHeight="1" x14ac:dyDescent="0.25">
      <c r="A1734" s="1" t="s">
        <v>2590</v>
      </c>
      <c r="B1734">
        <f>_xlfn.XLOOKUP(C1734,Temas!C:C,Temas!B:B)</f>
        <v>25</v>
      </c>
      <c r="C1734" t="s">
        <v>9159</v>
      </c>
      <c r="D1734" s="21">
        <v>63</v>
      </c>
      <c r="E1734" s="9" t="s">
        <v>9001</v>
      </c>
      <c r="F1734" s="24">
        <v>33</v>
      </c>
      <c r="G1734" s="5" t="s">
        <v>6933</v>
      </c>
      <c r="H1734" s="5" t="s">
        <v>6934</v>
      </c>
      <c r="I1734" s="5" t="s">
        <v>6935</v>
      </c>
      <c r="J1734" s="5" t="s">
        <v>6936</v>
      </c>
      <c r="K1734" s="5"/>
      <c r="L1734" s="2" t="s">
        <v>9</v>
      </c>
    </row>
    <row r="1735" spans="1:12" ht="15" customHeight="1" x14ac:dyDescent="0.25">
      <c r="A1735" s="1" t="s">
        <v>2590</v>
      </c>
      <c r="B1735" s="1">
        <v>11</v>
      </c>
      <c r="C1735" s="1" t="s">
        <v>3187</v>
      </c>
      <c r="D1735" s="21">
        <v>63</v>
      </c>
      <c r="E1735" s="9" t="s">
        <v>9001</v>
      </c>
      <c r="F1735" s="24">
        <v>35</v>
      </c>
      <c r="G1735" s="5" t="s">
        <v>6937</v>
      </c>
      <c r="H1735" s="5" t="s">
        <v>6938</v>
      </c>
      <c r="I1735" s="5" t="s">
        <v>6939</v>
      </c>
      <c r="J1735" s="5" t="s">
        <v>6940</v>
      </c>
      <c r="K1735" s="5"/>
      <c r="L1735" s="2" t="s">
        <v>9</v>
      </c>
    </row>
    <row r="1736" spans="1:12" ht="15" customHeight="1" x14ac:dyDescent="0.25">
      <c r="A1736" s="1" t="s">
        <v>2590</v>
      </c>
      <c r="B1736" s="1">
        <v>11</v>
      </c>
      <c r="C1736" s="1" t="s">
        <v>3187</v>
      </c>
      <c r="D1736" s="21">
        <v>63</v>
      </c>
      <c r="E1736" s="9" t="s">
        <v>9001</v>
      </c>
      <c r="F1736" s="24">
        <v>36</v>
      </c>
      <c r="G1736" s="5" t="s">
        <v>6941</v>
      </c>
      <c r="H1736" s="5" t="s">
        <v>4935</v>
      </c>
      <c r="I1736" s="5" t="s">
        <v>4936</v>
      </c>
      <c r="J1736" s="5" t="s">
        <v>4937</v>
      </c>
      <c r="K1736" s="5"/>
      <c r="L1736" s="2" t="s">
        <v>8</v>
      </c>
    </row>
    <row r="1737" spans="1:12" ht="15" customHeight="1" x14ac:dyDescent="0.25">
      <c r="A1737" s="1" t="s">
        <v>2590</v>
      </c>
      <c r="B1737" s="1">
        <v>11</v>
      </c>
      <c r="C1737" s="1" t="s">
        <v>3187</v>
      </c>
      <c r="D1737" s="21">
        <v>63</v>
      </c>
      <c r="E1737" s="9" t="s">
        <v>9001</v>
      </c>
      <c r="F1737" s="24">
        <v>37</v>
      </c>
      <c r="G1737" s="5" t="s">
        <v>6942</v>
      </c>
      <c r="H1737" s="5" t="s">
        <v>6943</v>
      </c>
      <c r="I1737" s="5" t="s">
        <v>6944</v>
      </c>
      <c r="J1737" s="5" t="s">
        <v>6945</v>
      </c>
      <c r="K1737" s="5"/>
      <c r="L1737" s="2" t="s">
        <v>7</v>
      </c>
    </row>
    <row r="1738" spans="1:12" ht="15" customHeight="1" x14ac:dyDescent="0.25">
      <c r="A1738" s="1" t="s">
        <v>2590</v>
      </c>
      <c r="B1738">
        <f>_xlfn.XLOOKUP(C1738,Temas!C:C,Temas!B:B)</f>
        <v>25</v>
      </c>
      <c r="C1738" t="s">
        <v>9159</v>
      </c>
      <c r="D1738" s="21">
        <v>63</v>
      </c>
      <c r="E1738" s="9" t="s">
        <v>9001</v>
      </c>
      <c r="F1738" s="24">
        <v>38</v>
      </c>
      <c r="G1738" s="5" t="s">
        <v>6946</v>
      </c>
      <c r="H1738" s="5" t="s">
        <v>6947</v>
      </c>
      <c r="I1738" s="5" t="s">
        <v>6948</v>
      </c>
      <c r="J1738" s="5" t="s">
        <v>6949</v>
      </c>
      <c r="K1738" s="5"/>
      <c r="L1738" s="2" t="s">
        <v>7</v>
      </c>
    </row>
    <row r="1739" spans="1:12" ht="15" customHeight="1" x14ac:dyDescent="0.25">
      <c r="A1739" s="1" t="s">
        <v>2590</v>
      </c>
      <c r="B1739" s="1">
        <v>26</v>
      </c>
      <c r="C1739" s="1" t="s">
        <v>7671</v>
      </c>
      <c r="D1739" s="21">
        <v>63</v>
      </c>
      <c r="E1739" s="9" t="s">
        <v>9001</v>
      </c>
      <c r="F1739" s="24">
        <v>39</v>
      </c>
      <c r="G1739" s="5" t="s">
        <v>6950</v>
      </c>
      <c r="H1739" s="5" t="s">
        <v>6951</v>
      </c>
      <c r="I1739" s="5" t="s">
        <v>6952</v>
      </c>
      <c r="J1739" s="5" t="s">
        <v>6953</v>
      </c>
      <c r="K1739" s="5"/>
      <c r="L1739" s="2" t="s">
        <v>7</v>
      </c>
    </row>
    <row r="1740" spans="1:12" ht="15" customHeight="1" x14ac:dyDescent="0.25">
      <c r="A1740" s="1" t="s">
        <v>2590</v>
      </c>
      <c r="B1740" s="1">
        <v>26</v>
      </c>
      <c r="C1740" s="1" t="s">
        <v>7671</v>
      </c>
      <c r="D1740" s="21">
        <v>63</v>
      </c>
      <c r="E1740" s="9" t="s">
        <v>9001</v>
      </c>
      <c r="F1740" s="24">
        <v>40</v>
      </c>
      <c r="G1740" s="5" t="s">
        <v>6954</v>
      </c>
      <c r="H1740" s="5" t="s">
        <v>6955</v>
      </c>
      <c r="I1740" s="5" t="s">
        <v>6956</v>
      </c>
      <c r="J1740" s="5" t="s">
        <v>6957</v>
      </c>
      <c r="K1740" s="5"/>
      <c r="L1740" s="2" t="s">
        <v>7</v>
      </c>
    </row>
    <row r="1741" spans="1:12" ht="15" customHeight="1" x14ac:dyDescent="0.25">
      <c r="A1741" s="1" t="s">
        <v>2590</v>
      </c>
      <c r="B1741" s="1">
        <v>13</v>
      </c>
      <c r="C1741" s="1" t="s">
        <v>4093</v>
      </c>
      <c r="D1741" s="21">
        <v>63</v>
      </c>
      <c r="E1741" s="9" t="s">
        <v>9001</v>
      </c>
      <c r="F1741" s="24">
        <v>41</v>
      </c>
      <c r="G1741" s="5" t="s">
        <v>6958</v>
      </c>
      <c r="H1741" s="5" t="s">
        <v>6959</v>
      </c>
      <c r="I1741" s="5" t="s">
        <v>6960</v>
      </c>
      <c r="J1741" s="5" t="s">
        <v>6961</v>
      </c>
      <c r="K1741" s="5"/>
      <c r="L1741" s="2" t="s">
        <v>9</v>
      </c>
    </row>
    <row r="1742" spans="1:12" ht="15" customHeight="1" x14ac:dyDescent="0.25">
      <c r="A1742" s="1" t="s">
        <v>2590</v>
      </c>
      <c r="B1742" s="1">
        <v>9</v>
      </c>
      <c r="C1742" s="1" t="s">
        <v>8378</v>
      </c>
      <c r="D1742" s="21">
        <v>63</v>
      </c>
      <c r="E1742" s="9" t="s">
        <v>9001</v>
      </c>
      <c r="F1742" s="24">
        <v>42</v>
      </c>
      <c r="G1742" s="5" t="s">
        <v>6962</v>
      </c>
      <c r="H1742" s="5" t="s">
        <v>6963</v>
      </c>
      <c r="I1742" s="5" t="s">
        <v>6964</v>
      </c>
      <c r="J1742" s="5" t="s">
        <v>6965</v>
      </c>
      <c r="K1742" s="5"/>
      <c r="L1742" s="2" t="s">
        <v>7</v>
      </c>
    </row>
    <row r="1743" spans="1:12" ht="15" customHeight="1" x14ac:dyDescent="0.25">
      <c r="A1743" s="1" t="s">
        <v>2590</v>
      </c>
      <c r="B1743" s="1">
        <v>11</v>
      </c>
      <c r="C1743" s="1" t="s">
        <v>3187</v>
      </c>
      <c r="D1743" s="21">
        <v>63</v>
      </c>
      <c r="E1743" s="9" t="s">
        <v>9001</v>
      </c>
      <c r="F1743" s="24">
        <v>43</v>
      </c>
      <c r="G1743" s="5" t="s">
        <v>6966</v>
      </c>
      <c r="H1743" s="5" t="s">
        <v>6967</v>
      </c>
      <c r="I1743" s="5" t="s">
        <v>6968</v>
      </c>
      <c r="J1743" s="5" t="s">
        <v>6969</v>
      </c>
      <c r="K1743" s="5"/>
      <c r="L1743" s="2" t="s">
        <v>7</v>
      </c>
    </row>
    <row r="1744" spans="1:12" ht="15" customHeight="1" x14ac:dyDescent="0.25">
      <c r="A1744" s="1" t="s">
        <v>12</v>
      </c>
      <c r="B1744" s="1">
        <v>1</v>
      </c>
      <c r="C1744" s="1" t="s">
        <v>13</v>
      </c>
      <c r="D1744" s="21">
        <v>64</v>
      </c>
      <c r="E1744" s="9" t="s">
        <v>9000</v>
      </c>
      <c r="F1744" s="24">
        <v>1</v>
      </c>
      <c r="G1744" s="5" t="s">
        <v>6970</v>
      </c>
      <c r="H1744" s="5" t="s">
        <v>155</v>
      </c>
      <c r="I1744" s="5" t="s">
        <v>6971</v>
      </c>
      <c r="J1744" s="5" t="s">
        <v>69</v>
      </c>
      <c r="K1744" s="5" t="s">
        <v>71</v>
      </c>
      <c r="L1744" s="2" t="s">
        <v>8</v>
      </c>
    </row>
    <row r="1745" spans="1:12" ht="15" customHeight="1" x14ac:dyDescent="0.25">
      <c r="A1745" s="1" t="s">
        <v>12</v>
      </c>
      <c r="B1745" s="1">
        <v>1</v>
      </c>
      <c r="C1745" s="1" t="s">
        <v>13</v>
      </c>
      <c r="D1745" s="21">
        <v>64</v>
      </c>
      <c r="E1745" s="9" t="s">
        <v>9000</v>
      </c>
      <c r="F1745" s="24">
        <v>2</v>
      </c>
      <c r="G1745" s="5" t="s">
        <v>6972</v>
      </c>
      <c r="H1745" s="5" t="s">
        <v>6973</v>
      </c>
      <c r="I1745" s="5" t="s">
        <v>6974</v>
      </c>
      <c r="J1745" s="5" t="s">
        <v>6975</v>
      </c>
      <c r="K1745" s="5" t="s">
        <v>6976</v>
      </c>
      <c r="L1745" s="2" t="s">
        <v>10</v>
      </c>
    </row>
    <row r="1746" spans="1:12" ht="15" customHeight="1" x14ac:dyDescent="0.25">
      <c r="A1746" s="1" t="s">
        <v>12</v>
      </c>
      <c r="B1746" s="1">
        <v>1</v>
      </c>
      <c r="C1746" s="1" t="s">
        <v>13</v>
      </c>
      <c r="D1746" s="21">
        <v>64</v>
      </c>
      <c r="E1746" s="9" t="s">
        <v>9000</v>
      </c>
      <c r="F1746" s="24">
        <v>3</v>
      </c>
      <c r="G1746" s="5" t="s">
        <v>6977</v>
      </c>
      <c r="H1746" s="5" t="s">
        <v>6978</v>
      </c>
      <c r="I1746" s="5" t="s">
        <v>6979</v>
      </c>
      <c r="J1746" s="5" t="s">
        <v>6980</v>
      </c>
      <c r="K1746" s="5" t="s">
        <v>6981</v>
      </c>
      <c r="L1746" s="2" t="s">
        <v>9</v>
      </c>
    </row>
    <row r="1747" spans="1:12" ht="15" customHeight="1" x14ac:dyDescent="0.25">
      <c r="A1747" s="1" t="s">
        <v>12</v>
      </c>
      <c r="B1747" s="1">
        <v>1</v>
      </c>
      <c r="C1747" s="1" t="s">
        <v>13</v>
      </c>
      <c r="D1747" s="21">
        <v>64</v>
      </c>
      <c r="E1747" s="9" t="s">
        <v>9000</v>
      </c>
      <c r="F1747" s="24">
        <v>4</v>
      </c>
      <c r="G1747" s="5" t="s">
        <v>6982</v>
      </c>
      <c r="H1747" s="5" t="s">
        <v>6983</v>
      </c>
      <c r="I1747" s="5" t="s">
        <v>6984</v>
      </c>
      <c r="J1747" s="5" t="s">
        <v>6985</v>
      </c>
      <c r="K1747" s="5" t="s">
        <v>6986</v>
      </c>
      <c r="L1747" s="2" t="s">
        <v>10</v>
      </c>
    </row>
    <row r="1748" spans="1:12" ht="15" customHeight="1" x14ac:dyDescent="0.25">
      <c r="A1748" s="1" t="s">
        <v>12</v>
      </c>
      <c r="B1748" s="1">
        <v>1</v>
      </c>
      <c r="C1748" s="1" t="s">
        <v>13</v>
      </c>
      <c r="D1748" s="21">
        <v>64</v>
      </c>
      <c r="E1748" s="9" t="s">
        <v>9000</v>
      </c>
      <c r="F1748" s="24">
        <v>5</v>
      </c>
      <c r="G1748" s="5" t="s">
        <v>6987</v>
      </c>
      <c r="H1748" s="5" t="s">
        <v>6988</v>
      </c>
      <c r="I1748" s="5" t="s">
        <v>6989</v>
      </c>
      <c r="J1748" s="5" t="s">
        <v>6990</v>
      </c>
      <c r="K1748" s="5" t="s">
        <v>6991</v>
      </c>
      <c r="L1748" s="2" t="s">
        <v>8</v>
      </c>
    </row>
    <row r="1749" spans="1:12" ht="15" customHeight="1" x14ac:dyDescent="0.25">
      <c r="A1749" s="1" t="s">
        <v>12</v>
      </c>
      <c r="B1749" s="1">
        <v>2</v>
      </c>
      <c r="C1749" s="1" t="s">
        <v>398</v>
      </c>
      <c r="D1749" s="21">
        <v>64</v>
      </c>
      <c r="E1749" s="9" t="s">
        <v>9000</v>
      </c>
      <c r="F1749" s="24">
        <v>6</v>
      </c>
      <c r="G1749" s="5" t="s">
        <v>6992</v>
      </c>
      <c r="H1749" s="5" t="s">
        <v>6993</v>
      </c>
      <c r="I1749" s="5" t="s">
        <v>6994</v>
      </c>
      <c r="J1749" s="5" t="s">
        <v>156</v>
      </c>
      <c r="K1749" s="5" t="s">
        <v>6995</v>
      </c>
      <c r="L1749" s="2" t="s">
        <v>9</v>
      </c>
    </row>
    <row r="1750" spans="1:12" ht="15" customHeight="1" x14ac:dyDescent="0.25">
      <c r="A1750" s="1" t="s">
        <v>12</v>
      </c>
      <c r="B1750" s="1">
        <v>2</v>
      </c>
      <c r="C1750" s="1" t="s">
        <v>398</v>
      </c>
      <c r="D1750" s="21">
        <v>64</v>
      </c>
      <c r="E1750" s="9" t="s">
        <v>9000</v>
      </c>
      <c r="F1750" s="24">
        <v>7</v>
      </c>
      <c r="G1750" s="5" t="s">
        <v>6996</v>
      </c>
      <c r="H1750" s="5" t="s">
        <v>2354</v>
      </c>
      <c r="I1750" s="5" t="s">
        <v>6997</v>
      </c>
      <c r="J1750" s="5" t="s">
        <v>6998</v>
      </c>
      <c r="K1750" s="5" t="s">
        <v>6999</v>
      </c>
      <c r="L1750" s="2" t="s">
        <v>7</v>
      </c>
    </row>
    <row r="1751" spans="1:12" ht="15" customHeight="1" x14ac:dyDescent="0.25">
      <c r="A1751" s="1" t="s">
        <v>12</v>
      </c>
      <c r="B1751" s="1">
        <v>2</v>
      </c>
      <c r="C1751" s="1" t="s">
        <v>398</v>
      </c>
      <c r="D1751" s="21">
        <v>64</v>
      </c>
      <c r="E1751" s="9" t="s">
        <v>9000</v>
      </c>
      <c r="F1751" s="24">
        <v>8</v>
      </c>
      <c r="G1751" s="5" t="s">
        <v>7000</v>
      </c>
      <c r="H1751" s="5" t="s">
        <v>7001</v>
      </c>
      <c r="I1751" s="5" t="s">
        <v>7002</v>
      </c>
      <c r="J1751" s="5" t="s">
        <v>2299</v>
      </c>
      <c r="K1751" s="5" t="s">
        <v>7003</v>
      </c>
      <c r="L1751" s="2" t="s">
        <v>9</v>
      </c>
    </row>
    <row r="1752" spans="1:12" ht="15" customHeight="1" x14ac:dyDescent="0.25">
      <c r="A1752" s="1" t="s">
        <v>12</v>
      </c>
      <c r="B1752" s="1">
        <v>6</v>
      </c>
      <c r="C1752" s="1" t="s">
        <v>8374</v>
      </c>
      <c r="D1752" s="21">
        <v>64</v>
      </c>
      <c r="E1752" s="9" t="s">
        <v>9000</v>
      </c>
      <c r="F1752" s="24">
        <v>15</v>
      </c>
      <c r="G1752" s="5" t="s">
        <v>7004</v>
      </c>
      <c r="H1752" s="5" t="s">
        <v>7005</v>
      </c>
      <c r="I1752" s="5" t="s">
        <v>7006</v>
      </c>
      <c r="J1752" s="5" t="s">
        <v>7007</v>
      </c>
      <c r="K1752" s="5" t="s">
        <v>7008</v>
      </c>
      <c r="L1752" s="2" t="s">
        <v>10</v>
      </c>
    </row>
    <row r="1753" spans="1:12" ht="15" customHeight="1" x14ac:dyDescent="0.25">
      <c r="A1753" s="1" t="s">
        <v>12</v>
      </c>
      <c r="B1753" s="1">
        <v>6</v>
      </c>
      <c r="C1753" s="1" t="s">
        <v>8374</v>
      </c>
      <c r="D1753" s="21">
        <v>64</v>
      </c>
      <c r="E1753" s="9" t="s">
        <v>9000</v>
      </c>
      <c r="F1753" s="24">
        <v>16</v>
      </c>
      <c r="G1753" s="5" t="s">
        <v>7009</v>
      </c>
      <c r="H1753" s="5" t="s">
        <v>7010</v>
      </c>
      <c r="I1753" s="5" t="s">
        <v>7011</v>
      </c>
      <c r="J1753" s="5" t="s">
        <v>7012</v>
      </c>
      <c r="K1753" s="5" t="s">
        <v>7013</v>
      </c>
      <c r="L1753" s="2" t="s">
        <v>7</v>
      </c>
    </row>
    <row r="1754" spans="1:12" ht="15" customHeight="1" x14ac:dyDescent="0.25">
      <c r="A1754" s="1" t="s">
        <v>12</v>
      </c>
      <c r="B1754" s="1">
        <v>8</v>
      </c>
      <c r="C1754" s="9" t="s">
        <v>8066</v>
      </c>
      <c r="D1754" s="21">
        <v>64</v>
      </c>
      <c r="E1754" s="9" t="s">
        <v>9000</v>
      </c>
      <c r="F1754" s="24">
        <v>19</v>
      </c>
      <c r="G1754" s="5" t="s">
        <v>7014</v>
      </c>
      <c r="H1754" s="5" t="s">
        <v>7015</v>
      </c>
      <c r="I1754" s="5" t="s">
        <v>7016</v>
      </c>
      <c r="J1754" s="5" t="s">
        <v>7017</v>
      </c>
      <c r="K1754" s="5" t="s">
        <v>7018</v>
      </c>
      <c r="L1754" s="2" t="s">
        <v>7</v>
      </c>
    </row>
    <row r="1755" spans="1:12" ht="15" customHeight="1" x14ac:dyDescent="0.25">
      <c r="A1755" s="1" t="s">
        <v>2590</v>
      </c>
      <c r="B1755" s="1">
        <v>11</v>
      </c>
      <c r="C1755" s="1" t="s">
        <v>3187</v>
      </c>
      <c r="D1755" s="21">
        <v>64</v>
      </c>
      <c r="E1755" s="9" t="s">
        <v>9000</v>
      </c>
      <c r="F1755" s="24">
        <v>26</v>
      </c>
      <c r="G1755" s="5" t="s">
        <v>7020</v>
      </c>
      <c r="H1755" s="5" t="s">
        <v>7021</v>
      </c>
      <c r="I1755" s="5" t="s">
        <v>7022</v>
      </c>
      <c r="J1755" s="5" t="s">
        <v>7023</v>
      </c>
      <c r="K1755" s="5" t="s">
        <v>7024</v>
      </c>
      <c r="L1755" t="s">
        <v>9</v>
      </c>
    </row>
    <row r="1756" spans="1:12" ht="15" customHeight="1" x14ac:dyDescent="0.25">
      <c r="A1756" s="1" t="s">
        <v>2590</v>
      </c>
      <c r="B1756" s="1">
        <v>10</v>
      </c>
      <c r="C1756" s="1" t="s">
        <v>2591</v>
      </c>
      <c r="D1756" s="21">
        <v>64</v>
      </c>
      <c r="E1756" s="9" t="s">
        <v>9000</v>
      </c>
      <c r="F1756" s="24">
        <v>27</v>
      </c>
      <c r="G1756" s="5" t="s">
        <v>7025</v>
      </c>
      <c r="H1756" s="5" t="s">
        <v>7026</v>
      </c>
      <c r="I1756" s="5" t="s">
        <v>7027</v>
      </c>
      <c r="J1756" s="5" t="s">
        <v>7028</v>
      </c>
      <c r="K1756" s="5" t="s">
        <v>7029</v>
      </c>
      <c r="L1756" t="s">
        <v>7</v>
      </c>
    </row>
    <row r="1757" spans="1:12" ht="15" customHeight="1" x14ac:dyDescent="0.25">
      <c r="A1757" s="1" t="s">
        <v>2590</v>
      </c>
      <c r="B1757" s="1">
        <v>9</v>
      </c>
      <c r="C1757" s="1" t="s">
        <v>8378</v>
      </c>
      <c r="D1757" s="21">
        <v>64</v>
      </c>
      <c r="E1757" s="9" t="s">
        <v>9000</v>
      </c>
      <c r="F1757" s="24">
        <v>28</v>
      </c>
      <c r="G1757" s="5" t="s">
        <v>7030</v>
      </c>
      <c r="H1757" s="5" t="s">
        <v>7031</v>
      </c>
      <c r="I1757" s="5" t="s">
        <v>7032</v>
      </c>
      <c r="J1757" s="5" t="s">
        <v>7033</v>
      </c>
      <c r="K1757" s="5" t="s">
        <v>7034</v>
      </c>
      <c r="L1757" t="s">
        <v>9</v>
      </c>
    </row>
    <row r="1758" spans="1:12" ht="15" customHeight="1" x14ac:dyDescent="0.25">
      <c r="A1758" s="1" t="s">
        <v>2590</v>
      </c>
      <c r="B1758" s="1">
        <v>11</v>
      </c>
      <c r="C1758" s="1" t="s">
        <v>3187</v>
      </c>
      <c r="D1758" s="21">
        <v>64</v>
      </c>
      <c r="E1758" s="9" t="s">
        <v>9000</v>
      </c>
      <c r="F1758" s="24">
        <v>29</v>
      </c>
      <c r="G1758" s="5" t="s">
        <v>7035</v>
      </c>
      <c r="H1758" s="5" t="s">
        <v>7036</v>
      </c>
      <c r="I1758" s="5" t="s">
        <v>7037</v>
      </c>
      <c r="J1758" s="5" t="s">
        <v>7038</v>
      </c>
      <c r="K1758" s="5" t="s">
        <v>7039</v>
      </c>
      <c r="L1758" t="s">
        <v>9</v>
      </c>
    </row>
    <row r="1759" spans="1:12" ht="15" customHeight="1" x14ac:dyDescent="0.25">
      <c r="A1759" s="1" t="s">
        <v>2590</v>
      </c>
      <c r="B1759" s="1">
        <v>9</v>
      </c>
      <c r="C1759" s="1" t="s">
        <v>8378</v>
      </c>
      <c r="D1759" s="21">
        <v>64</v>
      </c>
      <c r="E1759" s="9" t="s">
        <v>9000</v>
      </c>
      <c r="F1759" s="24">
        <v>30</v>
      </c>
      <c r="G1759" s="5" t="s">
        <v>7040</v>
      </c>
      <c r="H1759" s="5" t="s">
        <v>7041</v>
      </c>
      <c r="I1759" s="5" t="s">
        <v>7042</v>
      </c>
      <c r="J1759" s="5" t="s">
        <v>7043</v>
      </c>
      <c r="K1759" s="5" t="s">
        <v>7044</v>
      </c>
      <c r="L1759" t="s">
        <v>7</v>
      </c>
    </row>
    <row r="1760" spans="1:12" ht="15" customHeight="1" x14ac:dyDescent="0.25">
      <c r="A1760" s="1" t="s">
        <v>2590</v>
      </c>
      <c r="B1760" s="1">
        <v>12</v>
      </c>
      <c r="C1760" s="1" t="s">
        <v>3352</v>
      </c>
      <c r="D1760" s="21">
        <v>64</v>
      </c>
      <c r="E1760" s="9" t="s">
        <v>9000</v>
      </c>
      <c r="F1760" s="24">
        <v>31</v>
      </c>
      <c r="G1760" s="5" t="s">
        <v>7045</v>
      </c>
      <c r="H1760" s="5" t="s">
        <v>7046</v>
      </c>
      <c r="I1760" s="5" t="s">
        <v>7047</v>
      </c>
      <c r="J1760" s="5" t="s">
        <v>7048</v>
      </c>
      <c r="K1760" s="5" t="s">
        <v>7049</v>
      </c>
      <c r="L1760" t="s">
        <v>10</v>
      </c>
    </row>
    <row r="1761" spans="1:12" ht="15" customHeight="1" x14ac:dyDescent="0.25">
      <c r="A1761" s="1" t="s">
        <v>2590</v>
      </c>
      <c r="B1761" s="1">
        <v>10</v>
      </c>
      <c r="C1761" s="1" t="s">
        <v>2591</v>
      </c>
      <c r="D1761" s="21">
        <v>64</v>
      </c>
      <c r="E1761" s="9" t="s">
        <v>9000</v>
      </c>
      <c r="F1761" s="24">
        <v>32</v>
      </c>
      <c r="G1761" s="5" t="s">
        <v>7050</v>
      </c>
      <c r="H1761" s="5" t="s">
        <v>7051</v>
      </c>
      <c r="I1761" s="5" t="s">
        <v>7052</v>
      </c>
      <c r="J1761" s="5" t="s">
        <v>7053</v>
      </c>
      <c r="K1761" s="5" t="s">
        <v>7054</v>
      </c>
      <c r="L1761" t="s">
        <v>10</v>
      </c>
    </row>
    <row r="1762" spans="1:12" ht="15" customHeight="1" x14ac:dyDescent="0.25">
      <c r="A1762" s="1" t="s">
        <v>2590</v>
      </c>
      <c r="B1762" s="1">
        <v>28</v>
      </c>
      <c r="C1762" s="1" t="s">
        <v>3882</v>
      </c>
      <c r="D1762" s="21">
        <v>64</v>
      </c>
      <c r="E1762" s="9" t="s">
        <v>9000</v>
      </c>
      <c r="F1762" s="24">
        <v>33</v>
      </c>
      <c r="G1762" s="5" t="s">
        <v>7055</v>
      </c>
      <c r="H1762" s="5" t="s">
        <v>7056</v>
      </c>
      <c r="I1762" s="5" t="s">
        <v>7057</v>
      </c>
      <c r="J1762" s="5" t="s">
        <v>7058</v>
      </c>
      <c r="K1762" s="5" t="s">
        <v>7059</v>
      </c>
      <c r="L1762" t="s">
        <v>9</v>
      </c>
    </row>
    <row r="1763" spans="1:12" ht="15" customHeight="1" x14ac:dyDescent="0.25">
      <c r="A1763" s="1" t="s">
        <v>2590</v>
      </c>
      <c r="B1763" s="1">
        <v>9</v>
      </c>
      <c r="C1763" s="1" t="s">
        <v>8378</v>
      </c>
      <c r="D1763" s="21">
        <v>64</v>
      </c>
      <c r="E1763" s="9" t="s">
        <v>9000</v>
      </c>
      <c r="F1763" s="24">
        <v>34</v>
      </c>
      <c r="G1763" s="5" t="s">
        <v>7060</v>
      </c>
      <c r="H1763" s="5" t="s">
        <v>7061</v>
      </c>
      <c r="I1763" s="5" t="s">
        <v>7062</v>
      </c>
      <c r="J1763" s="5" t="s">
        <v>7063</v>
      </c>
      <c r="K1763" s="5" t="s">
        <v>7064</v>
      </c>
      <c r="L1763" t="s">
        <v>9</v>
      </c>
    </row>
    <row r="1764" spans="1:12" ht="15" customHeight="1" x14ac:dyDescent="0.25">
      <c r="A1764" s="1" t="s">
        <v>2590</v>
      </c>
      <c r="B1764" s="1">
        <v>26</v>
      </c>
      <c r="C1764" s="1" t="s">
        <v>7671</v>
      </c>
      <c r="D1764" s="21">
        <v>64</v>
      </c>
      <c r="E1764" s="9" t="s">
        <v>9000</v>
      </c>
      <c r="F1764" s="24">
        <v>35</v>
      </c>
      <c r="G1764" s="5" t="s">
        <v>7065</v>
      </c>
      <c r="H1764" s="5" t="s">
        <v>7066</v>
      </c>
      <c r="I1764" s="5" t="s">
        <v>7067</v>
      </c>
      <c r="J1764" s="5" t="s">
        <v>7068</v>
      </c>
      <c r="K1764" s="5" t="s">
        <v>7069</v>
      </c>
      <c r="L1764" t="s">
        <v>9</v>
      </c>
    </row>
    <row r="1765" spans="1:12" ht="15" customHeight="1" x14ac:dyDescent="0.25">
      <c r="A1765" s="1" t="s">
        <v>2590</v>
      </c>
      <c r="B1765" s="1">
        <v>10</v>
      </c>
      <c r="C1765" s="1" t="s">
        <v>2591</v>
      </c>
      <c r="D1765" s="21">
        <v>64</v>
      </c>
      <c r="E1765" s="9" t="s">
        <v>9000</v>
      </c>
      <c r="F1765" s="24">
        <v>36</v>
      </c>
      <c r="G1765" s="5" t="s">
        <v>7070</v>
      </c>
      <c r="H1765" s="5" t="s">
        <v>7071</v>
      </c>
      <c r="I1765" s="5" t="s">
        <v>7072</v>
      </c>
      <c r="J1765" s="5" t="s">
        <v>7073</v>
      </c>
      <c r="K1765" s="5" t="s">
        <v>7074</v>
      </c>
      <c r="L1765" t="s">
        <v>9</v>
      </c>
    </row>
    <row r="1766" spans="1:12" ht="15" customHeight="1" x14ac:dyDescent="0.25">
      <c r="A1766" s="1" t="s">
        <v>2590</v>
      </c>
      <c r="B1766" s="1">
        <v>11</v>
      </c>
      <c r="C1766" s="1" t="s">
        <v>3187</v>
      </c>
      <c r="D1766" s="21">
        <v>64</v>
      </c>
      <c r="E1766" s="9" t="s">
        <v>9000</v>
      </c>
      <c r="F1766" s="24">
        <v>37</v>
      </c>
      <c r="G1766" s="5" t="s">
        <v>7075</v>
      </c>
      <c r="H1766" s="5" t="s">
        <v>7076</v>
      </c>
      <c r="I1766" s="5" t="s">
        <v>7077</v>
      </c>
      <c r="J1766" s="5" t="s">
        <v>7078</v>
      </c>
      <c r="K1766" s="5" t="s">
        <v>7079</v>
      </c>
      <c r="L1766" t="s">
        <v>9</v>
      </c>
    </row>
    <row r="1767" spans="1:12" ht="15" customHeight="1" x14ac:dyDescent="0.25">
      <c r="A1767" s="1" t="s">
        <v>2590</v>
      </c>
      <c r="B1767" s="1">
        <v>11</v>
      </c>
      <c r="C1767" s="1" t="s">
        <v>3187</v>
      </c>
      <c r="D1767" s="21">
        <v>64</v>
      </c>
      <c r="E1767" s="9" t="s">
        <v>9000</v>
      </c>
      <c r="F1767" s="24">
        <v>38</v>
      </c>
      <c r="G1767" s="5" t="s">
        <v>7080</v>
      </c>
      <c r="H1767" s="5" t="s">
        <v>7081</v>
      </c>
      <c r="I1767" s="5" t="s">
        <v>7082</v>
      </c>
      <c r="J1767" s="5" t="s">
        <v>7083</v>
      </c>
      <c r="K1767" s="5" t="s">
        <v>7084</v>
      </c>
      <c r="L1767" t="s">
        <v>8</v>
      </c>
    </row>
    <row r="1768" spans="1:12" ht="15" customHeight="1" x14ac:dyDescent="0.25">
      <c r="A1768" s="1" t="s">
        <v>2590</v>
      </c>
      <c r="B1768" s="1">
        <v>10</v>
      </c>
      <c r="C1768" s="1" t="s">
        <v>2591</v>
      </c>
      <c r="D1768" s="21">
        <v>64</v>
      </c>
      <c r="E1768" s="9" t="s">
        <v>9000</v>
      </c>
      <c r="F1768" s="24">
        <v>40</v>
      </c>
      <c r="G1768" s="5" t="s">
        <v>7085</v>
      </c>
      <c r="H1768" s="5" t="s">
        <v>7086</v>
      </c>
      <c r="I1768" s="5" t="s">
        <v>7087</v>
      </c>
      <c r="J1768" s="5" t="s">
        <v>7088</v>
      </c>
      <c r="K1768" s="5" t="s">
        <v>7089</v>
      </c>
      <c r="L1768" t="s">
        <v>9</v>
      </c>
    </row>
    <row r="1769" spans="1:12" ht="15" customHeight="1" x14ac:dyDescent="0.25">
      <c r="A1769" s="1" t="s">
        <v>2590</v>
      </c>
      <c r="B1769" s="1">
        <v>9</v>
      </c>
      <c r="C1769" s="1" t="s">
        <v>8378</v>
      </c>
      <c r="D1769" s="21">
        <v>64</v>
      </c>
      <c r="E1769" s="9" t="s">
        <v>9000</v>
      </c>
      <c r="F1769" s="24">
        <v>41</v>
      </c>
      <c r="G1769" s="5" t="s">
        <v>7090</v>
      </c>
      <c r="H1769" s="5" t="s">
        <v>7091</v>
      </c>
      <c r="I1769" s="5" t="s">
        <v>7092</v>
      </c>
      <c r="J1769" s="5" t="s">
        <v>7093</v>
      </c>
      <c r="K1769" s="5" t="s">
        <v>7094</v>
      </c>
      <c r="L1769" t="s">
        <v>9</v>
      </c>
    </row>
    <row r="1770" spans="1:12" ht="15" customHeight="1" x14ac:dyDescent="0.25">
      <c r="A1770" s="1" t="s">
        <v>2590</v>
      </c>
      <c r="B1770" s="1">
        <v>9</v>
      </c>
      <c r="C1770" s="1" t="s">
        <v>8378</v>
      </c>
      <c r="D1770" s="21">
        <v>64</v>
      </c>
      <c r="E1770" s="9" t="s">
        <v>9000</v>
      </c>
      <c r="F1770" s="24">
        <v>42</v>
      </c>
      <c r="G1770" s="5" t="s">
        <v>7095</v>
      </c>
      <c r="H1770" s="5" t="s">
        <v>7096</v>
      </c>
      <c r="I1770" s="5" t="s">
        <v>7097</v>
      </c>
      <c r="J1770" s="5" t="s">
        <v>7098</v>
      </c>
      <c r="K1770" s="5" t="s">
        <v>7099</v>
      </c>
      <c r="L1770" t="s">
        <v>10</v>
      </c>
    </row>
    <row r="1771" spans="1:12" ht="15" customHeight="1" x14ac:dyDescent="0.25">
      <c r="A1771" s="1" t="s">
        <v>2590</v>
      </c>
      <c r="B1771" s="1">
        <v>11</v>
      </c>
      <c r="C1771" s="1" t="s">
        <v>3187</v>
      </c>
      <c r="D1771" s="21">
        <v>64</v>
      </c>
      <c r="E1771" s="9" t="s">
        <v>9000</v>
      </c>
      <c r="F1771" s="24">
        <v>43</v>
      </c>
      <c r="G1771" s="5" t="s">
        <v>7100</v>
      </c>
      <c r="H1771" s="5" t="s">
        <v>7101</v>
      </c>
      <c r="I1771" s="5" t="s">
        <v>7102</v>
      </c>
      <c r="J1771" s="5" t="s">
        <v>7103</v>
      </c>
      <c r="K1771" s="5" t="s">
        <v>7104</v>
      </c>
      <c r="L1771" t="s">
        <v>9</v>
      </c>
    </row>
    <row r="1772" spans="1:12" ht="15" customHeight="1" x14ac:dyDescent="0.25">
      <c r="A1772" s="1" t="s">
        <v>2590</v>
      </c>
      <c r="B1772" s="1">
        <v>10</v>
      </c>
      <c r="C1772" s="1" t="s">
        <v>2591</v>
      </c>
      <c r="D1772" s="21">
        <v>64</v>
      </c>
      <c r="E1772" s="9" t="s">
        <v>9000</v>
      </c>
      <c r="F1772" s="24">
        <v>44</v>
      </c>
      <c r="G1772" s="5" t="s">
        <v>7105</v>
      </c>
      <c r="H1772" s="5" t="s">
        <v>7106</v>
      </c>
      <c r="I1772" s="5" t="s">
        <v>7107</v>
      </c>
      <c r="J1772" s="5" t="s">
        <v>7108</v>
      </c>
      <c r="K1772" s="5" t="s">
        <v>7109</v>
      </c>
      <c r="L1772" t="s">
        <v>9</v>
      </c>
    </row>
    <row r="1773" spans="1:12" ht="15" customHeight="1" x14ac:dyDescent="0.25">
      <c r="A1773" s="1" t="s">
        <v>2590</v>
      </c>
      <c r="B1773" s="1">
        <v>11</v>
      </c>
      <c r="C1773" s="1" t="s">
        <v>3187</v>
      </c>
      <c r="D1773" s="21">
        <v>64</v>
      </c>
      <c r="E1773" s="9" t="s">
        <v>9000</v>
      </c>
      <c r="F1773" s="24">
        <v>45</v>
      </c>
      <c r="G1773" s="5" t="s">
        <v>7110</v>
      </c>
      <c r="H1773" s="5" t="s">
        <v>7111</v>
      </c>
      <c r="I1773" s="5" t="s">
        <v>7112</v>
      </c>
      <c r="J1773" s="5" t="s">
        <v>7113</v>
      </c>
      <c r="K1773" s="5" t="s">
        <v>7114</v>
      </c>
      <c r="L1773" t="s">
        <v>10</v>
      </c>
    </row>
    <row r="1774" spans="1:12" ht="15" customHeight="1" x14ac:dyDescent="0.25">
      <c r="A1774" s="1" t="s">
        <v>2590</v>
      </c>
      <c r="B1774" s="1">
        <v>9</v>
      </c>
      <c r="C1774" s="1" t="s">
        <v>8378</v>
      </c>
      <c r="D1774" s="21">
        <v>64</v>
      </c>
      <c r="E1774" s="9" t="s">
        <v>9000</v>
      </c>
      <c r="F1774" s="24">
        <v>46</v>
      </c>
      <c r="G1774" s="5" t="s">
        <v>7115</v>
      </c>
      <c r="H1774" s="5" t="s">
        <v>7116</v>
      </c>
      <c r="I1774" s="5" t="s">
        <v>7117</v>
      </c>
      <c r="J1774" s="5" t="s">
        <v>7118</v>
      </c>
      <c r="K1774" s="5" t="s">
        <v>7119</v>
      </c>
      <c r="L1774" t="s">
        <v>7</v>
      </c>
    </row>
    <row r="1775" spans="1:12" ht="15" customHeight="1" x14ac:dyDescent="0.25">
      <c r="A1775" s="1" t="s">
        <v>2590</v>
      </c>
      <c r="B1775" s="1">
        <v>10</v>
      </c>
      <c r="C1775" s="1" t="s">
        <v>2591</v>
      </c>
      <c r="D1775" s="21">
        <v>64</v>
      </c>
      <c r="E1775" s="9" t="s">
        <v>9000</v>
      </c>
      <c r="F1775" s="24">
        <v>47</v>
      </c>
      <c r="G1775" s="5" t="s">
        <v>7120</v>
      </c>
      <c r="H1775" s="5" t="s">
        <v>7121</v>
      </c>
      <c r="I1775" s="5" t="s">
        <v>7122</v>
      </c>
      <c r="J1775" s="5" t="s">
        <v>7123</v>
      </c>
      <c r="K1775" s="5" t="s">
        <v>7124</v>
      </c>
      <c r="L1775" t="s">
        <v>8</v>
      </c>
    </row>
    <row r="1776" spans="1:12" ht="15" customHeight="1" x14ac:dyDescent="0.25">
      <c r="A1776" s="1" t="s">
        <v>2590</v>
      </c>
      <c r="B1776" s="1">
        <v>10</v>
      </c>
      <c r="C1776" s="1" t="s">
        <v>2591</v>
      </c>
      <c r="D1776" s="21">
        <v>64</v>
      </c>
      <c r="E1776" s="9" t="s">
        <v>9000</v>
      </c>
      <c r="F1776" s="24">
        <v>48</v>
      </c>
      <c r="G1776" s="5" t="s">
        <v>7125</v>
      </c>
      <c r="H1776" s="5" t="s">
        <v>7126</v>
      </c>
      <c r="I1776" s="5" t="s">
        <v>7127</v>
      </c>
      <c r="J1776" s="5" t="s">
        <v>7128</v>
      </c>
      <c r="K1776" s="5" t="s">
        <v>7129</v>
      </c>
      <c r="L1776" t="s">
        <v>8</v>
      </c>
    </row>
    <row r="1777" spans="1:12" ht="15" customHeight="1" x14ac:dyDescent="0.25">
      <c r="A1777" s="1" t="s">
        <v>2590</v>
      </c>
      <c r="B1777" s="1">
        <v>27</v>
      </c>
      <c r="C1777" s="1" t="s">
        <v>7706</v>
      </c>
      <c r="D1777" s="21">
        <v>64</v>
      </c>
      <c r="E1777" s="9" t="s">
        <v>9000</v>
      </c>
      <c r="F1777" s="24">
        <v>49</v>
      </c>
      <c r="G1777" s="5" t="s">
        <v>7130</v>
      </c>
      <c r="H1777" s="5" t="s">
        <v>2808</v>
      </c>
      <c r="I1777" s="5" t="s">
        <v>7131</v>
      </c>
      <c r="J1777" s="5" t="s">
        <v>7132</v>
      </c>
      <c r="K1777" s="5" t="s">
        <v>7133</v>
      </c>
      <c r="L1777" t="s">
        <v>9</v>
      </c>
    </row>
    <row r="1778" spans="1:12" ht="15" customHeight="1" x14ac:dyDescent="0.25">
      <c r="A1778" s="1" t="s">
        <v>2590</v>
      </c>
      <c r="B1778" s="1">
        <v>9</v>
      </c>
      <c r="C1778" s="1" t="s">
        <v>8378</v>
      </c>
      <c r="D1778" s="21">
        <v>64</v>
      </c>
      <c r="E1778" s="9" t="s">
        <v>9000</v>
      </c>
      <c r="F1778" s="24">
        <v>50</v>
      </c>
      <c r="G1778" s="5" t="s">
        <v>7134</v>
      </c>
      <c r="H1778" s="5" t="s">
        <v>7135</v>
      </c>
      <c r="I1778" s="5" t="s">
        <v>7136</v>
      </c>
      <c r="J1778" s="5" t="s">
        <v>7137</v>
      </c>
      <c r="K1778" s="5" t="s">
        <v>7138</v>
      </c>
      <c r="L1778" t="s">
        <v>10</v>
      </c>
    </row>
    <row r="1779" spans="1:12" ht="15" customHeight="1" x14ac:dyDescent="0.25">
      <c r="A1779" s="1" t="s">
        <v>2590</v>
      </c>
      <c r="B1779" s="1">
        <v>10</v>
      </c>
      <c r="C1779" s="1" t="s">
        <v>2591</v>
      </c>
      <c r="D1779" s="21">
        <v>64</v>
      </c>
      <c r="E1779" s="9" t="s">
        <v>9000</v>
      </c>
      <c r="F1779" s="24">
        <v>51</v>
      </c>
      <c r="G1779" s="5" t="s">
        <v>7139</v>
      </c>
      <c r="H1779" s="5" t="s">
        <v>7140</v>
      </c>
      <c r="I1779" s="5" t="s">
        <v>7141</v>
      </c>
      <c r="J1779" s="5" t="s">
        <v>7142</v>
      </c>
      <c r="K1779" s="5" t="s">
        <v>7143</v>
      </c>
      <c r="L1779" t="s">
        <v>10</v>
      </c>
    </row>
    <row r="1780" spans="1:12" ht="15" customHeight="1" x14ac:dyDescent="0.25">
      <c r="A1780" s="1" t="s">
        <v>2590</v>
      </c>
      <c r="B1780" s="1">
        <v>12</v>
      </c>
      <c r="C1780" s="1" t="s">
        <v>3352</v>
      </c>
      <c r="D1780" s="21">
        <v>64</v>
      </c>
      <c r="E1780" s="9" t="s">
        <v>9000</v>
      </c>
      <c r="F1780" s="24">
        <v>52</v>
      </c>
      <c r="G1780" s="5" t="s">
        <v>7144</v>
      </c>
      <c r="H1780" s="5" t="s">
        <v>7145</v>
      </c>
      <c r="I1780" s="5" t="s">
        <v>7146</v>
      </c>
      <c r="J1780" s="5" t="s">
        <v>7147</v>
      </c>
      <c r="K1780" s="5" t="s">
        <v>7148</v>
      </c>
      <c r="L1780" t="s">
        <v>8</v>
      </c>
    </row>
    <row r="1781" spans="1:12" ht="15" customHeight="1" x14ac:dyDescent="0.25">
      <c r="A1781" s="1" t="s">
        <v>2590</v>
      </c>
      <c r="B1781" s="1">
        <v>9</v>
      </c>
      <c r="C1781" s="1" t="s">
        <v>8378</v>
      </c>
      <c r="D1781" s="21">
        <v>64</v>
      </c>
      <c r="E1781" s="9" t="s">
        <v>9000</v>
      </c>
      <c r="F1781" s="24">
        <v>53</v>
      </c>
      <c r="G1781" s="5" t="s">
        <v>7149</v>
      </c>
      <c r="H1781" s="5" t="s">
        <v>7150</v>
      </c>
      <c r="I1781" s="5" t="s">
        <v>7151</v>
      </c>
      <c r="J1781" s="5" t="s">
        <v>7152</v>
      </c>
      <c r="K1781" s="5" t="s">
        <v>7153</v>
      </c>
      <c r="L1781" t="s">
        <v>9</v>
      </c>
    </row>
    <row r="1782" spans="1:12" ht="15" customHeight="1" x14ac:dyDescent="0.25">
      <c r="A1782" s="1" t="s">
        <v>2590</v>
      </c>
      <c r="B1782" s="1">
        <v>11</v>
      </c>
      <c r="C1782" s="1" t="s">
        <v>3187</v>
      </c>
      <c r="D1782" s="21">
        <v>64</v>
      </c>
      <c r="E1782" s="9" t="s">
        <v>9000</v>
      </c>
      <c r="F1782" s="24">
        <v>54</v>
      </c>
      <c r="G1782" s="5" t="s">
        <v>7154</v>
      </c>
      <c r="H1782" s="5" t="s">
        <v>7155</v>
      </c>
      <c r="I1782" s="5" t="s">
        <v>7156</v>
      </c>
      <c r="J1782" s="5" t="s">
        <v>7157</v>
      </c>
      <c r="K1782" s="5" t="s">
        <v>7158</v>
      </c>
      <c r="L1782" t="s">
        <v>7</v>
      </c>
    </row>
    <row r="1783" spans="1:12" ht="15" customHeight="1" x14ac:dyDescent="0.25">
      <c r="A1783" s="1" t="s">
        <v>2590</v>
      </c>
      <c r="B1783" s="1">
        <v>12</v>
      </c>
      <c r="C1783" s="1" t="s">
        <v>3352</v>
      </c>
      <c r="D1783" s="21">
        <v>64</v>
      </c>
      <c r="E1783" s="9" t="s">
        <v>9000</v>
      </c>
      <c r="F1783" s="24">
        <v>55</v>
      </c>
      <c r="G1783" s="5" t="s">
        <v>7159</v>
      </c>
      <c r="H1783" s="5" t="s">
        <v>7160</v>
      </c>
      <c r="I1783" s="5" t="s">
        <v>7161</v>
      </c>
      <c r="J1783" s="5" t="s">
        <v>7162</v>
      </c>
      <c r="K1783" s="5" t="s">
        <v>7163</v>
      </c>
      <c r="L1783" t="s">
        <v>9</v>
      </c>
    </row>
    <row r="1784" spans="1:12" ht="15" customHeight="1" x14ac:dyDescent="0.25">
      <c r="A1784" s="1" t="s">
        <v>2590</v>
      </c>
      <c r="B1784" s="1">
        <v>11</v>
      </c>
      <c r="C1784" s="1" t="s">
        <v>3187</v>
      </c>
      <c r="D1784" s="21">
        <v>64</v>
      </c>
      <c r="E1784" s="9" t="s">
        <v>9000</v>
      </c>
      <c r="F1784" s="24">
        <v>56</v>
      </c>
      <c r="G1784" s="5" t="s">
        <v>7164</v>
      </c>
      <c r="H1784" s="5" t="s">
        <v>7165</v>
      </c>
      <c r="I1784" s="5" t="s">
        <v>7166</v>
      </c>
      <c r="J1784" s="5" t="s">
        <v>7167</v>
      </c>
      <c r="K1784" s="5" t="s">
        <v>7168</v>
      </c>
      <c r="L1784" t="s">
        <v>9</v>
      </c>
    </row>
    <row r="1785" spans="1:12" ht="15" customHeight="1" x14ac:dyDescent="0.25">
      <c r="A1785" s="1" t="s">
        <v>2590</v>
      </c>
      <c r="B1785" s="1">
        <v>11</v>
      </c>
      <c r="C1785" s="1" t="s">
        <v>3187</v>
      </c>
      <c r="D1785" s="21">
        <v>64</v>
      </c>
      <c r="E1785" s="9" t="s">
        <v>9000</v>
      </c>
      <c r="F1785" s="24">
        <v>57</v>
      </c>
      <c r="G1785" s="5" t="s">
        <v>7169</v>
      </c>
      <c r="H1785" s="5" t="s">
        <v>7170</v>
      </c>
      <c r="I1785" s="5" t="s">
        <v>7171</v>
      </c>
      <c r="J1785" s="5" t="s">
        <v>7172</v>
      </c>
      <c r="K1785" s="5" t="s">
        <v>7173</v>
      </c>
      <c r="L1785" t="s">
        <v>8</v>
      </c>
    </row>
    <row r="1786" spans="1:12" ht="15" customHeight="1" x14ac:dyDescent="0.25">
      <c r="A1786" s="1" t="s">
        <v>2590</v>
      </c>
      <c r="B1786" s="1">
        <v>12</v>
      </c>
      <c r="C1786" s="1" t="s">
        <v>3352</v>
      </c>
      <c r="D1786" s="21">
        <v>64</v>
      </c>
      <c r="E1786" s="9" t="s">
        <v>9000</v>
      </c>
      <c r="F1786" s="24">
        <v>58</v>
      </c>
      <c r="G1786" s="5" t="s">
        <v>7174</v>
      </c>
      <c r="H1786" s="5" t="s">
        <v>7175</v>
      </c>
      <c r="I1786" s="5" t="s">
        <v>7176</v>
      </c>
      <c r="J1786" s="5" t="s">
        <v>7177</v>
      </c>
      <c r="K1786" s="5" t="s">
        <v>7178</v>
      </c>
      <c r="L1786" t="s">
        <v>7</v>
      </c>
    </row>
    <row r="1787" spans="1:12" ht="15" customHeight="1" x14ac:dyDescent="0.25">
      <c r="A1787" s="1" t="s">
        <v>2590</v>
      </c>
      <c r="B1787" s="1">
        <v>18</v>
      </c>
      <c r="C1787" s="1" t="s">
        <v>5448</v>
      </c>
      <c r="D1787" s="21">
        <v>64</v>
      </c>
      <c r="E1787" s="9" t="s">
        <v>9000</v>
      </c>
      <c r="F1787" s="24">
        <v>59</v>
      </c>
      <c r="G1787" s="5" t="s">
        <v>7179</v>
      </c>
      <c r="H1787" s="5" t="s">
        <v>7180</v>
      </c>
      <c r="I1787" s="5" t="s">
        <v>7181</v>
      </c>
      <c r="J1787" s="5" t="s">
        <v>7182</v>
      </c>
      <c r="K1787" s="5" t="s">
        <v>7183</v>
      </c>
      <c r="L1787" t="s">
        <v>10</v>
      </c>
    </row>
    <row r="1788" spans="1:12" ht="15" customHeight="1" x14ac:dyDescent="0.25">
      <c r="A1788" s="1" t="s">
        <v>2590</v>
      </c>
      <c r="B1788" s="1">
        <v>9</v>
      </c>
      <c r="C1788" s="1" t="s">
        <v>8378</v>
      </c>
      <c r="D1788" s="21">
        <v>64</v>
      </c>
      <c r="E1788" s="9" t="s">
        <v>9000</v>
      </c>
      <c r="F1788" s="24">
        <v>60</v>
      </c>
      <c r="G1788" s="5" t="s">
        <v>7184</v>
      </c>
      <c r="H1788" s="5" t="s">
        <v>7185</v>
      </c>
      <c r="I1788" s="5" t="s">
        <v>7186</v>
      </c>
      <c r="J1788" s="5" t="s">
        <v>7187</v>
      </c>
      <c r="K1788" s="5" t="s">
        <v>7188</v>
      </c>
      <c r="L1788" t="s">
        <v>8</v>
      </c>
    </row>
    <row r="1789" spans="1:12" ht="15" customHeight="1" x14ac:dyDescent="0.25">
      <c r="A1789" s="1" t="s">
        <v>2590</v>
      </c>
      <c r="B1789" s="1">
        <v>10</v>
      </c>
      <c r="C1789" s="1" t="s">
        <v>2591</v>
      </c>
      <c r="D1789" s="21">
        <v>64</v>
      </c>
      <c r="E1789" s="9" t="s">
        <v>9000</v>
      </c>
      <c r="F1789" s="24">
        <v>61</v>
      </c>
      <c r="G1789" s="5" t="s">
        <v>7332</v>
      </c>
      <c r="H1789" s="5" t="s">
        <v>7306</v>
      </c>
      <c r="I1789" s="5" t="s">
        <v>7333</v>
      </c>
      <c r="J1789" s="5" t="s">
        <v>7334</v>
      </c>
      <c r="K1789" s="5" t="s">
        <v>7305</v>
      </c>
      <c r="L1789" t="s">
        <v>10</v>
      </c>
    </row>
    <row r="1790" spans="1:12" ht="15" customHeight="1" x14ac:dyDescent="0.25">
      <c r="A1790" s="1" t="s">
        <v>2590</v>
      </c>
      <c r="B1790" s="1">
        <v>9</v>
      </c>
      <c r="C1790" s="1" t="s">
        <v>8378</v>
      </c>
      <c r="D1790" s="21">
        <v>64</v>
      </c>
      <c r="E1790" s="9" t="s">
        <v>9000</v>
      </c>
      <c r="F1790" s="24">
        <v>63</v>
      </c>
      <c r="G1790" s="5" t="s">
        <v>7335</v>
      </c>
      <c r="H1790" s="5" t="s">
        <v>7336</v>
      </c>
      <c r="I1790" s="5" t="s">
        <v>7337</v>
      </c>
      <c r="J1790" s="5" t="s">
        <v>7338</v>
      </c>
      <c r="K1790" s="5" t="s">
        <v>7339</v>
      </c>
      <c r="L1790" t="s">
        <v>10</v>
      </c>
    </row>
    <row r="1791" spans="1:12" ht="15" customHeight="1" x14ac:dyDescent="0.25">
      <c r="A1791" s="1" t="s">
        <v>2590</v>
      </c>
      <c r="B1791" s="1">
        <v>11</v>
      </c>
      <c r="C1791" s="1" t="s">
        <v>3187</v>
      </c>
      <c r="D1791" s="21">
        <v>64</v>
      </c>
      <c r="E1791" s="9" t="s">
        <v>9000</v>
      </c>
      <c r="F1791" s="24">
        <v>64</v>
      </c>
      <c r="G1791" s="5" t="s">
        <v>7340</v>
      </c>
      <c r="H1791" s="5" t="s">
        <v>7341</v>
      </c>
      <c r="I1791" s="5" t="s">
        <v>7342</v>
      </c>
      <c r="J1791" s="5" t="s">
        <v>7343</v>
      </c>
      <c r="K1791" s="5" t="s">
        <v>7344</v>
      </c>
      <c r="L1791" s="5" t="s">
        <v>7</v>
      </c>
    </row>
    <row r="1792" spans="1:12" ht="15" customHeight="1" x14ac:dyDescent="0.25">
      <c r="A1792" s="1" t="s">
        <v>2590</v>
      </c>
      <c r="B1792" s="1">
        <v>9</v>
      </c>
      <c r="C1792" s="1" t="s">
        <v>8378</v>
      </c>
      <c r="D1792" s="21">
        <v>64</v>
      </c>
      <c r="E1792" s="9" t="s">
        <v>9000</v>
      </c>
      <c r="F1792" s="24">
        <v>65</v>
      </c>
      <c r="G1792" s="5" t="s">
        <v>7345</v>
      </c>
      <c r="H1792" s="5" t="s">
        <v>7346</v>
      </c>
      <c r="I1792" s="5" t="s">
        <v>7347</v>
      </c>
      <c r="J1792" s="5" t="s">
        <v>7348</v>
      </c>
      <c r="K1792" s="5" t="s">
        <v>7349</v>
      </c>
      <c r="L1792" t="s">
        <v>7</v>
      </c>
    </row>
    <row r="1793" spans="1:12" ht="15" customHeight="1" x14ac:dyDescent="0.25">
      <c r="A1793" s="1" t="s">
        <v>2590</v>
      </c>
      <c r="B1793" s="1">
        <v>27</v>
      </c>
      <c r="C1793" s="1" t="s">
        <v>7706</v>
      </c>
      <c r="D1793" s="21">
        <v>64</v>
      </c>
      <c r="E1793" s="9" t="s">
        <v>9000</v>
      </c>
      <c r="F1793" s="24">
        <v>66</v>
      </c>
      <c r="G1793" s="5" t="s">
        <v>7350</v>
      </c>
      <c r="H1793" s="5" t="s">
        <v>7038</v>
      </c>
      <c r="I1793" s="5" t="s">
        <v>7039</v>
      </c>
      <c r="J1793" s="5" t="s">
        <v>7351</v>
      </c>
      <c r="K1793" s="5" t="s">
        <v>7352</v>
      </c>
      <c r="L1793" t="s">
        <v>7</v>
      </c>
    </row>
    <row r="1794" spans="1:12" ht="15" customHeight="1" x14ac:dyDescent="0.25">
      <c r="A1794" s="1" t="s">
        <v>2590</v>
      </c>
      <c r="B1794" s="1">
        <v>10</v>
      </c>
      <c r="C1794" s="1" t="s">
        <v>2591</v>
      </c>
      <c r="D1794" s="21">
        <v>64</v>
      </c>
      <c r="E1794" s="9" t="s">
        <v>9000</v>
      </c>
      <c r="F1794" s="24">
        <v>67</v>
      </c>
      <c r="G1794" s="5" t="s">
        <v>7353</v>
      </c>
      <c r="H1794" s="5" t="s">
        <v>7354</v>
      </c>
      <c r="I1794" s="5" t="s">
        <v>7355</v>
      </c>
      <c r="J1794" s="5" t="s">
        <v>7356</v>
      </c>
      <c r="K1794" s="5" t="s">
        <v>7357</v>
      </c>
      <c r="L1794" t="s">
        <v>9</v>
      </c>
    </row>
    <row r="1795" spans="1:12" ht="15" customHeight="1" x14ac:dyDescent="0.25">
      <c r="A1795" s="1" t="s">
        <v>2590</v>
      </c>
      <c r="B1795" s="1">
        <v>12</v>
      </c>
      <c r="C1795" s="1" t="s">
        <v>3352</v>
      </c>
      <c r="D1795" s="21">
        <v>64</v>
      </c>
      <c r="E1795" s="9" t="s">
        <v>9000</v>
      </c>
      <c r="F1795" s="24">
        <v>68</v>
      </c>
      <c r="G1795" s="5" t="s">
        <v>7358</v>
      </c>
      <c r="H1795" s="5" t="s">
        <v>7359</v>
      </c>
      <c r="I1795" s="5" t="s">
        <v>7360</v>
      </c>
      <c r="J1795" s="5" t="s">
        <v>7361</v>
      </c>
      <c r="K1795" s="5" t="s">
        <v>7362</v>
      </c>
      <c r="L1795" t="s">
        <v>10</v>
      </c>
    </row>
    <row r="1796" spans="1:12" ht="15" customHeight="1" x14ac:dyDescent="0.25">
      <c r="A1796" s="1" t="s">
        <v>2590</v>
      </c>
      <c r="B1796" s="1">
        <v>9</v>
      </c>
      <c r="C1796" s="1" t="s">
        <v>8378</v>
      </c>
      <c r="D1796" s="21">
        <v>64</v>
      </c>
      <c r="E1796" s="9" t="s">
        <v>9000</v>
      </c>
      <c r="F1796" s="24">
        <v>69</v>
      </c>
      <c r="G1796" s="5" t="s">
        <v>7363</v>
      </c>
      <c r="H1796" s="5" t="s">
        <v>7364</v>
      </c>
      <c r="I1796" s="5" t="s">
        <v>7365</v>
      </c>
      <c r="J1796" s="5" t="s">
        <v>7366</v>
      </c>
      <c r="K1796" s="5" t="s">
        <v>7367</v>
      </c>
      <c r="L1796" t="s">
        <v>7</v>
      </c>
    </row>
    <row r="1797" spans="1:12" ht="15" customHeight="1" x14ac:dyDescent="0.25">
      <c r="A1797" s="1" t="s">
        <v>2590</v>
      </c>
      <c r="B1797" s="1">
        <v>28</v>
      </c>
      <c r="C1797" s="1" t="s">
        <v>3882</v>
      </c>
      <c r="D1797" s="21">
        <v>64</v>
      </c>
      <c r="E1797" s="9" t="s">
        <v>9000</v>
      </c>
      <c r="F1797" s="24">
        <v>70</v>
      </c>
      <c r="G1797" s="5" t="s">
        <v>7368</v>
      </c>
      <c r="H1797" s="5" t="s">
        <v>7369</v>
      </c>
      <c r="I1797" s="5" t="s">
        <v>7370</v>
      </c>
      <c r="J1797" s="5" t="s">
        <v>7371</v>
      </c>
      <c r="K1797" s="5" t="s">
        <v>7372</v>
      </c>
      <c r="L1797" t="s">
        <v>8</v>
      </c>
    </row>
    <row r="1798" spans="1:12" ht="15" customHeight="1" x14ac:dyDescent="0.25">
      <c r="A1798" s="1" t="s">
        <v>2590</v>
      </c>
      <c r="B1798" s="1">
        <v>11</v>
      </c>
      <c r="C1798" s="1" t="s">
        <v>3187</v>
      </c>
      <c r="D1798" s="21">
        <v>64</v>
      </c>
      <c r="E1798" s="9" t="s">
        <v>9000</v>
      </c>
      <c r="F1798" s="24">
        <v>71</v>
      </c>
      <c r="G1798" s="5" t="s">
        <v>7189</v>
      </c>
      <c r="H1798" s="5" t="s">
        <v>7190</v>
      </c>
      <c r="I1798" s="5" t="s">
        <v>7191</v>
      </c>
      <c r="J1798" s="5" t="s">
        <v>7192</v>
      </c>
      <c r="K1798" s="5" t="s">
        <v>7193</v>
      </c>
      <c r="L1798" t="s">
        <v>7</v>
      </c>
    </row>
    <row r="1799" spans="1:12" ht="15" customHeight="1" x14ac:dyDescent="0.25">
      <c r="A1799" s="1" t="s">
        <v>2590</v>
      </c>
      <c r="B1799" s="1">
        <v>11</v>
      </c>
      <c r="C1799" s="1" t="s">
        <v>3187</v>
      </c>
      <c r="D1799" s="21">
        <v>64</v>
      </c>
      <c r="E1799" s="9" t="s">
        <v>9000</v>
      </c>
      <c r="F1799" s="24">
        <v>72</v>
      </c>
      <c r="G1799" s="5" t="s">
        <v>7194</v>
      </c>
      <c r="H1799" s="5" t="s">
        <v>7195</v>
      </c>
      <c r="I1799" s="5" t="s">
        <v>7196</v>
      </c>
      <c r="J1799" s="5" t="s">
        <v>7197</v>
      </c>
      <c r="K1799" s="5" t="s">
        <v>7198</v>
      </c>
      <c r="L1799" t="s">
        <v>8</v>
      </c>
    </row>
    <row r="1800" spans="1:12" ht="15" customHeight="1" x14ac:dyDescent="0.25">
      <c r="A1800" s="1" t="s">
        <v>2590</v>
      </c>
      <c r="B1800" s="1">
        <v>9</v>
      </c>
      <c r="C1800" s="1" t="s">
        <v>8378</v>
      </c>
      <c r="D1800" s="21">
        <v>64</v>
      </c>
      <c r="E1800" s="9" t="s">
        <v>9000</v>
      </c>
      <c r="F1800" s="24">
        <v>73</v>
      </c>
      <c r="G1800" s="5" t="s">
        <v>7199</v>
      </c>
      <c r="H1800" s="5" t="s">
        <v>7200</v>
      </c>
      <c r="I1800" s="5" t="s">
        <v>7201</v>
      </c>
      <c r="J1800" s="5" t="s">
        <v>7202</v>
      </c>
      <c r="K1800" s="5" t="s">
        <v>7203</v>
      </c>
      <c r="L1800" t="s">
        <v>9</v>
      </c>
    </row>
    <row r="1801" spans="1:12" ht="15" customHeight="1" x14ac:dyDescent="0.25">
      <c r="A1801" s="1" t="s">
        <v>2590</v>
      </c>
      <c r="B1801" s="1">
        <v>12</v>
      </c>
      <c r="C1801" s="1" t="s">
        <v>3352</v>
      </c>
      <c r="D1801" s="21">
        <v>64</v>
      </c>
      <c r="E1801" s="9" t="s">
        <v>9000</v>
      </c>
      <c r="F1801" s="24">
        <v>74</v>
      </c>
      <c r="G1801" s="5" t="s">
        <v>7204</v>
      </c>
      <c r="H1801" s="5" t="s">
        <v>7205</v>
      </c>
      <c r="I1801" s="5" t="s">
        <v>7206</v>
      </c>
      <c r="J1801" s="5" t="s">
        <v>7207</v>
      </c>
      <c r="K1801" s="5" t="s">
        <v>7208</v>
      </c>
      <c r="L1801" t="s">
        <v>10</v>
      </c>
    </row>
    <row r="1802" spans="1:12" ht="15" customHeight="1" x14ac:dyDescent="0.25">
      <c r="A1802" s="1" t="s">
        <v>2590</v>
      </c>
      <c r="B1802" s="1">
        <v>12</v>
      </c>
      <c r="C1802" s="1" t="s">
        <v>3352</v>
      </c>
      <c r="D1802" s="21">
        <v>64</v>
      </c>
      <c r="E1802" s="9" t="s">
        <v>9000</v>
      </c>
      <c r="F1802" s="24">
        <v>75</v>
      </c>
      <c r="G1802" s="5" t="s">
        <v>7209</v>
      </c>
      <c r="H1802" s="5" t="s">
        <v>7210</v>
      </c>
      <c r="I1802" s="5" t="s">
        <v>7211</v>
      </c>
      <c r="J1802" s="5" t="s">
        <v>7212</v>
      </c>
      <c r="K1802" s="5" t="s">
        <v>7213</v>
      </c>
      <c r="L1802" t="s">
        <v>8</v>
      </c>
    </row>
    <row r="1803" spans="1:12" ht="15" customHeight="1" x14ac:dyDescent="0.25">
      <c r="A1803" s="1" t="s">
        <v>2590</v>
      </c>
      <c r="B1803" s="1">
        <v>13</v>
      </c>
      <c r="C1803" s="1" t="s">
        <v>4093</v>
      </c>
      <c r="D1803" s="21">
        <v>64</v>
      </c>
      <c r="E1803" s="9" t="s">
        <v>9000</v>
      </c>
      <c r="F1803" s="24">
        <v>76</v>
      </c>
      <c r="G1803" s="5" t="s">
        <v>7214</v>
      </c>
      <c r="H1803" s="5" t="s">
        <v>7215</v>
      </c>
      <c r="I1803" s="5" t="s">
        <v>7216</v>
      </c>
      <c r="J1803" s="5" t="s">
        <v>7217</v>
      </c>
      <c r="K1803" s="5" t="s">
        <v>7218</v>
      </c>
      <c r="L1803" t="s">
        <v>7</v>
      </c>
    </row>
    <row r="1804" spans="1:12" ht="15" customHeight="1" x14ac:dyDescent="0.25">
      <c r="A1804" s="1" t="s">
        <v>2590</v>
      </c>
      <c r="B1804" s="1">
        <v>12</v>
      </c>
      <c r="C1804" s="1" t="s">
        <v>3352</v>
      </c>
      <c r="D1804" s="21">
        <v>64</v>
      </c>
      <c r="E1804" s="9" t="s">
        <v>9000</v>
      </c>
      <c r="F1804" s="24">
        <v>77</v>
      </c>
      <c r="G1804" s="5" t="s">
        <v>7219</v>
      </c>
      <c r="H1804" s="5" t="s">
        <v>7220</v>
      </c>
      <c r="I1804" s="5" t="s">
        <v>4065</v>
      </c>
      <c r="J1804" s="5" t="s">
        <v>7221</v>
      </c>
      <c r="K1804" s="5" t="s">
        <v>7222</v>
      </c>
      <c r="L1804" t="s">
        <v>7</v>
      </c>
    </row>
    <row r="1805" spans="1:12" ht="15" customHeight="1" x14ac:dyDescent="0.25">
      <c r="A1805" s="1" t="s">
        <v>2590</v>
      </c>
      <c r="B1805" s="1">
        <v>11</v>
      </c>
      <c r="C1805" s="1" t="s">
        <v>3187</v>
      </c>
      <c r="D1805" s="21">
        <v>64</v>
      </c>
      <c r="E1805" s="9" t="s">
        <v>9000</v>
      </c>
      <c r="F1805" s="24">
        <v>78</v>
      </c>
      <c r="G1805" s="5" t="s">
        <v>7223</v>
      </c>
      <c r="H1805" s="5" t="s">
        <v>7224</v>
      </c>
      <c r="I1805" s="5" t="s">
        <v>7225</v>
      </c>
      <c r="J1805" s="5" t="s">
        <v>6091</v>
      </c>
      <c r="K1805" s="5" t="s">
        <v>7226</v>
      </c>
      <c r="L1805" t="s">
        <v>7</v>
      </c>
    </row>
    <row r="1806" spans="1:12" ht="15" customHeight="1" x14ac:dyDescent="0.25">
      <c r="A1806" s="1" t="s">
        <v>2590</v>
      </c>
      <c r="B1806" s="1">
        <v>11</v>
      </c>
      <c r="C1806" s="1" t="s">
        <v>3187</v>
      </c>
      <c r="D1806" s="21">
        <v>64</v>
      </c>
      <c r="E1806" s="9" t="s">
        <v>9000</v>
      </c>
      <c r="F1806" s="24">
        <v>79</v>
      </c>
      <c r="G1806" s="5" t="s">
        <v>7227</v>
      </c>
      <c r="H1806" s="5" t="s">
        <v>7228</v>
      </c>
      <c r="I1806" s="5" t="s">
        <v>7229</v>
      </c>
      <c r="J1806" s="5" t="s">
        <v>7230</v>
      </c>
      <c r="K1806" s="5" t="s">
        <v>7231</v>
      </c>
      <c r="L1806" t="s">
        <v>8</v>
      </c>
    </row>
    <row r="1807" spans="1:12" ht="15" customHeight="1" x14ac:dyDescent="0.25">
      <c r="A1807" s="1" t="s">
        <v>2590</v>
      </c>
      <c r="B1807" s="1">
        <v>9</v>
      </c>
      <c r="C1807" s="1" t="s">
        <v>8378</v>
      </c>
      <c r="D1807" s="21">
        <v>64</v>
      </c>
      <c r="E1807" s="9" t="s">
        <v>9000</v>
      </c>
      <c r="F1807" s="24">
        <v>80</v>
      </c>
      <c r="G1807" s="5" t="s">
        <v>7232</v>
      </c>
      <c r="H1807" s="5" t="s">
        <v>7233</v>
      </c>
      <c r="I1807" s="5" t="s">
        <v>7234</v>
      </c>
      <c r="J1807" s="5" t="s">
        <v>7235</v>
      </c>
      <c r="K1807" s="5" t="s">
        <v>7236</v>
      </c>
      <c r="L1807" t="s">
        <v>8</v>
      </c>
    </row>
    <row r="1808" spans="1:12" ht="15" customHeight="1" x14ac:dyDescent="0.25">
      <c r="A1808" s="1" t="s">
        <v>2590</v>
      </c>
      <c r="B1808" s="1">
        <v>11</v>
      </c>
      <c r="C1808" s="1" t="s">
        <v>3187</v>
      </c>
      <c r="D1808" s="21">
        <v>64</v>
      </c>
      <c r="E1808" s="9" t="s">
        <v>9000</v>
      </c>
      <c r="F1808" s="24">
        <v>81</v>
      </c>
      <c r="G1808" s="5" t="s">
        <v>7237</v>
      </c>
      <c r="H1808" s="5" t="s">
        <v>7238</v>
      </c>
      <c r="I1808" s="5" t="s">
        <v>7239</v>
      </c>
      <c r="J1808" s="5" t="s">
        <v>7240</v>
      </c>
      <c r="K1808" s="5" t="s">
        <v>7241</v>
      </c>
      <c r="L1808" t="s">
        <v>8</v>
      </c>
    </row>
    <row r="1809" spans="1:12" ht="15" customHeight="1" x14ac:dyDescent="0.25">
      <c r="A1809" s="1" t="s">
        <v>2590</v>
      </c>
      <c r="B1809" s="1">
        <v>12</v>
      </c>
      <c r="C1809" s="1" t="s">
        <v>3352</v>
      </c>
      <c r="D1809" s="21">
        <v>64</v>
      </c>
      <c r="E1809" s="9" t="s">
        <v>9000</v>
      </c>
      <c r="F1809" s="24">
        <v>82</v>
      </c>
      <c r="G1809" s="5" t="s">
        <v>7242</v>
      </c>
      <c r="H1809" s="5" t="s">
        <v>7243</v>
      </c>
      <c r="I1809" s="5" t="s">
        <v>7244</v>
      </c>
      <c r="J1809" s="5" t="s">
        <v>7245</v>
      </c>
      <c r="K1809" s="5" t="s">
        <v>7246</v>
      </c>
      <c r="L1809" t="s">
        <v>8</v>
      </c>
    </row>
    <row r="1810" spans="1:12" ht="15" customHeight="1" x14ac:dyDescent="0.25">
      <c r="A1810" s="1" t="s">
        <v>2590</v>
      </c>
      <c r="B1810" s="1">
        <v>11</v>
      </c>
      <c r="C1810" s="1" t="s">
        <v>3187</v>
      </c>
      <c r="D1810" s="21">
        <v>64</v>
      </c>
      <c r="E1810" s="9" t="s">
        <v>9000</v>
      </c>
      <c r="F1810" s="24">
        <v>83</v>
      </c>
      <c r="G1810" s="5" t="s">
        <v>7247</v>
      </c>
      <c r="H1810" s="5" t="s">
        <v>7248</v>
      </c>
      <c r="I1810" s="5" t="s">
        <v>7249</v>
      </c>
      <c r="J1810" s="5" t="s">
        <v>7250</v>
      </c>
      <c r="K1810" s="5" t="s">
        <v>7251</v>
      </c>
      <c r="L1810" t="s">
        <v>8</v>
      </c>
    </row>
    <row r="1811" spans="1:12" ht="15" customHeight="1" x14ac:dyDescent="0.25">
      <c r="A1811" s="1" t="s">
        <v>2590</v>
      </c>
      <c r="B1811" s="1">
        <v>26</v>
      </c>
      <c r="C1811" s="1" t="s">
        <v>7671</v>
      </c>
      <c r="D1811" s="21">
        <v>64</v>
      </c>
      <c r="E1811" s="9" t="s">
        <v>9000</v>
      </c>
      <c r="F1811" s="24">
        <v>84</v>
      </c>
      <c r="G1811" s="5" t="s">
        <v>7252</v>
      </c>
      <c r="H1811" s="5" t="s">
        <v>7253</v>
      </c>
      <c r="I1811" s="5" t="s">
        <v>7254</v>
      </c>
      <c r="J1811" s="5" t="s">
        <v>7255</v>
      </c>
      <c r="K1811" s="5" t="s">
        <v>7256</v>
      </c>
      <c r="L1811" t="s">
        <v>10</v>
      </c>
    </row>
    <row r="1812" spans="1:12" ht="15" customHeight="1" x14ac:dyDescent="0.25">
      <c r="A1812" s="1" t="s">
        <v>2590</v>
      </c>
      <c r="B1812" s="1">
        <v>9</v>
      </c>
      <c r="C1812" s="1" t="s">
        <v>8378</v>
      </c>
      <c r="D1812" s="21">
        <v>64</v>
      </c>
      <c r="E1812" s="9" t="s">
        <v>9000</v>
      </c>
      <c r="F1812" s="24">
        <v>85</v>
      </c>
      <c r="G1812" s="5" t="s">
        <v>7257</v>
      </c>
      <c r="H1812" s="5" t="s">
        <v>7258</v>
      </c>
      <c r="I1812" s="5" t="s">
        <v>6873</v>
      </c>
      <c r="J1812" s="5" t="s">
        <v>6874</v>
      </c>
      <c r="K1812" s="5" t="s">
        <v>7259</v>
      </c>
      <c r="L1812" t="s">
        <v>10</v>
      </c>
    </row>
    <row r="1813" spans="1:12" ht="15" customHeight="1" x14ac:dyDescent="0.25">
      <c r="A1813" s="1" t="s">
        <v>2590</v>
      </c>
      <c r="B1813" s="1">
        <v>10</v>
      </c>
      <c r="C1813" s="1" t="s">
        <v>2591</v>
      </c>
      <c r="D1813" s="21">
        <v>64</v>
      </c>
      <c r="E1813" s="9" t="s">
        <v>9000</v>
      </c>
      <c r="F1813" s="24">
        <v>86</v>
      </c>
      <c r="G1813" s="5" t="s">
        <v>7260</v>
      </c>
      <c r="H1813" s="5" t="s">
        <v>7261</v>
      </c>
      <c r="I1813" s="5" t="s">
        <v>7262</v>
      </c>
      <c r="J1813" s="5" t="s">
        <v>7263</v>
      </c>
      <c r="K1813" s="5" t="s">
        <v>7264</v>
      </c>
      <c r="L1813" t="s">
        <v>7</v>
      </c>
    </row>
    <row r="1814" spans="1:12" ht="15" customHeight="1" x14ac:dyDescent="0.25">
      <c r="A1814" s="1" t="s">
        <v>2590</v>
      </c>
      <c r="B1814" s="1">
        <v>15</v>
      </c>
      <c r="C1814" s="9" t="s">
        <v>5066</v>
      </c>
      <c r="D1814" s="21">
        <v>64</v>
      </c>
      <c r="E1814" s="9" t="s">
        <v>9000</v>
      </c>
      <c r="F1814" s="24">
        <v>87</v>
      </c>
      <c r="G1814" s="5" t="s">
        <v>7265</v>
      </c>
      <c r="H1814" s="5" t="s">
        <v>7266</v>
      </c>
      <c r="I1814" s="5" t="s">
        <v>7267</v>
      </c>
      <c r="J1814" s="5" t="s">
        <v>7268</v>
      </c>
      <c r="K1814" s="5" t="s">
        <v>7269</v>
      </c>
      <c r="L1814" t="s">
        <v>10</v>
      </c>
    </row>
    <row r="1815" spans="1:12" ht="15" customHeight="1" x14ac:dyDescent="0.25">
      <c r="A1815" s="1" t="s">
        <v>2590</v>
      </c>
      <c r="B1815" s="1">
        <v>11</v>
      </c>
      <c r="C1815" s="1" t="s">
        <v>3187</v>
      </c>
      <c r="D1815" s="21">
        <v>64</v>
      </c>
      <c r="E1815" s="9" t="s">
        <v>9000</v>
      </c>
      <c r="F1815" s="24">
        <v>88</v>
      </c>
      <c r="G1815" s="5" t="s">
        <v>7270</v>
      </c>
      <c r="H1815" s="5" t="s">
        <v>7271</v>
      </c>
      <c r="I1815" s="5" t="s">
        <v>7272</v>
      </c>
      <c r="J1815" s="5" t="s">
        <v>7273</v>
      </c>
      <c r="K1815" s="5" t="s">
        <v>7274</v>
      </c>
      <c r="L1815" t="s">
        <v>9</v>
      </c>
    </row>
    <row r="1816" spans="1:12" ht="15" customHeight="1" x14ac:dyDescent="0.25">
      <c r="A1816" s="1" t="s">
        <v>2590</v>
      </c>
      <c r="B1816" s="1">
        <v>9</v>
      </c>
      <c r="C1816" s="1" t="s">
        <v>8378</v>
      </c>
      <c r="D1816" s="21">
        <v>64</v>
      </c>
      <c r="E1816" s="9" t="s">
        <v>9000</v>
      </c>
      <c r="F1816" s="24">
        <v>89</v>
      </c>
      <c r="G1816" s="5" t="s">
        <v>7275</v>
      </c>
      <c r="H1816" s="5" t="s">
        <v>7276</v>
      </c>
      <c r="I1816" s="5" t="s">
        <v>7277</v>
      </c>
      <c r="J1816" s="5" t="s">
        <v>7278</v>
      </c>
      <c r="K1816" s="5" t="s">
        <v>7279</v>
      </c>
      <c r="L1816" t="s">
        <v>8</v>
      </c>
    </row>
    <row r="1817" spans="1:12" ht="15" customHeight="1" x14ac:dyDescent="0.25">
      <c r="A1817" s="1" t="s">
        <v>2590</v>
      </c>
      <c r="B1817" s="1">
        <v>10</v>
      </c>
      <c r="C1817" s="1" t="s">
        <v>2591</v>
      </c>
      <c r="D1817" s="21">
        <v>64</v>
      </c>
      <c r="E1817" s="9" t="s">
        <v>9000</v>
      </c>
      <c r="F1817" s="24">
        <v>90</v>
      </c>
      <c r="G1817" s="5" t="s">
        <v>7280</v>
      </c>
      <c r="H1817" s="5" t="s">
        <v>7281</v>
      </c>
      <c r="I1817" s="5" t="s">
        <v>7282</v>
      </c>
      <c r="J1817" s="5" t="s">
        <v>7283</v>
      </c>
      <c r="K1817" s="5" t="s">
        <v>7284</v>
      </c>
      <c r="L1817" t="s">
        <v>9</v>
      </c>
    </row>
    <row r="1818" spans="1:12" ht="15" customHeight="1" x14ac:dyDescent="0.25">
      <c r="A1818" s="1" t="s">
        <v>2590</v>
      </c>
      <c r="B1818" s="1">
        <v>28</v>
      </c>
      <c r="C1818" s="1" t="s">
        <v>3882</v>
      </c>
      <c r="D1818" s="21">
        <v>64</v>
      </c>
      <c r="E1818" s="9" t="s">
        <v>9000</v>
      </c>
      <c r="F1818" s="24">
        <v>91</v>
      </c>
      <c r="G1818" s="5" t="s">
        <v>7285</v>
      </c>
      <c r="H1818" s="5" t="s">
        <v>7286</v>
      </c>
      <c r="I1818" s="5" t="s">
        <v>7287</v>
      </c>
      <c r="J1818" s="5" t="s">
        <v>7288</v>
      </c>
      <c r="K1818" s="5" t="s">
        <v>7289</v>
      </c>
      <c r="L1818" t="s">
        <v>9</v>
      </c>
    </row>
    <row r="1819" spans="1:12" ht="15" customHeight="1" x14ac:dyDescent="0.25">
      <c r="A1819" s="1" t="s">
        <v>2590</v>
      </c>
      <c r="B1819" s="1">
        <v>11</v>
      </c>
      <c r="C1819" s="1" t="s">
        <v>3187</v>
      </c>
      <c r="D1819" s="21">
        <v>64</v>
      </c>
      <c r="E1819" s="9" t="s">
        <v>9000</v>
      </c>
      <c r="F1819" s="24">
        <v>92</v>
      </c>
      <c r="G1819" s="5" t="s">
        <v>7290</v>
      </c>
      <c r="H1819" s="5" t="s">
        <v>7291</v>
      </c>
      <c r="I1819" s="5" t="s">
        <v>7292</v>
      </c>
      <c r="J1819" s="5" t="s">
        <v>7293</v>
      </c>
      <c r="K1819" s="5" t="s">
        <v>7294</v>
      </c>
      <c r="L1819" t="s">
        <v>9</v>
      </c>
    </row>
    <row r="1820" spans="1:12" ht="15" customHeight="1" x14ac:dyDescent="0.25">
      <c r="A1820" s="1" t="s">
        <v>2590</v>
      </c>
      <c r="B1820" s="1">
        <v>9</v>
      </c>
      <c r="C1820" s="1" t="s">
        <v>8378</v>
      </c>
      <c r="D1820" s="21">
        <v>64</v>
      </c>
      <c r="E1820" s="9" t="s">
        <v>9000</v>
      </c>
      <c r="F1820" s="24">
        <v>93</v>
      </c>
      <c r="G1820" s="5" t="s">
        <v>7295</v>
      </c>
      <c r="H1820" s="5" t="s">
        <v>7259</v>
      </c>
      <c r="I1820" s="5" t="s">
        <v>7296</v>
      </c>
      <c r="J1820" s="5" t="s">
        <v>7258</v>
      </c>
      <c r="K1820" s="5" t="s">
        <v>7297</v>
      </c>
      <c r="L1820" t="s">
        <v>10</v>
      </c>
    </row>
    <row r="1821" spans="1:12" ht="15" customHeight="1" x14ac:dyDescent="0.25">
      <c r="A1821" s="1" t="s">
        <v>2590</v>
      </c>
      <c r="B1821" s="1">
        <v>11</v>
      </c>
      <c r="C1821" s="1" t="s">
        <v>3187</v>
      </c>
      <c r="D1821" s="21">
        <v>64</v>
      </c>
      <c r="E1821" s="9" t="s">
        <v>9000</v>
      </c>
      <c r="F1821" s="24">
        <v>94</v>
      </c>
      <c r="G1821" s="5" t="s">
        <v>7298</v>
      </c>
      <c r="H1821" s="5" t="s">
        <v>7299</v>
      </c>
      <c r="I1821" s="5" t="s">
        <v>7300</v>
      </c>
      <c r="J1821" s="5" t="s">
        <v>7301</v>
      </c>
      <c r="K1821" s="5" t="s">
        <v>7302</v>
      </c>
      <c r="L1821" t="s">
        <v>9</v>
      </c>
    </row>
    <row r="1822" spans="1:12" ht="15" customHeight="1" x14ac:dyDescent="0.25">
      <c r="A1822" s="1" t="s">
        <v>2590</v>
      </c>
      <c r="B1822" s="1">
        <v>10</v>
      </c>
      <c r="C1822" s="1" t="s">
        <v>2591</v>
      </c>
      <c r="D1822" s="21">
        <v>64</v>
      </c>
      <c r="E1822" s="9" t="s">
        <v>9000</v>
      </c>
      <c r="F1822" s="24">
        <v>95</v>
      </c>
      <c r="G1822" s="5" t="s">
        <v>7303</v>
      </c>
      <c r="H1822" s="5" t="s">
        <v>7304</v>
      </c>
      <c r="I1822" s="5" t="s">
        <v>7305</v>
      </c>
      <c r="J1822" s="5" t="s">
        <v>7306</v>
      </c>
      <c r="K1822" s="5" t="s">
        <v>7307</v>
      </c>
      <c r="L1822" t="s">
        <v>10</v>
      </c>
    </row>
    <row r="1823" spans="1:12" ht="15" customHeight="1" x14ac:dyDescent="0.25">
      <c r="A1823" s="1" t="s">
        <v>2590</v>
      </c>
      <c r="B1823" s="1">
        <v>12</v>
      </c>
      <c r="C1823" s="1" t="s">
        <v>3352</v>
      </c>
      <c r="D1823" s="21">
        <v>64</v>
      </c>
      <c r="E1823" s="9" t="s">
        <v>9000</v>
      </c>
      <c r="F1823" s="24">
        <v>96</v>
      </c>
      <c r="G1823" s="5" t="s">
        <v>7308</v>
      </c>
      <c r="H1823" s="5" t="s">
        <v>7309</v>
      </c>
      <c r="I1823" s="5" t="s">
        <v>7310</v>
      </c>
      <c r="J1823" s="5" t="s">
        <v>7311</v>
      </c>
      <c r="K1823" s="5" t="s">
        <v>7312</v>
      </c>
      <c r="L1823" t="s">
        <v>8</v>
      </c>
    </row>
    <row r="1824" spans="1:12" ht="15" customHeight="1" x14ac:dyDescent="0.25">
      <c r="A1824" s="1" t="s">
        <v>2590</v>
      </c>
      <c r="B1824" s="1">
        <v>9</v>
      </c>
      <c r="C1824" s="1" t="s">
        <v>8378</v>
      </c>
      <c r="D1824" s="21">
        <v>64</v>
      </c>
      <c r="E1824" s="9" t="s">
        <v>9000</v>
      </c>
      <c r="F1824" s="24">
        <v>97</v>
      </c>
      <c r="G1824" s="5" t="s">
        <v>7313</v>
      </c>
      <c r="H1824" s="5" t="s">
        <v>7314</v>
      </c>
      <c r="I1824" s="5" t="s">
        <v>7315</v>
      </c>
      <c r="J1824" s="5" t="s">
        <v>7316</v>
      </c>
      <c r="K1824" s="5" t="s">
        <v>7317</v>
      </c>
      <c r="L1824" t="s">
        <v>10</v>
      </c>
    </row>
    <row r="1825" spans="1:12" ht="15" customHeight="1" x14ac:dyDescent="0.25">
      <c r="A1825" s="1" t="s">
        <v>2590</v>
      </c>
      <c r="B1825" s="1">
        <v>12</v>
      </c>
      <c r="C1825" s="1" t="s">
        <v>3352</v>
      </c>
      <c r="D1825" s="21">
        <v>64</v>
      </c>
      <c r="E1825" s="9" t="s">
        <v>9000</v>
      </c>
      <c r="F1825" s="24">
        <v>98</v>
      </c>
      <c r="G1825" s="5" t="s">
        <v>7318</v>
      </c>
      <c r="H1825" s="5" t="s">
        <v>7319</v>
      </c>
      <c r="I1825" s="5" t="s">
        <v>7320</v>
      </c>
      <c r="J1825" s="5" t="s">
        <v>7321</v>
      </c>
      <c r="K1825" s="5" t="s">
        <v>7322</v>
      </c>
      <c r="L1825" t="s">
        <v>9</v>
      </c>
    </row>
    <row r="1826" spans="1:12" ht="15" customHeight="1" x14ac:dyDescent="0.25">
      <c r="A1826" s="1" t="s">
        <v>2590</v>
      </c>
      <c r="B1826" s="1">
        <v>11</v>
      </c>
      <c r="C1826" s="1" t="s">
        <v>3187</v>
      </c>
      <c r="D1826" s="21">
        <v>64</v>
      </c>
      <c r="E1826" s="9" t="s">
        <v>9000</v>
      </c>
      <c r="F1826" s="24">
        <v>99</v>
      </c>
      <c r="G1826" s="5" t="s">
        <v>7323</v>
      </c>
      <c r="H1826" s="5" t="s">
        <v>7324</v>
      </c>
      <c r="I1826" s="5" t="s">
        <v>7325</v>
      </c>
      <c r="J1826" s="5" t="s">
        <v>7326</v>
      </c>
      <c r="K1826" s="5" t="s">
        <v>7206</v>
      </c>
      <c r="L1826" t="s">
        <v>9</v>
      </c>
    </row>
    <row r="1827" spans="1:12" ht="15" customHeight="1" x14ac:dyDescent="0.25">
      <c r="A1827" s="1" t="s">
        <v>2590</v>
      </c>
      <c r="B1827" s="1">
        <v>28</v>
      </c>
      <c r="C1827" s="1" t="s">
        <v>3882</v>
      </c>
      <c r="D1827" s="21">
        <v>64</v>
      </c>
      <c r="E1827" s="9" t="s">
        <v>9000</v>
      </c>
      <c r="F1827" s="24">
        <v>100</v>
      </c>
      <c r="G1827" s="5" t="s">
        <v>7327</v>
      </c>
      <c r="H1827" s="5" t="s">
        <v>7328</v>
      </c>
      <c r="I1827" s="5" t="s">
        <v>7329</v>
      </c>
      <c r="J1827" s="5" t="s">
        <v>7330</v>
      </c>
      <c r="K1827" s="5" t="s">
        <v>7331</v>
      </c>
      <c r="L1827" t="s">
        <v>9</v>
      </c>
    </row>
    <row r="1828" spans="1:12" ht="15" customHeight="1" x14ac:dyDescent="0.25">
      <c r="A1828" s="1" t="s">
        <v>2590</v>
      </c>
      <c r="B1828" s="1">
        <v>23</v>
      </c>
      <c r="C1828" s="1" t="s">
        <v>7378</v>
      </c>
      <c r="D1828" s="21">
        <v>65</v>
      </c>
      <c r="E1828" s="1" t="s">
        <v>7379</v>
      </c>
      <c r="F1828" s="24">
        <v>1</v>
      </c>
      <c r="G1828" s="5" t="s">
        <v>7380</v>
      </c>
      <c r="H1828" s="5" t="s">
        <v>7381</v>
      </c>
      <c r="I1828" s="5" t="s">
        <v>7382</v>
      </c>
      <c r="J1828" s="5" t="s">
        <v>7383</v>
      </c>
      <c r="K1828" s="5" t="s">
        <v>7384</v>
      </c>
      <c r="L1828" s="5" t="s">
        <v>7</v>
      </c>
    </row>
    <row r="1829" spans="1:12" ht="15" customHeight="1" x14ac:dyDescent="0.25">
      <c r="A1829" s="1" t="s">
        <v>2590</v>
      </c>
      <c r="B1829" s="1">
        <v>23</v>
      </c>
      <c r="C1829" s="1" t="s">
        <v>7378</v>
      </c>
      <c r="D1829" s="21">
        <v>65</v>
      </c>
      <c r="E1829" s="1" t="s">
        <v>7379</v>
      </c>
      <c r="F1829" s="24">
        <v>2</v>
      </c>
      <c r="G1829" s="5" t="s">
        <v>7385</v>
      </c>
      <c r="H1829" s="5" t="s">
        <v>7386</v>
      </c>
      <c r="I1829" s="5" t="s">
        <v>7387</v>
      </c>
      <c r="J1829" s="5" t="s">
        <v>7388</v>
      </c>
      <c r="K1829" s="5" t="s">
        <v>7389</v>
      </c>
      <c r="L1829" s="5" t="s">
        <v>8</v>
      </c>
    </row>
    <row r="1830" spans="1:12" ht="15" customHeight="1" x14ac:dyDescent="0.25">
      <c r="A1830" s="1" t="s">
        <v>2590</v>
      </c>
      <c r="B1830" s="1">
        <v>23</v>
      </c>
      <c r="C1830" s="1" t="s">
        <v>7378</v>
      </c>
      <c r="D1830" s="21">
        <v>65</v>
      </c>
      <c r="E1830" s="1" t="s">
        <v>7379</v>
      </c>
      <c r="F1830" s="24">
        <v>3</v>
      </c>
      <c r="G1830" s="5" t="s">
        <v>7390</v>
      </c>
      <c r="H1830" s="5" t="s">
        <v>7391</v>
      </c>
      <c r="I1830" s="5" t="s">
        <v>7392</v>
      </c>
      <c r="J1830" s="5" t="s">
        <v>7393</v>
      </c>
      <c r="K1830" s="5" t="s">
        <v>7394</v>
      </c>
      <c r="L1830" s="5" t="s">
        <v>10</v>
      </c>
    </row>
    <row r="1831" spans="1:12" ht="15" customHeight="1" x14ac:dyDescent="0.25">
      <c r="A1831" s="1" t="s">
        <v>2590</v>
      </c>
      <c r="B1831" s="1">
        <v>23</v>
      </c>
      <c r="C1831" s="1" t="s">
        <v>7378</v>
      </c>
      <c r="D1831" s="21">
        <v>65</v>
      </c>
      <c r="E1831" s="1" t="s">
        <v>7379</v>
      </c>
      <c r="F1831" s="24">
        <v>4</v>
      </c>
      <c r="G1831" s="5" t="s">
        <v>7395</v>
      </c>
      <c r="H1831" s="5" t="s">
        <v>7396</v>
      </c>
      <c r="I1831" s="5" t="s">
        <v>7397</v>
      </c>
      <c r="J1831" s="5" t="s">
        <v>7398</v>
      </c>
      <c r="K1831" s="5" t="s">
        <v>7399</v>
      </c>
      <c r="L1831" s="5" t="s">
        <v>8</v>
      </c>
    </row>
    <row r="1832" spans="1:12" ht="15" customHeight="1" x14ac:dyDescent="0.25">
      <c r="A1832" s="1" t="s">
        <v>2590</v>
      </c>
      <c r="B1832" s="1">
        <v>23</v>
      </c>
      <c r="C1832" s="1" t="s">
        <v>7378</v>
      </c>
      <c r="D1832" s="21">
        <v>65</v>
      </c>
      <c r="E1832" s="1" t="s">
        <v>7379</v>
      </c>
      <c r="F1832" s="24">
        <v>5</v>
      </c>
      <c r="G1832" s="5" t="s">
        <v>7400</v>
      </c>
      <c r="H1832" s="5" t="s">
        <v>7401</v>
      </c>
      <c r="I1832" s="5" t="s">
        <v>7402</v>
      </c>
      <c r="J1832" s="5" t="s">
        <v>7403</v>
      </c>
      <c r="K1832" s="5" t="s">
        <v>7404</v>
      </c>
      <c r="L1832" s="5" t="s">
        <v>9</v>
      </c>
    </row>
    <row r="1833" spans="1:12" ht="15" customHeight="1" x14ac:dyDescent="0.25">
      <c r="A1833" s="1" t="s">
        <v>2590</v>
      </c>
      <c r="B1833" s="1">
        <v>23</v>
      </c>
      <c r="C1833" s="1" t="s">
        <v>7378</v>
      </c>
      <c r="D1833" s="21">
        <v>65</v>
      </c>
      <c r="E1833" s="1" t="s">
        <v>7379</v>
      </c>
      <c r="F1833" s="24">
        <v>6</v>
      </c>
      <c r="G1833" s="5" t="s">
        <v>7405</v>
      </c>
      <c r="H1833" s="5" t="s">
        <v>7406</v>
      </c>
      <c r="I1833" s="5" t="s">
        <v>7407</v>
      </c>
      <c r="J1833" s="5" t="s">
        <v>7408</v>
      </c>
      <c r="K1833" s="5" t="s">
        <v>7409</v>
      </c>
      <c r="L1833" s="5" t="s">
        <v>8</v>
      </c>
    </row>
    <row r="1834" spans="1:12" ht="15" customHeight="1" x14ac:dyDescent="0.25">
      <c r="A1834" s="1" t="s">
        <v>2590</v>
      </c>
      <c r="B1834" s="1">
        <v>23</v>
      </c>
      <c r="C1834" s="1" t="s">
        <v>7378</v>
      </c>
      <c r="D1834" s="21">
        <v>65</v>
      </c>
      <c r="E1834" s="1" t="s">
        <v>7379</v>
      </c>
      <c r="F1834" s="24">
        <v>7</v>
      </c>
      <c r="G1834" s="5" t="s">
        <v>7410</v>
      </c>
      <c r="H1834" s="5" t="s">
        <v>7411</v>
      </c>
      <c r="I1834" s="5" t="s">
        <v>7412</v>
      </c>
      <c r="J1834" s="5" t="s">
        <v>7413</v>
      </c>
      <c r="K1834" s="5" t="s">
        <v>7414</v>
      </c>
      <c r="L1834" s="5" t="s">
        <v>10</v>
      </c>
    </row>
    <row r="1835" spans="1:12" ht="15" customHeight="1" x14ac:dyDescent="0.25">
      <c r="A1835" s="1" t="s">
        <v>2590</v>
      </c>
      <c r="B1835" s="1">
        <v>23</v>
      </c>
      <c r="C1835" s="1" t="s">
        <v>7378</v>
      </c>
      <c r="D1835" s="21">
        <v>65</v>
      </c>
      <c r="E1835" s="1" t="s">
        <v>7379</v>
      </c>
      <c r="F1835" s="24">
        <v>8</v>
      </c>
      <c r="G1835" s="5" t="s">
        <v>7415</v>
      </c>
      <c r="H1835" s="5" t="s">
        <v>7416</v>
      </c>
      <c r="I1835" s="5" t="s">
        <v>4592</v>
      </c>
      <c r="J1835" s="5" t="s">
        <v>4591</v>
      </c>
      <c r="K1835" s="5" t="s">
        <v>7417</v>
      </c>
      <c r="L1835" s="5" t="s">
        <v>9</v>
      </c>
    </row>
    <row r="1836" spans="1:12" ht="15" customHeight="1" x14ac:dyDescent="0.25">
      <c r="A1836" s="1" t="s">
        <v>2590</v>
      </c>
      <c r="B1836" s="1">
        <v>23</v>
      </c>
      <c r="C1836" s="1" t="s">
        <v>7378</v>
      </c>
      <c r="D1836" s="21">
        <v>65</v>
      </c>
      <c r="E1836" s="1" t="s">
        <v>7379</v>
      </c>
      <c r="F1836" s="24">
        <v>9</v>
      </c>
      <c r="G1836" s="5" t="s">
        <v>7418</v>
      </c>
      <c r="H1836" s="5" t="s">
        <v>7419</v>
      </c>
      <c r="I1836" s="5" t="s">
        <v>7420</v>
      </c>
      <c r="J1836" s="5" t="s">
        <v>7421</v>
      </c>
      <c r="K1836" s="5" t="s">
        <v>7422</v>
      </c>
      <c r="L1836" s="5" t="s">
        <v>9</v>
      </c>
    </row>
    <row r="1837" spans="1:12" ht="15" customHeight="1" x14ac:dyDescent="0.25">
      <c r="A1837" s="1" t="s">
        <v>2590</v>
      </c>
      <c r="B1837" s="1">
        <v>23</v>
      </c>
      <c r="C1837" s="1" t="s">
        <v>7378</v>
      </c>
      <c r="D1837" s="21">
        <v>65</v>
      </c>
      <c r="E1837" s="1" t="s">
        <v>7379</v>
      </c>
      <c r="F1837" s="24">
        <v>10</v>
      </c>
      <c r="G1837" s="5" t="s">
        <v>7423</v>
      </c>
      <c r="H1837" s="5" t="s">
        <v>7424</v>
      </c>
      <c r="I1837" s="5" t="s">
        <v>7425</v>
      </c>
      <c r="J1837" s="5" t="s">
        <v>7426</v>
      </c>
      <c r="K1837" s="5" t="s">
        <v>7427</v>
      </c>
      <c r="L1837" s="5" t="s">
        <v>8</v>
      </c>
    </row>
    <row r="1838" spans="1:12" ht="15" customHeight="1" x14ac:dyDescent="0.25">
      <c r="A1838" s="1" t="s">
        <v>2590</v>
      </c>
      <c r="B1838" s="1">
        <v>23</v>
      </c>
      <c r="C1838" s="1" t="s">
        <v>7378</v>
      </c>
      <c r="D1838" s="21">
        <v>65</v>
      </c>
      <c r="E1838" s="1" t="s">
        <v>7379</v>
      </c>
      <c r="F1838" s="24">
        <v>11</v>
      </c>
      <c r="G1838" s="5" t="s">
        <v>7428</v>
      </c>
      <c r="H1838" s="5" t="s">
        <v>7429</v>
      </c>
      <c r="I1838" s="5" t="s">
        <v>7430</v>
      </c>
      <c r="J1838" s="5" t="s">
        <v>7431</v>
      </c>
      <c r="K1838" s="5" t="s">
        <v>7432</v>
      </c>
      <c r="L1838" s="5" t="s">
        <v>9</v>
      </c>
    </row>
    <row r="1839" spans="1:12" ht="15" customHeight="1" x14ac:dyDescent="0.25">
      <c r="A1839" s="1" t="s">
        <v>2590</v>
      </c>
      <c r="B1839" s="1">
        <v>23</v>
      </c>
      <c r="C1839" s="1" t="s">
        <v>7378</v>
      </c>
      <c r="D1839" s="21">
        <v>65</v>
      </c>
      <c r="E1839" s="1" t="s">
        <v>7379</v>
      </c>
      <c r="F1839" s="24">
        <v>12</v>
      </c>
      <c r="G1839" s="5" t="s">
        <v>7433</v>
      </c>
      <c r="H1839" s="5" t="s">
        <v>7434</v>
      </c>
      <c r="I1839" s="5" t="s">
        <v>7435</v>
      </c>
      <c r="J1839" s="5" t="s">
        <v>7436</v>
      </c>
      <c r="K1839" s="5" t="s">
        <v>7437</v>
      </c>
      <c r="L1839" s="5" t="s">
        <v>7</v>
      </c>
    </row>
    <row r="1840" spans="1:12" ht="15" customHeight="1" x14ac:dyDescent="0.25">
      <c r="A1840" s="1" t="s">
        <v>2590</v>
      </c>
      <c r="B1840" s="1">
        <v>23</v>
      </c>
      <c r="C1840" s="1" t="s">
        <v>7378</v>
      </c>
      <c r="D1840" s="21">
        <v>65</v>
      </c>
      <c r="E1840" s="1" t="s">
        <v>7379</v>
      </c>
      <c r="F1840" s="24">
        <v>13</v>
      </c>
      <c r="G1840" s="5" t="s">
        <v>7438</v>
      </c>
      <c r="H1840" s="5" t="s">
        <v>7439</v>
      </c>
      <c r="I1840" s="5" t="s">
        <v>7440</v>
      </c>
      <c r="J1840" s="5" t="s">
        <v>7441</v>
      </c>
      <c r="K1840" s="5" t="s">
        <v>7442</v>
      </c>
      <c r="L1840" s="5" t="s">
        <v>7</v>
      </c>
    </row>
    <row r="1841" spans="1:12" ht="15" customHeight="1" x14ac:dyDescent="0.25">
      <c r="A1841" s="1" t="s">
        <v>2590</v>
      </c>
      <c r="B1841" s="1">
        <v>23</v>
      </c>
      <c r="C1841" s="1" t="s">
        <v>7378</v>
      </c>
      <c r="D1841" s="21">
        <v>65</v>
      </c>
      <c r="E1841" s="1" t="s">
        <v>7379</v>
      </c>
      <c r="F1841" s="24">
        <v>14</v>
      </c>
      <c r="G1841" s="5" t="s">
        <v>7443</v>
      </c>
      <c r="H1841" s="5" t="s">
        <v>7444</v>
      </c>
      <c r="I1841" s="5" t="s">
        <v>7445</v>
      </c>
      <c r="J1841" s="5" t="s">
        <v>7446</v>
      </c>
      <c r="K1841" s="5" t="s">
        <v>7447</v>
      </c>
      <c r="L1841" s="5" t="s">
        <v>8</v>
      </c>
    </row>
    <row r="1842" spans="1:12" ht="15" customHeight="1" x14ac:dyDescent="0.25">
      <c r="A1842" s="1" t="s">
        <v>2590</v>
      </c>
      <c r="B1842" s="1">
        <v>23</v>
      </c>
      <c r="C1842" s="1" t="s">
        <v>7378</v>
      </c>
      <c r="D1842" s="21">
        <v>65</v>
      </c>
      <c r="E1842" s="1" t="s">
        <v>7379</v>
      </c>
      <c r="F1842" s="24">
        <v>15</v>
      </c>
      <c r="G1842" s="5" t="s">
        <v>7448</v>
      </c>
      <c r="H1842" s="5" t="s">
        <v>7449</v>
      </c>
      <c r="I1842" s="5" t="s">
        <v>7450</v>
      </c>
      <c r="J1842" s="5" t="s">
        <v>7451</v>
      </c>
      <c r="K1842" s="5" t="s">
        <v>7452</v>
      </c>
      <c r="L1842" s="5" t="s">
        <v>9</v>
      </c>
    </row>
    <row r="1843" spans="1:12" ht="15" customHeight="1" x14ac:dyDescent="0.25">
      <c r="A1843" s="1" t="s">
        <v>2590</v>
      </c>
      <c r="B1843" s="1">
        <v>23</v>
      </c>
      <c r="C1843" s="1" t="s">
        <v>7378</v>
      </c>
      <c r="D1843" s="21">
        <v>65</v>
      </c>
      <c r="E1843" s="1" t="s">
        <v>7379</v>
      </c>
      <c r="F1843" s="24">
        <v>16</v>
      </c>
      <c r="G1843" s="5" t="s">
        <v>7453</v>
      </c>
      <c r="H1843" s="5" t="s">
        <v>7454</v>
      </c>
      <c r="I1843" s="5" t="s">
        <v>7455</v>
      </c>
      <c r="J1843" s="5" t="s">
        <v>7456</v>
      </c>
      <c r="K1843" s="5" t="s">
        <v>7455</v>
      </c>
      <c r="L1843" s="5" t="s">
        <v>7</v>
      </c>
    </row>
    <row r="1844" spans="1:12" ht="15" customHeight="1" x14ac:dyDescent="0.25">
      <c r="A1844" s="1" t="s">
        <v>2590</v>
      </c>
      <c r="B1844" s="1">
        <v>23</v>
      </c>
      <c r="C1844" s="1" t="s">
        <v>7378</v>
      </c>
      <c r="D1844" s="21">
        <v>65</v>
      </c>
      <c r="E1844" s="1" t="s">
        <v>7379</v>
      </c>
      <c r="F1844" s="24">
        <v>17</v>
      </c>
      <c r="G1844" s="5" t="s">
        <v>7457</v>
      </c>
      <c r="H1844" s="5" t="s">
        <v>7458</v>
      </c>
      <c r="I1844" s="5" t="s">
        <v>7459</v>
      </c>
      <c r="J1844" s="5" t="s">
        <v>7460</v>
      </c>
      <c r="K1844" s="5" t="s">
        <v>7461</v>
      </c>
      <c r="L1844" s="5" t="s">
        <v>8</v>
      </c>
    </row>
    <row r="1845" spans="1:12" ht="15" customHeight="1" x14ac:dyDescent="0.25">
      <c r="A1845" s="1" t="s">
        <v>2590</v>
      </c>
      <c r="B1845" s="1">
        <v>23</v>
      </c>
      <c r="C1845" s="1" t="s">
        <v>7378</v>
      </c>
      <c r="D1845" s="21">
        <v>65</v>
      </c>
      <c r="E1845" s="1" t="s">
        <v>7379</v>
      </c>
      <c r="F1845" s="24">
        <v>18</v>
      </c>
      <c r="G1845" s="5" t="s">
        <v>7462</v>
      </c>
      <c r="H1845" s="5" t="s">
        <v>7463</v>
      </c>
      <c r="I1845" s="5" t="s">
        <v>7464</v>
      </c>
      <c r="J1845" s="5" t="s">
        <v>7465</v>
      </c>
      <c r="K1845" s="5" t="s">
        <v>7466</v>
      </c>
      <c r="L1845" s="5" t="s">
        <v>8</v>
      </c>
    </row>
    <row r="1846" spans="1:12" ht="15" customHeight="1" x14ac:dyDescent="0.25">
      <c r="A1846" s="1" t="s">
        <v>2590</v>
      </c>
      <c r="B1846" s="1">
        <v>23</v>
      </c>
      <c r="C1846" s="1" t="s">
        <v>7378</v>
      </c>
      <c r="D1846" s="21">
        <v>65</v>
      </c>
      <c r="E1846" s="1" t="s">
        <v>7379</v>
      </c>
      <c r="F1846" s="24">
        <v>19</v>
      </c>
      <c r="G1846" s="5" t="s">
        <v>7467</v>
      </c>
      <c r="H1846" s="5" t="s">
        <v>7468</v>
      </c>
      <c r="I1846" s="5" t="s">
        <v>7469</v>
      </c>
      <c r="J1846" s="5" t="s">
        <v>9830</v>
      </c>
      <c r="L1846" s="5" t="s">
        <v>7</v>
      </c>
    </row>
    <row r="1847" spans="1:12" ht="15" customHeight="1" x14ac:dyDescent="0.25">
      <c r="A1847" s="1" t="s">
        <v>2590</v>
      </c>
      <c r="B1847" s="1">
        <v>23</v>
      </c>
      <c r="C1847" s="1" t="s">
        <v>7378</v>
      </c>
      <c r="D1847" s="21">
        <v>65</v>
      </c>
      <c r="E1847" s="1" t="s">
        <v>7379</v>
      </c>
      <c r="F1847" s="24">
        <v>20</v>
      </c>
      <c r="G1847" s="5" t="s">
        <v>7780</v>
      </c>
      <c r="H1847" s="5" t="s">
        <v>7470</v>
      </c>
      <c r="I1847" s="5" t="s">
        <v>7471</v>
      </c>
      <c r="J1847" s="5" t="s">
        <v>7472</v>
      </c>
      <c r="K1847" s="5" t="s">
        <v>7473</v>
      </c>
      <c r="L1847" s="5" t="s">
        <v>10</v>
      </c>
    </row>
    <row r="1848" spans="1:12" ht="15" customHeight="1" x14ac:dyDescent="0.25">
      <c r="A1848" s="1" t="s">
        <v>2590</v>
      </c>
      <c r="B1848" s="1">
        <v>11</v>
      </c>
      <c r="C1848" s="9" t="s">
        <v>3187</v>
      </c>
      <c r="D1848" s="22">
        <v>66</v>
      </c>
      <c r="E1848" s="9" t="s">
        <v>7571</v>
      </c>
      <c r="F1848" s="25">
        <v>1</v>
      </c>
      <c r="G1848" t="s">
        <v>7474</v>
      </c>
      <c r="H1848" t="s">
        <v>7475</v>
      </c>
      <c r="I1848" t="s">
        <v>7476</v>
      </c>
      <c r="J1848" t="s">
        <v>7477</v>
      </c>
      <c r="L1848" s="10" t="s">
        <v>8</v>
      </c>
    </row>
    <row r="1849" spans="1:12" ht="15" customHeight="1" x14ac:dyDescent="0.25">
      <c r="A1849" s="1" t="s">
        <v>2590</v>
      </c>
      <c r="B1849" s="1">
        <v>11</v>
      </c>
      <c r="C1849" s="9" t="s">
        <v>3187</v>
      </c>
      <c r="D1849" s="22">
        <v>66</v>
      </c>
      <c r="E1849" s="9" t="s">
        <v>7571</v>
      </c>
      <c r="F1849" s="25">
        <v>2</v>
      </c>
      <c r="G1849" t="s">
        <v>7478</v>
      </c>
      <c r="H1849" t="s">
        <v>7479</v>
      </c>
      <c r="I1849" t="s">
        <v>7480</v>
      </c>
      <c r="J1849" t="s">
        <v>7481</v>
      </c>
      <c r="L1849" t="s">
        <v>9</v>
      </c>
    </row>
    <row r="1850" spans="1:12" ht="15" customHeight="1" x14ac:dyDescent="0.25">
      <c r="A1850" s="1" t="s">
        <v>2590</v>
      </c>
      <c r="B1850" s="1">
        <v>11</v>
      </c>
      <c r="C1850" s="9" t="s">
        <v>3187</v>
      </c>
      <c r="D1850" s="22">
        <v>66</v>
      </c>
      <c r="E1850" s="9" t="s">
        <v>7571</v>
      </c>
      <c r="F1850" s="25">
        <v>3</v>
      </c>
      <c r="G1850" t="s">
        <v>7482</v>
      </c>
      <c r="H1850" t="s">
        <v>7483</v>
      </c>
      <c r="I1850" t="s">
        <v>7484</v>
      </c>
      <c r="J1850" t="s">
        <v>7485</v>
      </c>
      <c r="L1850" t="s">
        <v>7</v>
      </c>
    </row>
    <row r="1851" spans="1:12" ht="15" customHeight="1" x14ac:dyDescent="0.25">
      <c r="A1851" s="1" t="s">
        <v>2590</v>
      </c>
      <c r="B1851" s="1">
        <v>11</v>
      </c>
      <c r="C1851" s="9" t="s">
        <v>3187</v>
      </c>
      <c r="D1851" s="22">
        <v>66</v>
      </c>
      <c r="E1851" s="9" t="s">
        <v>7571</v>
      </c>
      <c r="F1851" s="25">
        <v>4</v>
      </c>
      <c r="G1851" t="s">
        <v>7486</v>
      </c>
      <c r="H1851" t="s">
        <v>7487</v>
      </c>
      <c r="I1851" t="s">
        <v>7488</v>
      </c>
      <c r="J1851" t="s">
        <v>7489</v>
      </c>
      <c r="L1851" t="s">
        <v>9</v>
      </c>
    </row>
    <row r="1852" spans="1:12" ht="15" customHeight="1" x14ac:dyDescent="0.25">
      <c r="A1852" s="1" t="s">
        <v>2590</v>
      </c>
      <c r="B1852" s="1">
        <v>11</v>
      </c>
      <c r="C1852" s="9" t="s">
        <v>3187</v>
      </c>
      <c r="D1852" s="22">
        <v>66</v>
      </c>
      <c r="E1852" s="9" t="s">
        <v>7571</v>
      </c>
      <c r="F1852" s="25">
        <v>5</v>
      </c>
      <c r="G1852" t="s">
        <v>7490</v>
      </c>
      <c r="H1852" t="s">
        <v>7491</v>
      </c>
      <c r="I1852" t="s">
        <v>7492</v>
      </c>
      <c r="J1852" t="s">
        <v>789</v>
      </c>
      <c r="L1852" t="s">
        <v>7</v>
      </c>
    </row>
    <row r="1853" spans="1:12" ht="15" customHeight="1" x14ac:dyDescent="0.25">
      <c r="A1853" s="1" t="s">
        <v>2590</v>
      </c>
      <c r="B1853" s="1">
        <v>11</v>
      </c>
      <c r="C1853" s="9" t="s">
        <v>3187</v>
      </c>
      <c r="D1853" s="22">
        <v>66</v>
      </c>
      <c r="E1853" s="9" t="s">
        <v>7571</v>
      </c>
      <c r="F1853" s="25">
        <v>6</v>
      </c>
      <c r="G1853" t="s">
        <v>7493</v>
      </c>
      <c r="H1853" t="s">
        <v>7494</v>
      </c>
      <c r="I1853" t="s">
        <v>7495</v>
      </c>
      <c r="J1853" t="s">
        <v>7496</v>
      </c>
      <c r="L1853" t="s">
        <v>7</v>
      </c>
    </row>
    <row r="1854" spans="1:12" ht="15" customHeight="1" x14ac:dyDescent="0.25">
      <c r="A1854" s="1" t="s">
        <v>2590</v>
      </c>
      <c r="B1854" s="1">
        <v>11</v>
      </c>
      <c r="C1854" s="9" t="s">
        <v>3187</v>
      </c>
      <c r="D1854" s="22">
        <v>66</v>
      </c>
      <c r="E1854" s="9" t="s">
        <v>7571</v>
      </c>
      <c r="F1854" s="25">
        <v>7</v>
      </c>
      <c r="G1854" t="s">
        <v>7497</v>
      </c>
      <c r="H1854" t="s">
        <v>7498</v>
      </c>
      <c r="I1854" t="s">
        <v>7499</v>
      </c>
      <c r="J1854" t="s">
        <v>7500</v>
      </c>
      <c r="L1854" t="s">
        <v>9</v>
      </c>
    </row>
    <row r="1855" spans="1:12" ht="15" customHeight="1" x14ac:dyDescent="0.25">
      <c r="A1855" s="1" t="s">
        <v>2590</v>
      </c>
      <c r="B1855" s="1">
        <v>11</v>
      </c>
      <c r="C1855" s="9" t="s">
        <v>3187</v>
      </c>
      <c r="D1855" s="22">
        <v>66</v>
      </c>
      <c r="E1855" s="9" t="s">
        <v>7571</v>
      </c>
      <c r="F1855" s="25">
        <v>8</v>
      </c>
      <c r="G1855" t="s">
        <v>7501</v>
      </c>
      <c r="H1855" t="s">
        <v>7502</v>
      </c>
      <c r="I1855" t="s">
        <v>7503</v>
      </c>
      <c r="J1855" t="s">
        <v>7504</v>
      </c>
      <c r="L1855" t="s">
        <v>8</v>
      </c>
    </row>
    <row r="1856" spans="1:12" ht="15" customHeight="1" x14ac:dyDescent="0.25">
      <c r="A1856" s="1" t="s">
        <v>2590</v>
      </c>
      <c r="B1856" s="1">
        <v>11</v>
      </c>
      <c r="C1856" s="9" t="s">
        <v>3187</v>
      </c>
      <c r="D1856" s="22">
        <v>66</v>
      </c>
      <c r="E1856" s="9" t="s">
        <v>7571</v>
      </c>
      <c r="F1856" s="25">
        <v>9</v>
      </c>
      <c r="G1856" t="s">
        <v>7505</v>
      </c>
      <c r="H1856" t="s">
        <v>7506</v>
      </c>
      <c r="I1856" t="s">
        <v>7507</v>
      </c>
      <c r="J1856" t="s">
        <v>7508</v>
      </c>
      <c r="L1856" t="s">
        <v>8</v>
      </c>
    </row>
    <row r="1857" spans="1:12" ht="15" customHeight="1" x14ac:dyDescent="0.25">
      <c r="A1857" s="1" t="s">
        <v>2590</v>
      </c>
      <c r="B1857" s="1">
        <v>11</v>
      </c>
      <c r="C1857" s="9" t="s">
        <v>3187</v>
      </c>
      <c r="D1857" s="22">
        <v>66</v>
      </c>
      <c r="E1857" s="9" t="s">
        <v>7571</v>
      </c>
      <c r="F1857" s="25">
        <v>10</v>
      </c>
      <c r="G1857" t="s">
        <v>7509</v>
      </c>
      <c r="H1857" t="s">
        <v>7510</v>
      </c>
      <c r="I1857" t="s">
        <v>7511</v>
      </c>
      <c r="J1857" t="s">
        <v>7512</v>
      </c>
      <c r="L1857" t="s">
        <v>9</v>
      </c>
    </row>
    <row r="1858" spans="1:12" ht="15" customHeight="1" x14ac:dyDescent="0.25">
      <c r="A1858" s="1" t="s">
        <v>2590</v>
      </c>
      <c r="B1858" s="1">
        <v>11</v>
      </c>
      <c r="C1858" s="9" t="s">
        <v>3187</v>
      </c>
      <c r="D1858" s="22">
        <v>66</v>
      </c>
      <c r="E1858" s="9" t="s">
        <v>7571</v>
      </c>
      <c r="F1858" s="25">
        <v>11</v>
      </c>
      <c r="G1858" t="s">
        <v>7513</v>
      </c>
      <c r="H1858" t="s">
        <v>7514</v>
      </c>
      <c r="I1858" t="s">
        <v>7515</v>
      </c>
      <c r="J1858" t="s">
        <v>7516</v>
      </c>
      <c r="L1858" t="s">
        <v>7</v>
      </c>
    </row>
    <row r="1859" spans="1:12" ht="15" customHeight="1" x14ac:dyDescent="0.25">
      <c r="A1859" s="1" t="s">
        <v>2590</v>
      </c>
      <c r="B1859" s="1">
        <v>11</v>
      </c>
      <c r="C1859" s="9" t="s">
        <v>3187</v>
      </c>
      <c r="D1859" s="22">
        <v>66</v>
      </c>
      <c r="E1859" s="9" t="s">
        <v>7571</v>
      </c>
      <c r="F1859" s="25">
        <v>13</v>
      </c>
      <c r="G1859" t="s">
        <v>7517</v>
      </c>
      <c r="H1859" t="s">
        <v>7518</v>
      </c>
      <c r="I1859" t="s">
        <v>7519</v>
      </c>
      <c r="J1859" t="s">
        <v>7520</v>
      </c>
      <c r="L1859" t="s">
        <v>8</v>
      </c>
    </row>
    <row r="1860" spans="1:12" ht="15" customHeight="1" x14ac:dyDescent="0.25">
      <c r="A1860" s="1" t="s">
        <v>2590</v>
      </c>
      <c r="B1860" s="1">
        <v>11</v>
      </c>
      <c r="C1860" s="9" t="s">
        <v>3187</v>
      </c>
      <c r="D1860" s="22">
        <v>66</v>
      </c>
      <c r="E1860" s="9" t="s">
        <v>7571</v>
      </c>
      <c r="F1860" s="25">
        <v>14</v>
      </c>
      <c r="G1860" t="s">
        <v>7521</v>
      </c>
      <c r="H1860" t="s">
        <v>7522</v>
      </c>
      <c r="I1860" t="s">
        <v>7523</v>
      </c>
      <c r="J1860" t="s">
        <v>7524</v>
      </c>
      <c r="L1860" t="s">
        <v>7</v>
      </c>
    </row>
    <row r="1861" spans="1:12" ht="15" customHeight="1" x14ac:dyDescent="0.25">
      <c r="A1861" s="1" t="s">
        <v>2590</v>
      </c>
      <c r="B1861" s="1">
        <v>11</v>
      </c>
      <c r="C1861" s="9" t="s">
        <v>3187</v>
      </c>
      <c r="D1861" s="22">
        <v>66</v>
      </c>
      <c r="E1861" s="9" t="s">
        <v>7571</v>
      </c>
      <c r="F1861" s="25">
        <v>15</v>
      </c>
      <c r="G1861" t="s">
        <v>7525</v>
      </c>
      <c r="H1861" t="s">
        <v>7526</v>
      </c>
      <c r="I1861" t="s">
        <v>7527</v>
      </c>
      <c r="J1861" t="s">
        <v>7528</v>
      </c>
      <c r="L1861" t="s">
        <v>7</v>
      </c>
    </row>
    <row r="1862" spans="1:12" ht="15" customHeight="1" x14ac:dyDescent="0.25">
      <c r="A1862" s="1" t="s">
        <v>2590</v>
      </c>
      <c r="B1862" s="1">
        <v>11</v>
      </c>
      <c r="C1862" s="9" t="s">
        <v>3187</v>
      </c>
      <c r="D1862" s="22">
        <v>66</v>
      </c>
      <c r="E1862" s="9" t="s">
        <v>7571</v>
      </c>
      <c r="F1862" s="25">
        <v>16</v>
      </c>
      <c r="G1862" t="s">
        <v>7529</v>
      </c>
      <c r="H1862" t="s">
        <v>7530</v>
      </c>
      <c r="I1862" t="s">
        <v>7531</v>
      </c>
      <c r="J1862" t="s">
        <v>2462</v>
      </c>
      <c r="L1862" t="s">
        <v>9</v>
      </c>
    </row>
    <row r="1863" spans="1:12" ht="15" customHeight="1" x14ac:dyDescent="0.25">
      <c r="A1863" s="1" t="s">
        <v>2590</v>
      </c>
      <c r="B1863" s="1">
        <v>11</v>
      </c>
      <c r="C1863" s="9" t="s">
        <v>3187</v>
      </c>
      <c r="D1863" s="22">
        <v>66</v>
      </c>
      <c r="E1863" s="9" t="s">
        <v>7571</v>
      </c>
      <c r="F1863" s="25">
        <v>17</v>
      </c>
      <c r="G1863" t="s">
        <v>7532</v>
      </c>
      <c r="H1863" t="s">
        <v>7533</v>
      </c>
      <c r="I1863" t="s">
        <v>7534</v>
      </c>
      <c r="J1863" t="s">
        <v>7535</v>
      </c>
      <c r="L1863" t="s">
        <v>8</v>
      </c>
    </row>
    <row r="1864" spans="1:12" ht="15" customHeight="1" x14ac:dyDescent="0.25">
      <c r="A1864" s="1" t="s">
        <v>2590</v>
      </c>
      <c r="B1864" s="1">
        <v>11</v>
      </c>
      <c r="C1864" s="9" t="s">
        <v>3187</v>
      </c>
      <c r="D1864" s="22">
        <v>66</v>
      </c>
      <c r="E1864" s="9" t="s">
        <v>7571</v>
      </c>
      <c r="F1864" s="25">
        <v>18</v>
      </c>
      <c r="G1864" t="s">
        <v>7536</v>
      </c>
      <c r="H1864" t="s">
        <v>7479</v>
      </c>
      <c r="I1864" t="s">
        <v>7480</v>
      </c>
      <c r="J1864" t="s">
        <v>7481</v>
      </c>
      <c r="L1864" t="s">
        <v>7</v>
      </c>
    </row>
    <row r="1865" spans="1:12" ht="15" customHeight="1" x14ac:dyDescent="0.25">
      <c r="A1865" s="1" t="s">
        <v>2590</v>
      </c>
      <c r="B1865" s="1">
        <v>11</v>
      </c>
      <c r="C1865" s="9" t="s">
        <v>3187</v>
      </c>
      <c r="D1865" s="22">
        <v>66</v>
      </c>
      <c r="E1865" s="9" t="s">
        <v>7571</v>
      </c>
      <c r="F1865" s="25">
        <v>20</v>
      </c>
      <c r="G1865" t="s">
        <v>7537</v>
      </c>
      <c r="H1865" t="s">
        <v>7538</v>
      </c>
      <c r="I1865" t="s">
        <v>7539</v>
      </c>
      <c r="J1865" t="s">
        <v>7540</v>
      </c>
      <c r="L1865" t="s">
        <v>7</v>
      </c>
    </row>
    <row r="1866" spans="1:12" ht="15" customHeight="1" x14ac:dyDescent="0.25">
      <c r="A1866" s="1" t="s">
        <v>2590</v>
      </c>
      <c r="B1866" s="1">
        <v>11</v>
      </c>
      <c r="C1866" s="9" t="s">
        <v>3187</v>
      </c>
      <c r="D1866" s="22">
        <v>66</v>
      </c>
      <c r="E1866" s="9" t="s">
        <v>7571</v>
      </c>
      <c r="F1866" s="25">
        <v>21</v>
      </c>
      <c r="G1866" t="s">
        <v>7541</v>
      </c>
      <c r="H1866" t="s">
        <v>7542</v>
      </c>
      <c r="I1866" t="s">
        <v>7543</v>
      </c>
      <c r="J1866" t="s">
        <v>7544</v>
      </c>
      <c r="L1866" t="s">
        <v>8</v>
      </c>
    </row>
    <row r="1867" spans="1:12" ht="15" customHeight="1" x14ac:dyDescent="0.25">
      <c r="A1867" s="1" t="s">
        <v>2590</v>
      </c>
      <c r="B1867" s="1">
        <v>11</v>
      </c>
      <c r="C1867" s="9" t="s">
        <v>3187</v>
      </c>
      <c r="D1867" s="22">
        <v>66</v>
      </c>
      <c r="E1867" s="9" t="s">
        <v>7571</v>
      </c>
      <c r="F1867" s="25">
        <v>22</v>
      </c>
      <c r="G1867" t="s">
        <v>7545</v>
      </c>
      <c r="H1867" t="s">
        <v>7494</v>
      </c>
      <c r="I1867" t="s">
        <v>7495</v>
      </c>
      <c r="J1867" t="s">
        <v>7496</v>
      </c>
      <c r="L1867" t="s">
        <v>9</v>
      </c>
    </row>
    <row r="1868" spans="1:12" ht="15" customHeight="1" x14ac:dyDescent="0.25">
      <c r="A1868" s="1" t="s">
        <v>2590</v>
      </c>
      <c r="B1868" s="1">
        <v>11</v>
      </c>
      <c r="C1868" s="9" t="s">
        <v>3187</v>
      </c>
      <c r="D1868" s="22">
        <v>66</v>
      </c>
      <c r="E1868" s="9" t="s">
        <v>7571</v>
      </c>
      <c r="F1868" s="25">
        <v>23</v>
      </c>
      <c r="G1868" t="s">
        <v>7546</v>
      </c>
      <c r="H1868" t="s">
        <v>7547</v>
      </c>
      <c r="I1868" t="s">
        <v>7548</v>
      </c>
      <c r="J1868" t="s">
        <v>7549</v>
      </c>
      <c r="L1868" t="s">
        <v>7</v>
      </c>
    </row>
    <row r="1869" spans="1:12" ht="15" customHeight="1" x14ac:dyDescent="0.25">
      <c r="A1869" s="1" t="s">
        <v>2590</v>
      </c>
      <c r="B1869" s="1">
        <v>11</v>
      </c>
      <c r="C1869" s="9" t="s">
        <v>3187</v>
      </c>
      <c r="D1869" s="22">
        <v>66</v>
      </c>
      <c r="E1869" s="9" t="s">
        <v>7571</v>
      </c>
      <c r="F1869" s="25">
        <v>25</v>
      </c>
      <c r="G1869" t="s">
        <v>7550</v>
      </c>
      <c r="H1869" t="s">
        <v>7551</v>
      </c>
      <c r="I1869" t="s">
        <v>7552</v>
      </c>
      <c r="J1869" t="s">
        <v>7553</v>
      </c>
      <c r="L1869" t="s">
        <v>7</v>
      </c>
    </row>
    <row r="1870" spans="1:12" ht="15" customHeight="1" x14ac:dyDescent="0.25">
      <c r="A1870" s="1" t="s">
        <v>2590</v>
      </c>
      <c r="B1870" s="1">
        <v>11</v>
      </c>
      <c r="C1870" s="9" t="s">
        <v>3187</v>
      </c>
      <c r="D1870" s="22">
        <v>66</v>
      </c>
      <c r="E1870" s="9" t="s">
        <v>7571</v>
      </c>
      <c r="F1870" s="25">
        <v>26</v>
      </c>
      <c r="G1870" t="s">
        <v>7554</v>
      </c>
      <c r="H1870" t="s">
        <v>7555</v>
      </c>
      <c r="I1870" t="s">
        <v>7556</v>
      </c>
      <c r="J1870" t="s">
        <v>7557</v>
      </c>
      <c r="L1870" t="s">
        <v>9</v>
      </c>
    </row>
    <row r="1871" spans="1:12" ht="15" customHeight="1" x14ac:dyDescent="0.25">
      <c r="A1871" s="1" t="s">
        <v>2590</v>
      </c>
      <c r="B1871" s="1">
        <v>11</v>
      </c>
      <c r="C1871" s="9" t="s">
        <v>3187</v>
      </c>
      <c r="D1871" s="22">
        <v>66</v>
      </c>
      <c r="E1871" s="9" t="s">
        <v>7571</v>
      </c>
      <c r="F1871" s="25">
        <v>27</v>
      </c>
      <c r="G1871" t="s">
        <v>7558</v>
      </c>
      <c r="H1871" t="s">
        <v>7559</v>
      </c>
      <c r="I1871" t="s">
        <v>7560</v>
      </c>
      <c r="J1871" t="s">
        <v>7561</v>
      </c>
      <c r="L1871" t="s">
        <v>8</v>
      </c>
    </row>
    <row r="1872" spans="1:12" ht="15" customHeight="1" x14ac:dyDescent="0.25">
      <c r="A1872" s="1" t="s">
        <v>2590</v>
      </c>
      <c r="B1872" s="1">
        <v>11</v>
      </c>
      <c r="C1872" s="9" t="s">
        <v>3187</v>
      </c>
      <c r="D1872" s="22">
        <v>66</v>
      </c>
      <c r="E1872" s="9" t="s">
        <v>7571</v>
      </c>
      <c r="F1872" s="25">
        <v>28</v>
      </c>
      <c r="G1872" t="s">
        <v>7562</v>
      </c>
      <c r="H1872" t="s">
        <v>7563</v>
      </c>
      <c r="I1872" t="s">
        <v>7564</v>
      </c>
      <c r="J1872" t="s">
        <v>7565</v>
      </c>
      <c r="L1872" t="s">
        <v>8</v>
      </c>
    </row>
    <row r="1873" spans="1:12" ht="15" customHeight="1" x14ac:dyDescent="0.25">
      <c r="A1873" s="1" t="s">
        <v>2590</v>
      </c>
      <c r="B1873" s="1">
        <v>11</v>
      </c>
      <c r="C1873" s="9" t="s">
        <v>3187</v>
      </c>
      <c r="D1873" s="22">
        <v>66</v>
      </c>
      <c r="E1873" s="9" t="s">
        <v>7571</v>
      </c>
      <c r="F1873" s="25">
        <v>29</v>
      </c>
      <c r="G1873" t="s">
        <v>7566</v>
      </c>
      <c r="H1873" t="s">
        <v>7567</v>
      </c>
      <c r="I1873" t="s">
        <v>7568</v>
      </c>
      <c r="J1873" t="s">
        <v>7569</v>
      </c>
      <c r="L1873" t="s">
        <v>9</v>
      </c>
    </row>
    <row r="1874" spans="1:12" ht="15" customHeight="1" x14ac:dyDescent="0.25">
      <c r="A1874" s="1" t="s">
        <v>2590</v>
      </c>
      <c r="B1874" s="1">
        <v>11</v>
      </c>
      <c r="C1874" s="9" t="s">
        <v>3187</v>
      </c>
      <c r="D1874" s="22">
        <v>66</v>
      </c>
      <c r="E1874" s="9" t="s">
        <v>7571</v>
      </c>
      <c r="F1874" s="25">
        <v>30</v>
      </c>
      <c r="G1874" t="s">
        <v>7570</v>
      </c>
      <c r="H1874" t="s">
        <v>7479</v>
      </c>
      <c r="I1874" t="s">
        <v>7480</v>
      </c>
      <c r="J1874" t="s">
        <v>7481</v>
      </c>
      <c r="L1874" t="s">
        <v>8</v>
      </c>
    </row>
    <row r="1875" spans="1:12" ht="15" customHeight="1" x14ac:dyDescent="0.25">
      <c r="A1875" s="1" t="s">
        <v>2590</v>
      </c>
      <c r="B1875" s="1">
        <v>11</v>
      </c>
      <c r="C1875" s="9" t="s">
        <v>3187</v>
      </c>
      <c r="D1875" s="22">
        <v>66</v>
      </c>
      <c r="E1875" s="9" t="s">
        <v>7571</v>
      </c>
      <c r="F1875" s="24">
        <v>31</v>
      </c>
      <c r="G1875" s="5" t="s">
        <v>7997</v>
      </c>
      <c r="H1875" s="5" t="s">
        <v>7998</v>
      </c>
      <c r="I1875" s="5" t="s">
        <v>7999</v>
      </c>
      <c r="J1875" s="5" t="s">
        <v>8000</v>
      </c>
      <c r="K1875" s="5"/>
      <c r="L1875" s="5" t="s">
        <v>8</v>
      </c>
    </row>
    <row r="1876" spans="1:12" ht="15" customHeight="1" x14ac:dyDescent="0.25">
      <c r="A1876" s="1" t="s">
        <v>2590</v>
      </c>
      <c r="B1876" s="1">
        <v>11</v>
      </c>
      <c r="C1876" s="9" t="s">
        <v>3187</v>
      </c>
      <c r="D1876" s="22">
        <v>66</v>
      </c>
      <c r="E1876" s="9" t="s">
        <v>7571</v>
      </c>
      <c r="F1876" s="24">
        <v>32</v>
      </c>
      <c r="G1876" s="5" t="s">
        <v>8001</v>
      </c>
      <c r="H1876" s="5" t="s">
        <v>8002</v>
      </c>
      <c r="I1876" s="5" t="s">
        <v>8003</v>
      </c>
      <c r="J1876" s="5" t="s">
        <v>8004</v>
      </c>
      <c r="K1876" s="5"/>
      <c r="L1876" s="5" t="s">
        <v>8</v>
      </c>
    </row>
    <row r="1877" spans="1:12" ht="15" customHeight="1" x14ac:dyDescent="0.25">
      <c r="A1877" s="1" t="s">
        <v>2590</v>
      </c>
      <c r="B1877" s="1">
        <v>11</v>
      </c>
      <c r="C1877" s="9" t="s">
        <v>3187</v>
      </c>
      <c r="D1877" s="22">
        <v>66</v>
      </c>
      <c r="E1877" s="9" t="s">
        <v>7571</v>
      </c>
      <c r="F1877" s="24">
        <v>33</v>
      </c>
      <c r="G1877" s="5" t="s">
        <v>8005</v>
      </c>
      <c r="H1877" s="5" t="s">
        <v>8006</v>
      </c>
      <c r="I1877" s="5" t="s">
        <v>8007</v>
      </c>
      <c r="J1877" s="5" t="s">
        <v>8008</v>
      </c>
      <c r="K1877" s="5"/>
      <c r="L1877" s="5" t="s">
        <v>9</v>
      </c>
    </row>
    <row r="1878" spans="1:12" ht="15" customHeight="1" x14ac:dyDescent="0.25">
      <c r="A1878" s="1" t="s">
        <v>2590</v>
      </c>
      <c r="B1878" s="1">
        <v>11</v>
      </c>
      <c r="C1878" s="9" t="s">
        <v>3187</v>
      </c>
      <c r="D1878" s="22">
        <v>66</v>
      </c>
      <c r="E1878" s="9" t="s">
        <v>7571</v>
      </c>
      <c r="F1878" s="24">
        <v>34</v>
      </c>
      <c r="G1878" s="5" t="s">
        <v>8009</v>
      </c>
      <c r="H1878" s="5" t="s">
        <v>7523</v>
      </c>
      <c r="I1878" s="5" t="s">
        <v>7522</v>
      </c>
      <c r="J1878" s="5" t="s">
        <v>7524</v>
      </c>
      <c r="K1878" s="5"/>
      <c r="L1878" s="5" t="s">
        <v>7</v>
      </c>
    </row>
    <row r="1879" spans="1:12" ht="15" customHeight="1" x14ac:dyDescent="0.25">
      <c r="A1879" s="1" t="s">
        <v>2590</v>
      </c>
      <c r="B1879" s="1">
        <v>11</v>
      </c>
      <c r="C1879" s="9" t="s">
        <v>3187</v>
      </c>
      <c r="D1879" s="22">
        <v>66</v>
      </c>
      <c r="E1879" s="9" t="s">
        <v>7571</v>
      </c>
      <c r="F1879" s="24">
        <v>36</v>
      </c>
      <c r="G1879" s="5" t="s">
        <v>8010</v>
      </c>
      <c r="H1879" s="5" t="s">
        <v>8011</v>
      </c>
      <c r="I1879" s="5" t="s">
        <v>8012</v>
      </c>
      <c r="J1879" s="5" t="s">
        <v>8013</v>
      </c>
      <c r="K1879" s="5"/>
      <c r="L1879" s="5" t="s">
        <v>7</v>
      </c>
    </row>
    <row r="1880" spans="1:12" ht="15" customHeight="1" x14ac:dyDescent="0.25">
      <c r="A1880" s="1" t="s">
        <v>2590</v>
      </c>
      <c r="B1880" s="1">
        <v>11</v>
      </c>
      <c r="C1880" s="9" t="s">
        <v>3187</v>
      </c>
      <c r="D1880" s="22">
        <v>66</v>
      </c>
      <c r="E1880" s="9" t="s">
        <v>7571</v>
      </c>
      <c r="F1880" s="24">
        <v>37</v>
      </c>
      <c r="G1880" s="5" t="s">
        <v>8014</v>
      </c>
      <c r="H1880" s="5" t="s">
        <v>8015</v>
      </c>
      <c r="I1880" s="5" t="s">
        <v>8016</v>
      </c>
      <c r="J1880" s="5" t="s">
        <v>8017</v>
      </c>
      <c r="K1880" s="5"/>
      <c r="L1880" s="5" t="s">
        <v>7</v>
      </c>
    </row>
    <row r="1881" spans="1:12" ht="15" customHeight="1" x14ac:dyDescent="0.25">
      <c r="A1881" s="1" t="s">
        <v>2590</v>
      </c>
      <c r="B1881" s="1">
        <v>11</v>
      </c>
      <c r="C1881" s="9" t="s">
        <v>3187</v>
      </c>
      <c r="D1881" s="22">
        <v>66</v>
      </c>
      <c r="E1881" s="9" t="s">
        <v>7571</v>
      </c>
      <c r="F1881" s="24">
        <v>38</v>
      </c>
      <c r="G1881" s="5" t="s">
        <v>8018</v>
      </c>
      <c r="H1881" s="5" t="s">
        <v>8019</v>
      </c>
      <c r="I1881" s="5" t="s">
        <v>8020</v>
      </c>
      <c r="J1881" s="5" t="s">
        <v>8021</v>
      </c>
      <c r="K1881" s="5"/>
      <c r="L1881" s="5" t="s">
        <v>9</v>
      </c>
    </row>
    <row r="1882" spans="1:12" ht="15" customHeight="1" x14ac:dyDescent="0.25">
      <c r="A1882" s="1" t="s">
        <v>2590</v>
      </c>
      <c r="B1882" s="1">
        <v>11</v>
      </c>
      <c r="C1882" s="9" t="s">
        <v>3187</v>
      </c>
      <c r="D1882" s="22">
        <v>66</v>
      </c>
      <c r="E1882" s="9" t="s">
        <v>7571</v>
      </c>
      <c r="F1882" s="24">
        <v>39</v>
      </c>
      <c r="G1882" s="5" t="s">
        <v>8022</v>
      </c>
      <c r="H1882" s="5" t="s">
        <v>8023</v>
      </c>
      <c r="I1882" s="5" t="s">
        <v>8024</v>
      </c>
      <c r="J1882" s="5" t="s">
        <v>8025</v>
      </c>
      <c r="K1882" s="5"/>
      <c r="L1882" s="5" t="s">
        <v>8</v>
      </c>
    </row>
    <row r="1883" spans="1:12" ht="15" customHeight="1" x14ac:dyDescent="0.25">
      <c r="A1883" s="1" t="s">
        <v>2590</v>
      </c>
      <c r="B1883" s="1">
        <v>11</v>
      </c>
      <c r="C1883" s="9" t="s">
        <v>3187</v>
      </c>
      <c r="D1883" s="22">
        <v>66</v>
      </c>
      <c r="E1883" s="9" t="s">
        <v>7571</v>
      </c>
      <c r="F1883" s="24">
        <v>40</v>
      </c>
      <c r="G1883" s="5" t="s">
        <v>8026</v>
      </c>
      <c r="H1883" s="5" t="s">
        <v>8027</v>
      </c>
      <c r="I1883" s="5" t="s">
        <v>8028</v>
      </c>
      <c r="J1883" s="5" t="s">
        <v>8029</v>
      </c>
      <c r="K1883" s="5"/>
      <c r="L1883" s="5" t="s">
        <v>8</v>
      </c>
    </row>
    <row r="1884" spans="1:12" ht="15" customHeight="1" x14ac:dyDescent="0.25">
      <c r="A1884" s="1" t="s">
        <v>2590</v>
      </c>
      <c r="B1884" s="1">
        <v>26</v>
      </c>
      <c r="C1884" s="9" t="s">
        <v>7671</v>
      </c>
      <c r="D1884" s="22">
        <v>67</v>
      </c>
      <c r="E1884" s="9" t="s">
        <v>7672</v>
      </c>
      <c r="F1884" s="25">
        <v>1</v>
      </c>
      <c r="G1884" s="11" t="s">
        <v>7572</v>
      </c>
      <c r="H1884" s="11" t="s">
        <v>7573</v>
      </c>
      <c r="I1884" s="11" t="s">
        <v>7574</v>
      </c>
      <c r="J1884" s="11" t="s">
        <v>7575</v>
      </c>
      <c r="K1884" s="11"/>
      <c r="L1884" t="s">
        <v>8</v>
      </c>
    </row>
    <row r="1885" spans="1:12" ht="15" customHeight="1" x14ac:dyDescent="0.25">
      <c r="A1885" s="1" t="s">
        <v>2590</v>
      </c>
      <c r="B1885" s="1">
        <v>26</v>
      </c>
      <c r="C1885" s="9" t="s">
        <v>7671</v>
      </c>
      <c r="D1885" s="22">
        <v>67</v>
      </c>
      <c r="E1885" s="9" t="s">
        <v>7672</v>
      </c>
      <c r="F1885" s="25">
        <v>2</v>
      </c>
      <c r="G1885" s="11" t="s">
        <v>7576</v>
      </c>
      <c r="H1885" s="11" t="s">
        <v>7577</v>
      </c>
      <c r="I1885" s="11" t="s">
        <v>7578</v>
      </c>
      <c r="J1885" s="11" t="s">
        <v>7579</v>
      </c>
      <c r="K1885" s="11"/>
      <c r="L1885" t="s">
        <v>9</v>
      </c>
    </row>
    <row r="1886" spans="1:12" ht="15" customHeight="1" x14ac:dyDescent="0.25">
      <c r="A1886" s="1" t="s">
        <v>2590</v>
      </c>
      <c r="B1886" s="1">
        <v>26</v>
      </c>
      <c r="C1886" s="9" t="s">
        <v>7671</v>
      </c>
      <c r="D1886" s="22">
        <v>67</v>
      </c>
      <c r="E1886" s="9" t="s">
        <v>7672</v>
      </c>
      <c r="F1886" s="25">
        <v>3</v>
      </c>
      <c r="G1886" s="11" t="s">
        <v>7580</v>
      </c>
      <c r="H1886" s="11" t="s">
        <v>7581</v>
      </c>
      <c r="I1886" s="11" t="s">
        <v>7582</v>
      </c>
      <c r="J1886" s="11" t="s">
        <v>7583</v>
      </c>
      <c r="K1886" s="11"/>
      <c r="L1886" t="s">
        <v>7</v>
      </c>
    </row>
    <row r="1887" spans="1:12" ht="15" customHeight="1" x14ac:dyDescent="0.25">
      <c r="A1887" s="1" t="s">
        <v>2590</v>
      </c>
      <c r="B1887" s="1">
        <v>26</v>
      </c>
      <c r="C1887" s="9" t="s">
        <v>7671</v>
      </c>
      <c r="D1887" s="22">
        <v>67</v>
      </c>
      <c r="E1887" s="9" t="s">
        <v>7672</v>
      </c>
      <c r="F1887" s="25">
        <v>4</v>
      </c>
      <c r="G1887" s="11" t="s">
        <v>7584</v>
      </c>
      <c r="H1887" s="11" t="s">
        <v>7585</v>
      </c>
      <c r="I1887" s="11" t="s">
        <v>7586</v>
      </c>
      <c r="J1887" s="11" t="s">
        <v>7587</v>
      </c>
      <c r="K1887" s="11"/>
      <c r="L1887" t="s">
        <v>9</v>
      </c>
    </row>
    <row r="1888" spans="1:12" ht="15" customHeight="1" x14ac:dyDescent="0.25">
      <c r="A1888" s="1" t="s">
        <v>2590</v>
      </c>
      <c r="B1888" s="1">
        <v>26</v>
      </c>
      <c r="C1888" s="9" t="s">
        <v>7671</v>
      </c>
      <c r="D1888" s="22">
        <v>67</v>
      </c>
      <c r="E1888" s="9" t="s">
        <v>7672</v>
      </c>
      <c r="F1888" s="25">
        <v>5</v>
      </c>
      <c r="G1888" s="11" t="s">
        <v>7588</v>
      </c>
      <c r="H1888" s="11" t="s">
        <v>7589</v>
      </c>
      <c r="I1888" s="11" t="s">
        <v>7590</v>
      </c>
      <c r="J1888" s="11" t="s">
        <v>789</v>
      </c>
      <c r="K1888" s="11"/>
      <c r="L1888" t="s">
        <v>8</v>
      </c>
    </row>
    <row r="1889" spans="1:12" ht="15" customHeight="1" x14ac:dyDescent="0.25">
      <c r="A1889" s="1" t="s">
        <v>2590</v>
      </c>
      <c r="B1889" s="1">
        <v>26</v>
      </c>
      <c r="C1889" s="9" t="s">
        <v>7671</v>
      </c>
      <c r="D1889" s="22">
        <v>67</v>
      </c>
      <c r="E1889" s="9" t="s">
        <v>7672</v>
      </c>
      <c r="F1889" s="25">
        <v>6</v>
      </c>
      <c r="G1889" s="11" t="s">
        <v>7591</v>
      </c>
      <c r="H1889" s="11" t="s">
        <v>7592</v>
      </c>
      <c r="I1889" s="11" t="s">
        <v>7593</v>
      </c>
      <c r="J1889" s="11" t="s">
        <v>7594</v>
      </c>
      <c r="K1889" s="11"/>
      <c r="L1889" t="s">
        <v>8</v>
      </c>
    </row>
    <row r="1890" spans="1:12" ht="15" customHeight="1" x14ac:dyDescent="0.25">
      <c r="A1890" s="1" t="s">
        <v>2590</v>
      </c>
      <c r="B1890" s="1">
        <v>26</v>
      </c>
      <c r="C1890" s="9" t="s">
        <v>7671</v>
      </c>
      <c r="D1890" s="22">
        <v>67</v>
      </c>
      <c r="E1890" s="9" t="s">
        <v>7672</v>
      </c>
      <c r="F1890" s="25">
        <v>7</v>
      </c>
      <c r="G1890" s="11" t="s">
        <v>7595</v>
      </c>
      <c r="H1890" s="11" t="s">
        <v>7596</v>
      </c>
      <c r="I1890" s="11" t="s">
        <v>7597</v>
      </c>
      <c r="J1890" s="11" t="s">
        <v>7598</v>
      </c>
      <c r="K1890" s="11"/>
      <c r="L1890" t="s">
        <v>9</v>
      </c>
    </row>
    <row r="1891" spans="1:12" ht="15" customHeight="1" x14ac:dyDescent="0.25">
      <c r="A1891" s="1" t="s">
        <v>2590</v>
      </c>
      <c r="B1891" s="1">
        <v>26</v>
      </c>
      <c r="C1891" s="9" t="s">
        <v>7671</v>
      </c>
      <c r="D1891" s="22">
        <v>67</v>
      </c>
      <c r="E1891" s="9" t="s">
        <v>7672</v>
      </c>
      <c r="F1891" s="25">
        <v>8</v>
      </c>
      <c r="G1891" s="11" t="s">
        <v>7599</v>
      </c>
      <c r="H1891" s="11" t="s">
        <v>7600</v>
      </c>
      <c r="I1891" s="11" t="s">
        <v>7601</v>
      </c>
      <c r="J1891" s="11" t="s">
        <v>7602</v>
      </c>
      <c r="K1891" s="11"/>
      <c r="L1891" t="s">
        <v>8</v>
      </c>
    </row>
    <row r="1892" spans="1:12" ht="15" customHeight="1" x14ac:dyDescent="0.25">
      <c r="A1892" s="1" t="s">
        <v>2590</v>
      </c>
      <c r="B1892" s="1">
        <v>26</v>
      </c>
      <c r="C1892" s="9" t="s">
        <v>7671</v>
      </c>
      <c r="D1892" s="22">
        <v>67</v>
      </c>
      <c r="E1892" s="9" t="s">
        <v>7672</v>
      </c>
      <c r="F1892" s="25">
        <v>9</v>
      </c>
      <c r="G1892" s="11" t="s">
        <v>7603</v>
      </c>
      <c r="H1892" s="11" t="s">
        <v>7604</v>
      </c>
      <c r="I1892" s="11" t="s">
        <v>7605</v>
      </c>
      <c r="J1892" s="11" t="s">
        <v>7606</v>
      </c>
      <c r="K1892" s="11"/>
      <c r="L1892" t="s">
        <v>9</v>
      </c>
    </row>
    <row r="1893" spans="1:12" ht="15" customHeight="1" x14ac:dyDescent="0.25">
      <c r="A1893" s="1" t="s">
        <v>2590</v>
      </c>
      <c r="B1893" s="1">
        <v>26</v>
      </c>
      <c r="C1893" s="9" t="s">
        <v>7671</v>
      </c>
      <c r="D1893" s="22">
        <v>67</v>
      </c>
      <c r="E1893" s="9" t="s">
        <v>7672</v>
      </c>
      <c r="F1893" s="25">
        <v>10</v>
      </c>
      <c r="G1893" s="11" t="s">
        <v>7607</v>
      </c>
      <c r="H1893" s="11" t="s">
        <v>7608</v>
      </c>
      <c r="I1893" s="11" t="s">
        <v>7609</v>
      </c>
      <c r="J1893" s="11" t="s">
        <v>7610</v>
      </c>
      <c r="K1893" s="11"/>
      <c r="L1893" t="s">
        <v>9</v>
      </c>
    </row>
    <row r="1894" spans="1:12" ht="15" customHeight="1" x14ac:dyDescent="0.25">
      <c r="A1894" s="1" t="s">
        <v>2590</v>
      </c>
      <c r="B1894" s="1">
        <v>26</v>
      </c>
      <c r="C1894" s="9" t="s">
        <v>7671</v>
      </c>
      <c r="D1894" s="22">
        <v>67</v>
      </c>
      <c r="E1894" s="9" t="s">
        <v>7672</v>
      </c>
      <c r="F1894" s="25">
        <v>11</v>
      </c>
      <c r="G1894" s="11" t="s">
        <v>7611</v>
      </c>
      <c r="H1894" s="11" t="s">
        <v>7612</v>
      </c>
      <c r="I1894" s="11" t="s">
        <v>7613</v>
      </c>
      <c r="J1894" s="11" t="s">
        <v>7614</v>
      </c>
      <c r="K1894" s="11"/>
      <c r="L1894" t="s">
        <v>9</v>
      </c>
    </row>
    <row r="1895" spans="1:12" ht="15" customHeight="1" x14ac:dyDescent="0.25">
      <c r="A1895" s="1" t="s">
        <v>2590</v>
      </c>
      <c r="B1895" s="1">
        <v>26</v>
      </c>
      <c r="C1895" s="9" t="s">
        <v>7671</v>
      </c>
      <c r="D1895" s="22">
        <v>67</v>
      </c>
      <c r="E1895" s="9" t="s">
        <v>7672</v>
      </c>
      <c r="F1895" s="25">
        <v>12</v>
      </c>
      <c r="G1895" s="11" t="s">
        <v>7615</v>
      </c>
      <c r="H1895" s="11" t="s">
        <v>7864</v>
      </c>
      <c r="I1895" s="11" t="s">
        <v>7616</v>
      </c>
      <c r="J1895" s="11" t="s">
        <v>7617</v>
      </c>
      <c r="K1895" s="11"/>
      <c r="L1895" t="s">
        <v>7</v>
      </c>
    </row>
    <row r="1896" spans="1:12" ht="15" customHeight="1" x14ac:dyDescent="0.25">
      <c r="A1896" s="1" t="s">
        <v>2590</v>
      </c>
      <c r="B1896" s="1">
        <v>26</v>
      </c>
      <c r="C1896" s="9" t="s">
        <v>7671</v>
      </c>
      <c r="D1896" s="22">
        <v>67</v>
      </c>
      <c r="E1896" s="9" t="s">
        <v>7672</v>
      </c>
      <c r="F1896" s="25">
        <v>13</v>
      </c>
      <c r="G1896" s="11" t="s">
        <v>7618</v>
      </c>
      <c r="H1896" s="11" t="s">
        <v>7865</v>
      </c>
      <c r="I1896" s="11" t="s">
        <v>7866</v>
      </c>
      <c r="J1896" s="11" t="s">
        <v>7867</v>
      </c>
      <c r="K1896" s="11"/>
      <c r="L1896" t="s">
        <v>8</v>
      </c>
    </row>
    <row r="1897" spans="1:12" ht="15" customHeight="1" x14ac:dyDescent="0.25">
      <c r="A1897" s="1" t="s">
        <v>2590</v>
      </c>
      <c r="B1897" s="1">
        <v>26</v>
      </c>
      <c r="C1897" s="9" t="s">
        <v>7671</v>
      </c>
      <c r="D1897" s="22">
        <v>67</v>
      </c>
      <c r="E1897" s="9" t="s">
        <v>7672</v>
      </c>
      <c r="F1897" s="25">
        <v>14</v>
      </c>
      <c r="G1897" s="11" t="s">
        <v>7868</v>
      </c>
      <c r="H1897" s="11" t="s">
        <v>7619</v>
      </c>
      <c r="I1897" s="11" t="s">
        <v>7620</v>
      </c>
      <c r="J1897" s="11" t="s">
        <v>7621</v>
      </c>
      <c r="K1897" s="11"/>
      <c r="L1897" t="s">
        <v>8</v>
      </c>
    </row>
    <row r="1898" spans="1:12" ht="15" customHeight="1" x14ac:dyDescent="0.25">
      <c r="A1898" s="1" t="s">
        <v>2590</v>
      </c>
      <c r="B1898" s="1">
        <v>26</v>
      </c>
      <c r="C1898" s="9" t="s">
        <v>7671</v>
      </c>
      <c r="D1898" s="22">
        <v>67</v>
      </c>
      <c r="E1898" s="9" t="s">
        <v>7672</v>
      </c>
      <c r="F1898" s="25">
        <v>15</v>
      </c>
      <c r="G1898" s="11" t="s">
        <v>7622</v>
      </c>
      <c r="H1898" s="11" t="s">
        <v>7623</v>
      </c>
      <c r="I1898" s="11" t="s">
        <v>7624</v>
      </c>
      <c r="J1898" s="11" t="s">
        <v>7625</v>
      </c>
      <c r="K1898" s="11"/>
      <c r="L1898" t="s">
        <v>9</v>
      </c>
    </row>
    <row r="1899" spans="1:12" ht="15" customHeight="1" x14ac:dyDescent="0.25">
      <c r="A1899" s="1" t="s">
        <v>2590</v>
      </c>
      <c r="B1899" s="1">
        <v>26</v>
      </c>
      <c r="C1899" s="9" t="s">
        <v>7671</v>
      </c>
      <c r="D1899" s="22">
        <v>67</v>
      </c>
      <c r="E1899" s="9" t="s">
        <v>7672</v>
      </c>
      <c r="F1899" s="25">
        <v>16</v>
      </c>
      <c r="G1899" s="11" t="s">
        <v>7626</v>
      </c>
      <c r="H1899" s="11" t="s">
        <v>7627</v>
      </c>
      <c r="I1899" s="11" t="s">
        <v>7628</v>
      </c>
      <c r="J1899" s="11" t="s">
        <v>7629</v>
      </c>
      <c r="K1899" s="11"/>
      <c r="L1899" t="s">
        <v>7</v>
      </c>
    </row>
    <row r="1900" spans="1:12" ht="15" customHeight="1" x14ac:dyDescent="0.25">
      <c r="A1900" s="1" t="s">
        <v>2590</v>
      </c>
      <c r="B1900" s="1">
        <v>26</v>
      </c>
      <c r="C1900" s="9" t="s">
        <v>7671</v>
      </c>
      <c r="D1900" s="22">
        <v>67</v>
      </c>
      <c r="E1900" s="9" t="s">
        <v>7672</v>
      </c>
      <c r="F1900" s="25">
        <v>17</v>
      </c>
      <c r="G1900" s="11" t="s">
        <v>7630</v>
      </c>
      <c r="H1900" s="11" t="s">
        <v>7631</v>
      </c>
      <c r="I1900" s="11" t="s">
        <v>7632</v>
      </c>
      <c r="J1900" s="11" t="s">
        <v>7633</v>
      </c>
      <c r="K1900" s="11"/>
      <c r="L1900" t="s">
        <v>7</v>
      </c>
    </row>
    <row r="1901" spans="1:12" ht="15" customHeight="1" x14ac:dyDescent="0.25">
      <c r="A1901" s="1" t="s">
        <v>2590</v>
      </c>
      <c r="B1901" s="1">
        <v>26</v>
      </c>
      <c r="C1901" s="9" t="s">
        <v>7671</v>
      </c>
      <c r="D1901" s="22">
        <v>67</v>
      </c>
      <c r="E1901" s="9" t="s">
        <v>7672</v>
      </c>
      <c r="F1901" s="25">
        <v>18</v>
      </c>
      <c r="G1901" s="11" t="s">
        <v>7634</v>
      </c>
      <c r="H1901" s="11" t="s">
        <v>7869</v>
      </c>
      <c r="I1901" s="11" t="s">
        <v>7870</v>
      </c>
      <c r="J1901" s="11" t="s">
        <v>7871</v>
      </c>
      <c r="K1901" s="11"/>
      <c r="L1901" t="s">
        <v>9</v>
      </c>
    </row>
    <row r="1902" spans="1:12" ht="15" customHeight="1" x14ac:dyDescent="0.25">
      <c r="A1902" s="1" t="s">
        <v>2590</v>
      </c>
      <c r="B1902" s="1">
        <v>26</v>
      </c>
      <c r="C1902" s="9" t="s">
        <v>7671</v>
      </c>
      <c r="D1902" s="22">
        <v>67</v>
      </c>
      <c r="E1902" s="9" t="s">
        <v>7672</v>
      </c>
      <c r="F1902" s="25">
        <v>19</v>
      </c>
      <c r="G1902" s="11" t="s">
        <v>7635</v>
      </c>
      <c r="H1902" s="11" t="s">
        <v>7872</v>
      </c>
      <c r="I1902" s="11" t="s">
        <v>7873</v>
      </c>
      <c r="J1902" s="11" t="s">
        <v>7874</v>
      </c>
      <c r="K1902" s="11"/>
      <c r="L1902" t="s">
        <v>9</v>
      </c>
    </row>
    <row r="1903" spans="1:12" ht="15" customHeight="1" x14ac:dyDescent="0.25">
      <c r="A1903" s="1" t="s">
        <v>2590</v>
      </c>
      <c r="B1903" s="1">
        <v>26</v>
      </c>
      <c r="C1903" s="9" t="s">
        <v>7671</v>
      </c>
      <c r="D1903" s="22">
        <v>67</v>
      </c>
      <c r="E1903" s="9" t="s">
        <v>7672</v>
      </c>
      <c r="F1903" s="25">
        <v>20</v>
      </c>
      <c r="G1903" s="11" t="s">
        <v>7636</v>
      </c>
      <c r="H1903" s="11" t="s">
        <v>7637</v>
      </c>
      <c r="I1903" s="11" t="s">
        <v>7875</v>
      </c>
      <c r="J1903" s="11" t="s">
        <v>7638</v>
      </c>
      <c r="K1903" s="11"/>
      <c r="L1903" t="s">
        <v>8</v>
      </c>
    </row>
    <row r="1904" spans="1:12" ht="15" customHeight="1" x14ac:dyDescent="0.25">
      <c r="A1904" s="1" t="s">
        <v>2590</v>
      </c>
      <c r="B1904" s="1">
        <v>26</v>
      </c>
      <c r="C1904" s="9" t="s">
        <v>7671</v>
      </c>
      <c r="D1904" s="22">
        <v>67</v>
      </c>
      <c r="E1904" s="9" t="s">
        <v>7672</v>
      </c>
      <c r="F1904" s="25">
        <v>21</v>
      </c>
      <c r="G1904" s="11" t="s">
        <v>7639</v>
      </c>
      <c r="H1904" s="11" t="s">
        <v>7640</v>
      </c>
      <c r="I1904" s="11" t="s">
        <v>7641</v>
      </c>
      <c r="J1904" s="11" t="s">
        <v>7642</v>
      </c>
      <c r="K1904" s="11"/>
      <c r="L1904" t="s">
        <v>7</v>
      </c>
    </row>
    <row r="1905" spans="1:12" ht="15" customHeight="1" x14ac:dyDescent="0.25">
      <c r="A1905" s="1" t="s">
        <v>2590</v>
      </c>
      <c r="B1905" s="1">
        <v>26</v>
      </c>
      <c r="C1905" s="9" t="s">
        <v>7671</v>
      </c>
      <c r="D1905" s="22">
        <v>67</v>
      </c>
      <c r="E1905" s="9" t="s">
        <v>7672</v>
      </c>
      <c r="F1905" s="25">
        <v>22</v>
      </c>
      <c r="G1905" s="11" t="s">
        <v>7643</v>
      </c>
      <c r="H1905" s="11" t="s">
        <v>7876</v>
      </c>
      <c r="I1905" s="11" t="s">
        <v>7877</v>
      </c>
      <c r="J1905" s="11" t="s">
        <v>7878</v>
      </c>
      <c r="K1905" s="11"/>
      <c r="L1905" t="s">
        <v>9</v>
      </c>
    </row>
    <row r="1906" spans="1:12" ht="15" customHeight="1" x14ac:dyDescent="0.25">
      <c r="A1906" s="1" t="s">
        <v>2590</v>
      </c>
      <c r="B1906" s="1">
        <v>26</v>
      </c>
      <c r="C1906" s="9" t="s">
        <v>7671</v>
      </c>
      <c r="D1906" s="22">
        <v>67</v>
      </c>
      <c r="E1906" s="9" t="s">
        <v>7672</v>
      </c>
      <c r="F1906" s="25">
        <v>23</v>
      </c>
      <c r="G1906" s="11" t="s">
        <v>7644</v>
      </c>
      <c r="H1906" s="11" t="s">
        <v>7645</v>
      </c>
      <c r="I1906" s="11" t="s">
        <v>7646</v>
      </c>
      <c r="J1906" s="11" t="s">
        <v>7647</v>
      </c>
      <c r="K1906" s="11"/>
      <c r="L1906" t="s">
        <v>7</v>
      </c>
    </row>
    <row r="1907" spans="1:12" ht="15" customHeight="1" x14ac:dyDescent="0.25">
      <c r="A1907" s="1" t="s">
        <v>2590</v>
      </c>
      <c r="B1907" s="1">
        <v>26</v>
      </c>
      <c r="C1907" s="9" t="s">
        <v>7671</v>
      </c>
      <c r="D1907" s="22">
        <v>67</v>
      </c>
      <c r="E1907" s="9" t="s">
        <v>7672</v>
      </c>
      <c r="F1907" s="25">
        <v>24</v>
      </c>
      <c r="G1907" s="11" t="s">
        <v>7648</v>
      </c>
      <c r="H1907" s="11" t="s">
        <v>7649</v>
      </c>
      <c r="I1907" s="11" t="s">
        <v>7619</v>
      </c>
      <c r="J1907" s="11" t="s">
        <v>7620</v>
      </c>
      <c r="K1907" s="11"/>
      <c r="L1907" t="s">
        <v>7</v>
      </c>
    </row>
    <row r="1908" spans="1:12" ht="15" customHeight="1" x14ac:dyDescent="0.25">
      <c r="A1908" s="1" t="s">
        <v>2590</v>
      </c>
      <c r="B1908" s="1">
        <v>26</v>
      </c>
      <c r="C1908" s="9" t="s">
        <v>7671</v>
      </c>
      <c r="D1908" s="22">
        <v>67</v>
      </c>
      <c r="E1908" s="9" t="s">
        <v>7672</v>
      </c>
      <c r="F1908" s="25">
        <v>25</v>
      </c>
      <c r="G1908" s="11" t="s">
        <v>7650</v>
      </c>
      <c r="H1908" s="11" t="s">
        <v>7651</v>
      </c>
      <c r="I1908" s="11" t="s">
        <v>7652</v>
      </c>
      <c r="J1908" s="11" t="s">
        <v>7653</v>
      </c>
      <c r="K1908" s="11"/>
      <c r="L1908" t="s">
        <v>7</v>
      </c>
    </row>
    <row r="1909" spans="1:12" ht="15" customHeight="1" x14ac:dyDescent="0.25">
      <c r="A1909" s="1" t="s">
        <v>2590</v>
      </c>
      <c r="B1909" s="1">
        <v>26</v>
      </c>
      <c r="C1909" s="9" t="s">
        <v>7671</v>
      </c>
      <c r="D1909" s="22">
        <v>67</v>
      </c>
      <c r="E1909" s="9" t="s">
        <v>7672</v>
      </c>
      <c r="F1909" s="25">
        <v>26</v>
      </c>
      <c r="G1909" s="11" t="s">
        <v>7654</v>
      </c>
      <c r="H1909" s="11" t="s">
        <v>7655</v>
      </c>
      <c r="I1909" s="11" t="s">
        <v>7656</v>
      </c>
      <c r="J1909" s="11" t="s">
        <v>7657</v>
      </c>
      <c r="K1909" s="11"/>
      <c r="L1909" t="s">
        <v>8</v>
      </c>
    </row>
    <row r="1910" spans="1:12" ht="15" customHeight="1" x14ac:dyDescent="0.25">
      <c r="A1910" s="1" t="s">
        <v>2590</v>
      </c>
      <c r="B1910" s="1">
        <v>26</v>
      </c>
      <c r="C1910" s="9" t="s">
        <v>7671</v>
      </c>
      <c r="D1910" s="22">
        <v>67</v>
      </c>
      <c r="E1910" s="9" t="s">
        <v>7672</v>
      </c>
      <c r="F1910" s="25">
        <v>27</v>
      </c>
      <c r="G1910" s="11" t="s">
        <v>7658</v>
      </c>
      <c r="H1910" s="11" t="s">
        <v>7659</v>
      </c>
      <c r="I1910" s="11" t="s">
        <v>7660</v>
      </c>
      <c r="J1910" s="11" t="s">
        <v>7661</v>
      </c>
      <c r="K1910" s="11"/>
      <c r="L1910" t="s">
        <v>9</v>
      </c>
    </row>
    <row r="1911" spans="1:12" ht="15" customHeight="1" x14ac:dyDescent="0.25">
      <c r="A1911" s="1" t="s">
        <v>2590</v>
      </c>
      <c r="B1911" s="1">
        <v>26</v>
      </c>
      <c r="C1911" s="9" t="s">
        <v>7671</v>
      </c>
      <c r="D1911" s="22">
        <v>67</v>
      </c>
      <c r="E1911" s="9" t="s">
        <v>7672</v>
      </c>
      <c r="F1911" s="25">
        <v>28</v>
      </c>
      <c r="G1911" s="11" t="s">
        <v>7662</v>
      </c>
      <c r="H1911" s="11" t="s">
        <v>7663</v>
      </c>
      <c r="I1911" s="11" t="s">
        <v>7664</v>
      </c>
      <c r="J1911" s="11" t="s">
        <v>7665</v>
      </c>
      <c r="K1911" s="11"/>
      <c r="L1911" t="s">
        <v>9</v>
      </c>
    </row>
    <row r="1912" spans="1:12" ht="15" customHeight="1" x14ac:dyDescent="0.25">
      <c r="A1912" s="1" t="s">
        <v>2590</v>
      </c>
      <c r="B1912" s="1">
        <v>26</v>
      </c>
      <c r="C1912" s="9" t="s">
        <v>7671</v>
      </c>
      <c r="D1912" s="22">
        <v>67</v>
      </c>
      <c r="E1912" s="9" t="s">
        <v>7672</v>
      </c>
      <c r="F1912" s="25">
        <v>29</v>
      </c>
      <c r="G1912" s="11" t="s">
        <v>7666</v>
      </c>
      <c r="H1912" s="11" t="s">
        <v>7667</v>
      </c>
      <c r="I1912" s="11" t="s">
        <v>7668</v>
      </c>
      <c r="J1912" s="11" t="s">
        <v>7669</v>
      </c>
      <c r="K1912" s="11"/>
      <c r="L1912" t="s">
        <v>7</v>
      </c>
    </row>
    <row r="1913" spans="1:12" ht="15" customHeight="1" x14ac:dyDescent="0.25">
      <c r="A1913" s="1" t="s">
        <v>2590</v>
      </c>
      <c r="B1913" s="1">
        <v>26</v>
      </c>
      <c r="C1913" s="9" t="s">
        <v>7671</v>
      </c>
      <c r="D1913" s="22">
        <v>67</v>
      </c>
      <c r="E1913" s="9" t="s">
        <v>7672</v>
      </c>
      <c r="F1913" s="25">
        <v>30</v>
      </c>
      <c r="G1913" s="11" t="s">
        <v>7670</v>
      </c>
      <c r="H1913" s="11" t="s">
        <v>7651</v>
      </c>
      <c r="I1913" s="11" t="s">
        <v>7652</v>
      </c>
      <c r="J1913" s="11" t="s">
        <v>7653</v>
      </c>
      <c r="K1913" s="11"/>
      <c r="L1913" t="s">
        <v>9</v>
      </c>
    </row>
    <row r="1914" spans="1:12" ht="15" customHeight="1" x14ac:dyDescent="0.25">
      <c r="A1914" s="1" t="s">
        <v>2590</v>
      </c>
      <c r="B1914" s="1">
        <v>26</v>
      </c>
      <c r="C1914" s="9" t="s">
        <v>7671</v>
      </c>
      <c r="D1914" s="22">
        <v>68</v>
      </c>
      <c r="E1914" s="9" t="s">
        <v>7705</v>
      </c>
      <c r="F1914" s="24">
        <v>1</v>
      </c>
      <c r="G1914" s="5" t="s">
        <v>7673</v>
      </c>
      <c r="H1914" s="5" t="s">
        <v>7781</v>
      </c>
      <c r="I1914" s="5" t="s">
        <v>7782</v>
      </c>
      <c r="J1914" s="5" t="s">
        <v>7783</v>
      </c>
      <c r="K1914" s="5"/>
      <c r="L1914" s="5" t="s">
        <v>7</v>
      </c>
    </row>
    <row r="1915" spans="1:12" ht="15" customHeight="1" x14ac:dyDescent="0.25">
      <c r="A1915" s="1" t="s">
        <v>2590</v>
      </c>
      <c r="B1915" s="1">
        <v>26</v>
      </c>
      <c r="C1915" s="9" t="s">
        <v>7671</v>
      </c>
      <c r="D1915" s="22">
        <v>68</v>
      </c>
      <c r="E1915" s="9" t="s">
        <v>7705</v>
      </c>
      <c r="F1915" s="24">
        <v>2</v>
      </c>
      <c r="G1915" s="5" t="s">
        <v>7674</v>
      </c>
      <c r="H1915" s="5" t="s">
        <v>7675</v>
      </c>
      <c r="I1915" s="5" t="s">
        <v>7676</v>
      </c>
      <c r="J1915" s="5" t="s">
        <v>7677</v>
      </c>
      <c r="K1915" s="5"/>
      <c r="L1915" s="5" t="s">
        <v>8</v>
      </c>
    </row>
    <row r="1916" spans="1:12" ht="15" customHeight="1" x14ac:dyDescent="0.25">
      <c r="A1916" s="1" t="s">
        <v>2590</v>
      </c>
      <c r="B1916" s="1">
        <v>26</v>
      </c>
      <c r="C1916" s="9" t="s">
        <v>7671</v>
      </c>
      <c r="D1916" s="22">
        <v>68</v>
      </c>
      <c r="E1916" s="9" t="s">
        <v>7705</v>
      </c>
      <c r="F1916" s="24">
        <v>3</v>
      </c>
      <c r="G1916" s="5" t="s">
        <v>7678</v>
      </c>
      <c r="H1916" s="5" t="s">
        <v>7679</v>
      </c>
      <c r="I1916" s="5" t="s">
        <v>7784</v>
      </c>
      <c r="J1916" s="5" t="s">
        <v>7785</v>
      </c>
      <c r="K1916" s="5"/>
      <c r="L1916" s="5" t="s">
        <v>9</v>
      </c>
    </row>
    <row r="1917" spans="1:12" ht="15" customHeight="1" x14ac:dyDescent="0.25">
      <c r="A1917" s="1" t="s">
        <v>2590</v>
      </c>
      <c r="B1917" s="1">
        <v>26</v>
      </c>
      <c r="C1917" s="9" t="s">
        <v>7671</v>
      </c>
      <c r="D1917" s="22">
        <v>68</v>
      </c>
      <c r="E1917" s="9" t="s">
        <v>7705</v>
      </c>
      <c r="F1917" s="24">
        <v>4</v>
      </c>
      <c r="G1917" s="5" t="s">
        <v>7680</v>
      </c>
      <c r="H1917" s="5" t="s">
        <v>7681</v>
      </c>
      <c r="I1917" s="5" t="s">
        <v>7682</v>
      </c>
      <c r="J1917" s="5" t="s">
        <v>7683</v>
      </c>
      <c r="K1917" s="5"/>
      <c r="L1917" s="5" t="s">
        <v>8</v>
      </c>
    </row>
    <row r="1918" spans="1:12" ht="15" customHeight="1" x14ac:dyDescent="0.25">
      <c r="A1918" s="1" t="s">
        <v>2590</v>
      </c>
      <c r="B1918" s="1">
        <v>26</v>
      </c>
      <c r="C1918" s="9" t="s">
        <v>7671</v>
      </c>
      <c r="D1918" s="22">
        <v>68</v>
      </c>
      <c r="E1918" s="9" t="s">
        <v>7705</v>
      </c>
      <c r="F1918" s="24">
        <v>5</v>
      </c>
      <c r="G1918" s="5" t="s">
        <v>7684</v>
      </c>
      <c r="H1918" s="5" t="s">
        <v>7685</v>
      </c>
      <c r="I1918" s="5" t="s">
        <v>7686</v>
      </c>
      <c r="J1918" s="5" t="s">
        <v>7687</v>
      </c>
      <c r="K1918" s="5" t="s">
        <v>7688</v>
      </c>
      <c r="L1918" s="5" t="s">
        <v>8</v>
      </c>
    </row>
    <row r="1919" spans="1:12" ht="15" customHeight="1" x14ac:dyDescent="0.25">
      <c r="A1919" s="1" t="s">
        <v>2590</v>
      </c>
      <c r="B1919" s="1">
        <v>26</v>
      </c>
      <c r="C1919" s="9" t="s">
        <v>7671</v>
      </c>
      <c r="D1919" s="22">
        <v>68</v>
      </c>
      <c r="E1919" s="9" t="s">
        <v>7705</v>
      </c>
      <c r="F1919" s="24">
        <v>6</v>
      </c>
      <c r="G1919" s="5" t="s">
        <v>7786</v>
      </c>
      <c r="H1919" s="5" t="s">
        <v>7787</v>
      </c>
      <c r="I1919" s="5" t="s">
        <v>7788</v>
      </c>
      <c r="J1919" s="5" t="s">
        <v>7789</v>
      </c>
      <c r="K1919" s="5"/>
      <c r="L1919" s="5" t="s">
        <v>9</v>
      </c>
    </row>
    <row r="1920" spans="1:12" ht="15" customHeight="1" x14ac:dyDescent="0.25">
      <c r="A1920" s="1" t="s">
        <v>2590</v>
      </c>
      <c r="B1920" s="1">
        <v>26</v>
      </c>
      <c r="C1920" s="9" t="s">
        <v>7671</v>
      </c>
      <c r="D1920" s="22">
        <v>68</v>
      </c>
      <c r="E1920" s="9" t="s">
        <v>7705</v>
      </c>
      <c r="F1920" s="24">
        <v>7</v>
      </c>
      <c r="G1920" s="5" t="s">
        <v>7689</v>
      </c>
      <c r="H1920" s="5" t="s">
        <v>7790</v>
      </c>
      <c r="I1920" s="5" t="s">
        <v>7791</v>
      </c>
      <c r="J1920" s="5" t="s">
        <v>7792</v>
      </c>
      <c r="K1920" s="5"/>
      <c r="L1920" s="5" t="s">
        <v>9</v>
      </c>
    </row>
    <row r="1921" spans="1:12" ht="15" customHeight="1" x14ac:dyDescent="0.25">
      <c r="A1921" s="1" t="s">
        <v>2590</v>
      </c>
      <c r="B1921" s="1">
        <v>26</v>
      </c>
      <c r="C1921" s="9" t="s">
        <v>7671</v>
      </c>
      <c r="D1921" s="22">
        <v>68</v>
      </c>
      <c r="E1921" s="9" t="s">
        <v>7705</v>
      </c>
      <c r="F1921" s="24">
        <v>8</v>
      </c>
      <c r="G1921" s="5" t="s">
        <v>7793</v>
      </c>
      <c r="H1921" s="5" t="s">
        <v>7690</v>
      </c>
      <c r="I1921" s="5" t="s">
        <v>7691</v>
      </c>
      <c r="J1921" s="5" t="s">
        <v>7692</v>
      </c>
      <c r="K1921" s="5"/>
      <c r="L1921" s="5" t="s">
        <v>8</v>
      </c>
    </row>
    <row r="1922" spans="1:12" ht="15" customHeight="1" x14ac:dyDescent="0.25">
      <c r="A1922" s="1" t="s">
        <v>2590</v>
      </c>
      <c r="B1922" s="1">
        <v>26</v>
      </c>
      <c r="C1922" s="9" t="s">
        <v>7671</v>
      </c>
      <c r="D1922" s="22">
        <v>68</v>
      </c>
      <c r="E1922" s="9" t="s">
        <v>7705</v>
      </c>
      <c r="F1922" s="24">
        <v>9</v>
      </c>
      <c r="G1922" s="5" t="s">
        <v>7794</v>
      </c>
      <c r="H1922" s="5" t="s">
        <v>7693</v>
      </c>
      <c r="I1922" s="5" t="s">
        <v>7694</v>
      </c>
      <c r="J1922" s="5" t="s">
        <v>7695</v>
      </c>
      <c r="K1922" s="5"/>
      <c r="L1922" s="5" t="s">
        <v>7</v>
      </c>
    </row>
    <row r="1923" spans="1:12" ht="15" customHeight="1" x14ac:dyDescent="0.25">
      <c r="A1923" s="1" t="s">
        <v>2590</v>
      </c>
      <c r="B1923" s="1">
        <v>26</v>
      </c>
      <c r="C1923" s="9" t="s">
        <v>7671</v>
      </c>
      <c r="D1923" s="22">
        <v>68</v>
      </c>
      <c r="E1923" s="9" t="s">
        <v>7705</v>
      </c>
      <c r="F1923" s="24">
        <v>10</v>
      </c>
      <c r="G1923" s="5" t="s">
        <v>7795</v>
      </c>
      <c r="H1923" s="5" t="s">
        <v>7696</v>
      </c>
      <c r="I1923" s="5" t="s">
        <v>7697</v>
      </c>
      <c r="J1923" s="5" t="s">
        <v>7698</v>
      </c>
      <c r="K1923" s="5"/>
      <c r="L1923" s="5" t="s">
        <v>8</v>
      </c>
    </row>
    <row r="1924" spans="1:12" ht="15" customHeight="1" x14ac:dyDescent="0.25">
      <c r="A1924" s="1" t="s">
        <v>2590</v>
      </c>
      <c r="B1924" s="1">
        <v>26</v>
      </c>
      <c r="C1924" s="9" t="s">
        <v>7671</v>
      </c>
      <c r="D1924" s="22">
        <v>68</v>
      </c>
      <c r="E1924" s="9" t="s">
        <v>7705</v>
      </c>
      <c r="F1924" s="24">
        <v>11</v>
      </c>
      <c r="G1924" s="5" t="s">
        <v>7796</v>
      </c>
      <c r="H1924" s="5" t="s">
        <v>7797</v>
      </c>
      <c r="I1924" s="5" t="s">
        <v>7798</v>
      </c>
      <c r="J1924" s="5" t="s">
        <v>7799</v>
      </c>
      <c r="K1924" s="5"/>
      <c r="L1924" s="5" t="s">
        <v>7</v>
      </c>
    </row>
    <row r="1925" spans="1:12" ht="15" customHeight="1" x14ac:dyDescent="0.25">
      <c r="A1925" s="1" t="s">
        <v>2590</v>
      </c>
      <c r="B1925" s="1">
        <v>26</v>
      </c>
      <c r="C1925" s="9" t="s">
        <v>7671</v>
      </c>
      <c r="D1925" s="22">
        <v>68</v>
      </c>
      <c r="E1925" s="9" t="s">
        <v>7705</v>
      </c>
      <c r="F1925" s="24">
        <v>12</v>
      </c>
      <c r="G1925" s="5" t="s">
        <v>7800</v>
      </c>
      <c r="H1925" s="5" t="s">
        <v>7801</v>
      </c>
      <c r="I1925" s="5" t="s">
        <v>7802</v>
      </c>
      <c r="J1925" s="5" t="s">
        <v>7803</v>
      </c>
      <c r="K1925" s="5"/>
      <c r="L1925" s="5" t="s">
        <v>8</v>
      </c>
    </row>
    <row r="1926" spans="1:12" ht="15" customHeight="1" x14ac:dyDescent="0.25">
      <c r="A1926" s="1" t="s">
        <v>2590</v>
      </c>
      <c r="B1926" s="1">
        <v>26</v>
      </c>
      <c r="C1926" s="9" t="s">
        <v>7671</v>
      </c>
      <c r="D1926" s="22">
        <v>68</v>
      </c>
      <c r="E1926" s="9" t="s">
        <v>7705</v>
      </c>
      <c r="F1926" s="24">
        <v>13</v>
      </c>
      <c r="G1926" s="5" t="s">
        <v>7804</v>
      </c>
      <c r="H1926" s="5" t="s">
        <v>7805</v>
      </c>
      <c r="I1926" s="5" t="s">
        <v>7806</v>
      </c>
      <c r="J1926" s="5" t="s">
        <v>7807</v>
      </c>
      <c r="K1926" s="5"/>
      <c r="L1926" s="5" t="s">
        <v>7</v>
      </c>
    </row>
    <row r="1927" spans="1:12" ht="15" customHeight="1" x14ac:dyDescent="0.25">
      <c r="A1927" s="1" t="s">
        <v>2590</v>
      </c>
      <c r="B1927" s="1">
        <v>26</v>
      </c>
      <c r="C1927" s="9" t="s">
        <v>7671</v>
      </c>
      <c r="D1927" s="22">
        <v>68</v>
      </c>
      <c r="E1927" s="9" t="s">
        <v>7705</v>
      </c>
      <c r="F1927" s="24">
        <v>14</v>
      </c>
      <c r="G1927" s="5" t="s">
        <v>7808</v>
      </c>
      <c r="H1927" s="5" t="s">
        <v>7809</v>
      </c>
      <c r="I1927" s="5" t="s">
        <v>7810</v>
      </c>
      <c r="J1927" s="5" t="s">
        <v>7811</v>
      </c>
      <c r="K1927" s="5"/>
      <c r="L1927" s="5" t="s">
        <v>8</v>
      </c>
    </row>
    <row r="1928" spans="1:12" ht="15" customHeight="1" x14ac:dyDescent="0.25">
      <c r="A1928" s="1" t="s">
        <v>2590</v>
      </c>
      <c r="B1928" s="1">
        <v>26</v>
      </c>
      <c r="C1928" s="9" t="s">
        <v>7671</v>
      </c>
      <c r="D1928" s="22">
        <v>68</v>
      </c>
      <c r="E1928" s="9" t="s">
        <v>7705</v>
      </c>
      <c r="F1928" s="24">
        <v>15</v>
      </c>
      <c r="G1928" s="5" t="s">
        <v>7812</v>
      </c>
      <c r="H1928" s="5" t="s">
        <v>7813</v>
      </c>
      <c r="I1928" s="5" t="s">
        <v>7814</v>
      </c>
      <c r="J1928" s="5" t="s">
        <v>7815</v>
      </c>
      <c r="K1928" s="5"/>
      <c r="L1928" s="5" t="s">
        <v>9</v>
      </c>
    </row>
    <row r="1929" spans="1:12" ht="15" customHeight="1" x14ac:dyDescent="0.25">
      <c r="A1929" s="1" t="s">
        <v>2590</v>
      </c>
      <c r="B1929" s="1">
        <v>26</v>
      </c>
      <c r="C1929" s="9" t="s">
        <v>7671</v>
      </c>
      <c r="D1929" s="22">
        <v>68</v>
      </c>
      <c r="E1929" s="9" t="s">
        <v>7705</v>
      </c>
      <c r="F1929" s="24">
        <v>16</v>
      </c>
      <c r="G1929" s="5" t="s">
        <v>7816</v>
      </c>
      <c r="H1929" s="5" t="s">
        <v>7817</v>
      </c>
      <c r="I1929" s="5" t="s">
        <v>7818</v>
      </c>
      <c r="J1929" s="5" t="s">
        <v>7819</v>
      </c>
      <c r="K1929" s="5"/>
      <c r="L1929" s="5" t="s">
        <v>8</v>
      </c>
    </row>
    <row r="1930" spans="1:12" ht="15" customHeight="1" x14ac:dyDescent="0.25">
      <c r="A1930" s="1" t="s">
        <v>2590</v>
      </c>
      <c r="B1930" s="1">
        <v>26</v>
      </c>
      <c r="C1930" s="9" t="s">
        <v>7671</v>
      </c>
      <c r="D1930" s="22">
        <v>68</v>
      </c>
      <c r="E1930" s="9" t="s">
        <v>7705</v>
      </c>
      <c r="F1930" s="24">
        <v>17</v>
      </c>
      <c r="G1930" s="5" t="s">
        <v>7820</v>
      </c>
      <c r="H1930" s="5" t="s">
        <v>7821</v>
      </c>
      <c r="I1930" s="5" t="s">
        <v>7822</v>
      </c>
      <c r="J1930" s="5" t="s">
        <v>7823</v>
      </c>
      <c r="K1930" s="5"/>
      <c r="L1930" s="5" t="s">
        <v>7</v>
      </c>
    </row>
    <row r="1931" spans="1:12" ht="15" customHeight="1" x14ac:dyDescent="0.25">
      <c r="A1931" s="1" t="s">
        <v>2590</v>
      </c>
      <c r="B1931" s="1">
        <v>26</v>
      </c>
      <c r="C1931" s="9" t="s">
        <v>7671</v>
      </c>
      <c r="D1931" s="22">
        <v>68</v>
      </c>
      <c r="E1931" s="9" t="s">
        <v>7705</v>
      </c>
      <c r="F1931" s="24">
        <v>18</v>
      </c>
      <c r="G1931" s="5" t="s">
        <v>7824</v>
      </c>
      <c r="H1931" s="5" t="s">
        <v>7825</v>
      </c>
      <c r="I1931" s="5" t="s">
        <v>7826</v>
      </c>
      <c r="J1931" s="5" t="s">
        <v>7717</v>
      </c>
      <c r="K1931" s="5"/>
      <c r="L1931" s="5" t="s">
        <v>9</v>
      </c>
    </row>
    <row r="1932" spans="1:12" ht="15" customHeight="1" x14ac:dyDescent="0.25">
      <c r="A1932" s="1" t="s">
        <v>2590</v>
      </c>
      <c r="B1932" s="1">
        <v>26</v>
      </c>
      <c r="C1932" s="9" t="s">
        <v>7671</v>
      </c>
      <c r="D1932" s="22">
        <v>68</v>
      </c>
      <c r="E1932" s="9" t="s">
        <v>7705</v>
      </c>
      <c r="F1932" s="24">
        <v>19</v>
      </c>
      <c r="G1932" s="5" t="s">
        <v>7699</v>
      </c>
      <c r="H1932" s="5" t="s">
        <v>7827</v>
      </c>
      <c r="I1932" s="5" t="s">
        <v>7828</v>
      </c>
      <c r="J1932" s="5" t="s">
        <v>7829</v>
      </c>
      <c r="K1932" s="5"/>
      <c r="L1932" s="5" t="s">
        <v>8</v>
      </c>
    </row>
    <row r="1933" spans="1:12" ht="15" customHeight="1" x14ac:dyDescent="0.25">
      <c r="A1933" s="1" t="s">
        <v>2590</v>
      </c>
      <c r="B1933" s="1">
        <v>26</v>
      </c>
      <c r="C1933" s="9" t="s">
        <v>7671</v>
      </c>
      <c r="D1933" s="22">
        <v>68</v>
      </c>
      <c r="E1933" s="9" t="s">
        <v>7705</v>
      </c>
      <c r="F1933" s="24">
        <v>20</v>
      </c>
      <c r="G1933" s="5" t="s">
        <v>7830</v>
      </c>
      <c r="H1933" s="5" t="s">
        <v>7831</v>
      </c>
      <c r="I1933" s="5" t="s">
        <v>7832</v>
      </c>
      <c r="J1933" s="5" t="s">
        <v>7833</v>
      </c>
      <c r="K1933" s="5"/>
      <c r="L1933" s="5" t="s">
        <v>9</v>
      </c>
    </row>
    <row r="1934" spans="1:12" ht="15" customHeight="1" x14ac:dyDescent="0.25">
      <c r="A1934" s="1" t="s">
        <v>2590</v>
      </c>
      <c r="B1934" s="1">
        <v>26</v>
      </c>
      <c r="C1934" s="9" t="s">
        <v>7671</v>
      </c>
      <c r="D1934" s="22">
        <v>68</v>
      </c>
      <c r="E1934" s="9" t="s">
        <v>7705</v>
      </c>
      <c r="F1934" s="24">
        <v>21</v>
      </c>
      <c r="G1934" s="5" t="s">
        <v>7834</v>
      </c>
      <c r="H1934" s="5" t="s">
        <v>7651</v>
      </c>
      <c r="I1934" s="5" t="s">
        <v>7652</v>
      </c>
      <c r="J1934" s="5" t="s">
        <v>7653</v>
      </c>
      <c r="K1934" s="5"/>
      <c r="L1934" s="5" t="s">
        <v>8</v>
      </c>
    </row>
    <row r="1935" spans="1:12" ht="15" customHeight="1" x14ac:dyDescent="0.25">
      <c r="A1935" s="1" t="s">
        <v>2590</v>
      </c>
      <c r="B1935" s="1">
        <v>26</v>
      </c>
      <c r="C1935" s="9" t="s">
        <v>7671</v>
      </c>
      <c r="D1935" s="22">
        <v>68</v>
      </c>
      <c r="E1935" s="9" t="s">
        <v>7705</v>
      </c>
      <c r="F1935" s="24">
        <v>22</v>
      </c>
      <c r="G1935" s="5" t="s">
        <v>7700</v>
      </c>
      <c r="H1935" s="5" t="s">
        <v>7835</v>
      </c>
      <c r="I1935" s="5" t="s">
        <v>7836</v>
      </c>
      <c r="J1935" s="5" t="s">
        <v>789</v>
      </c>
      <c r="K1935" s="5"/>
      <c r="L1935" s="5" t="s">
        <v>9</v>
      </c>
    </row>
    <row r="1936" spans="1:12" ht="15" customHeight="1" x14ac:dyDescent="0.25">
      <c r="A1936" s="1" t="s">
        <v>2590</v>
      </c>
      <c r="B1936" s="1">
        <v>26</v>
      </c>
      <c r="C1936" s="9" t="s">
        <v>7671</v>
      </c>
      <c r="D1936" s="22">
        <v>68</v>
      </c>
      <c r="E1936" s="9" t="s">
        <v>7705</v>
      </c>
      <c r="F1936" s="24">
        <v>23</v>
      </c>
      <c r="G1936" s="5" t="s">
        <v>7701</v>
      </c>
      <c r="H1936" s="5" t="s">
        <v>7837</v>
      </c>
      <c r="I1936" s="5" t="s">
        <v>7838</v>
      </c>
      <c r="J1936" s="5" t="s">
        <v>7839</v>
      </c>
      <c r="K1936" s="5"/>
      <c r="L1936" s="5" t="s">
        <v>7</v>
      </c>
    </row>
    <row r="1937" spans="1:12" ht="15" customHeight="1" x14ac:dyDescent="0.25">
      <c r="A1937" s="1" t="s">
        <v>2590</v>
      </c>
      <c r="B1937" s="1">
        <v>26</v>
      </c>
      <c r="C1937" s="9" t="s">
        <v>7671</v>
      </c>
      <c r="D1937" s="22">
        <v>68</v>
      </c>
      <c r="E1937" s="9" t="s">
        <v>7705</v>
      </c>
      <c r="F1937" s="24">
        <v>24</v>
      </c>
      <c r="G1937" s="5" t="s">
        <v>7702</v>
      </c>
      <c r="H1937" s="5" t="s">
        <v>7840</v>
      </c>
      <c r="I1937" s="5" t="s">
        <v>7841</v>
      </c>
      <c r="J1937" s="5" t="s">
        <v>7842</v>
      </c>
      <c r="K1937" s="5"/>
      <c r="L1937" s="5" t="s">
        <v>9</v>
      </c>
    </row>
    <row r="1938" spans="1:12" ht="15" customHeight="1" x14ac:dyDescent="0.25">
      <c r="A1938" s="1" t="s">
        <v>2590</v>
      </c>
      <c r="B1938" s="1">
        <v>26</v>
      </c>
      <c r="C1938" s="9" t="s">
        <v>7671</v>
      </c>
      <c r="D1938" s="22">
        <v>68</v>
      </c>
      <c r="E1938" s="9" t="s">
        <v>7705</v>
      </c>
      <c r="F1938" s="24">
        <v>25</v>
      </c>
      <c r="G1938" s="5" t="s">
        <v>7843</v>
      </c>
      <c r="H1938" s="5" t="s">
        <v>7844</v>
      </c>
      <c r="I1938" s="5" t="s">
        <v>7845</v>
      </c>
      <c r="J1938" s="5" t="s">
        <v>7846</v>
      </c>
      <c r="K1938" s="5"/>
      <c r="L1938" s="5" t="s">
        <v>9</v>
      </c>
    </row>
    <row r="1939" spans="1:12" ht="15" customHeight="1" x14ac:dyDescent="0.25">
      <c r="A1939" s="1" t="s">
        <v>2590</v>
      </c>
      <c r="B1939" s="1">
        <v>26</v>
      </c>
      <c r="C1939" s="9" t="s">
        <v>7671</v>
      </c>
      <c r="D1939" s="22">
        <v>68</v>
      </c>
      <c r="E1939" s="9" t="s">
        <v>7705</v>
      </c>
      <c r="F1939" s="24">
        <v>26</v>
      </c>
      <c r="G1939" s="5" t="s">
        <v>7703</v>
      </c>
      <c r="H1939" s="5" t="s">
        <v>7847</v>
      </c>
      <c r="I1939" s="5" t="s">
        <v>7848</v>
      </c>
      <c r="J1939" s="5" t="s">
        <v>7849</v>
      </c>
      <c r="K1939" s="5"/>
      <c r="L1939" s="5" t="s">
        <v>9</v>
      </c>
    </row>
    <row r="1940" spans="1:12" ht="15" customHeight="1" x14ac:dyDescent="0.25">
      <c r="A1940" s="1" t="s">
        <v>2590</v>
      </c>
      <c r="B1940" s="1">
        <v>26</v>
      </c>
      <c r="C1940" s="9" t="s">
        <v>7671</v>
      </c>
      <c r="D1940" s="22">
        <v>68</v>
      </c>
      <c r="E1940" s="9" t="s">
        <v>7705</v>
      </c>
      <c r="F1940" s="24">
        <v>27</v>
      </c>
      <c r="G1940" s="5" t="s">
        <v>7850</v>
      </c>
      <c r="H1940" s="5" t="s">
        <v>7851</v>
      </c>
      <c r="I1940" s="5" t="s">
        <v>7852</v>
      </c>
      <c r="J1940" s="5" t="s">
        <v>7853</v>
      </c>
      <c r="K1940" s="5"/>
      <c r="L1940" s="5" t="s">
        <v>8</v>
      </c>
    </row>
    <row r="1941" spans="1:12" ht="15" customHeight="1" x14ac:dyDescent="0.25">
      <c r="A1941" s="1" t="s">
        <v>2590</v>
      </c>
      <c r="B1941" s="1">
        <v>26</v>
      </c>
      <c r="C1941" s="9" t="s">
        <v>7671</v>
      </c>
      <c r="D1941" s="22">
        <v>68</v>
      </c>
      <c r="E1941" s="9" t="s">
        <v>7705</v>
      </c>
      <c r="F1941" s="24">
        <v>28</v>
      </c>
      <c r="G1941" s="5" t="s">
        <v>7854</v>
      </c>
      <c r="H1941" s="5" t="s">
        <v>7855</v>
      </c>
      <c r="I1941" s="5" t="s">
        <v>7856</v>
      </c>
      <c r="J1941" s="5" t="s">
        <v>7857</v>
      </c>
      <c r="K1941" s="5"/>
      <c r="L1941" s="5" t="s">
        <v>9</v>
      </c>
    </row>
    <row r="1942" spans="1:12" ht="15" customHeight="1" x14ac:dyDescent="0.25">
      <c r="A1942" s="1" t="s">
        <v>2590</v>
      </c>
      <c r="B1942" s="1">
        <v>26</v>
      </c>
      <c r="C1942" s="9" t="s">
        <v>7671</v>
      </c>
      <c r="D1942" s="22">
        <v>68</v>
      </c>
      <c r="E1942" s="9" t="s">
        <v>7705</v>
      </c>
      <c r="F1942" s="24">
        <v>29</v>
      </c>
      <c r="G1942" s="5" t="s">
        <v>7858</v>
      </c>
      <c r="H1942" s="5" t="s">
        <v>7859</v>
      </c>
      <c r="I1942" s="5" t="s">
        <v>7704</v>
      </c>
      <c r="J1942" s="5" t="s">
        <v>7860</v>
      </c>
      <c r="K1942" s="5"/>
      <c r="L1942" s="5" t="s">
        <v>7</v>
      </c>
    </row>
    <row r="1943" spans="1:12" ht="15" customHeight="1" x14ac:dyDescent="0.25">
      <c r="A1943" s="1" t="s">
        <v>2590</v>
      </c>
      <c r="B1943" s="1">
        <v>26</v>
      </c>
      <c r="C1943" s="9" t="s">
        <v>7671</v>
      </c>
      <c r="D1943" s="22">
        <v>68</v>
      </c>
      <c r="E1943" s="9" t="s">
        <v>7705</v>
      </c>
      <c r="F1943" s="24">
        <v>30</v>
      </c>
      <c r="G1943" s="5" t="s">
        <v>7861</v>
      </c>
      <c r="H1943" s="5" t="s">
        <v>7862</v>
      </c>
      <c r="I1943" s="5" t="s">
        <v>7863</v>
      </c>
      <c r="J1943" s="5" t="s">
        <v>789</v>
      </c>
      <c r="K1943" s="5"/>
      <c r="L1943" s="5" t="s">
        <v>7</v>
      </c>
    </row>
    <row r="1944" spans="1:12" ht="15" customHeight="1" x14ac:dyDescent="0.25">
      <c r="A1944" s="1" t="s">
        <v>2590</v>
      </c>
      <c r="B1944" s="1">
        <v>27</v>
      </c>
      <c r="C1944" s="9" t="s">
        <v>7706</v>
      </c>
      <c r="D1944" s="22">
        <v>69</v>
      </c>
      <c r="E1944" s="9" t="s">
        <v>7707</v>
      </c>
      <c r="F1944" s="24">
        <v>1</v>
      </c>
      <c r="G1944" s="5" t="s">
        <v>7708</v>
      </c>
      <c r="H1944" s="5" t="s">
        <v>7709</v>
      </c>
      <c r="I1944" s="5" t="s">
        <v>7710</v>
      </c>
      <c r="J1944" s="5" t="s">
        <v>7711</v>
      </c>
      <c r="K1944" s="5"/>
      <c r="L1944" s="5" t="s">
        <v>9</v>
      </c>
    </row>
    <row r="1945" spans="1:12" ht="15" customHeight="1" x14ac:dyDescent="0.25">
      <c r="A1945" s="1" t="s">
        <v>2590</v>
      </c>
      <c r="B1945" s="1">
        <v>27</v>
      </c>
      <c r="C1945" s="9" t="s">
        <v>7706</v>
      </c>
      <c r="D1945" s="22">
        <v>69</v>
      </c>
      <c r="E1945" s="9" t="s">
        <v>7707</v>
      </c>
      <c r="F1945" s="24">
        <v>2</v>
      </c>
      <c r="G1945" s="5" t="s">
        <v>7712</v>
      </c>
      <c r="H1945" s="5" t="s">
        <v>7713</v>
      </c>
      <c r="I1945" s="5" t="s">
        <v>7714</v>
      </c>
      <c r="J1945" s="5" t="s">
        <v>7715</v>
      </c>
      <c r="K1945" s="5"/>
      <c r="L1945" s="5" t="s">
        <v>8</v>
      </c>
    </row>
    <row r="1946" spans="1:12" ht="15" customHeight="1" x14ac:dyDescent="0.25">
      <c r="A1946" s="1" t="s">
        <v>2590</v>
      </c>
      <c r="B1946" s="1">
        <v>27</v>
      </c>
      <c r="C1946" s="9" t="s">
        <v>7706</v>
      </c>
      <c r="D1946" s="22">
        <v>69</v>
      </c>
      <c r="E1946" s="9" t="s">
        <v>7707</v>
      </c>
      <c r="F1946" s="24">
        <v>3</v>
      </c>
      <c r="G1946" s="5" t="s">
        <v>7716</v>
      </c>
      <c r="H1946" s="5" t="s">
        <v>7879</v>
      </c>
      <c r="I1946" s="5" t="s">
        <v>7880</v>
      </c>
      <c r="J1946" s="5" t="s">
        <v>7717</v>
      </c>
      <c r="K1946" s="5"/>
      <c r="L1946" s="5" t="s">
        <v>9</v>
      </c>
    </row>
    <row r="1947" spans="1:12" ht="15" customHeight="1" x14ac:dyDescent="0.25">
      <c r="A1947" s="1" t="s">
        <v>2590</v>
      </c>
      <c r="B1947" s="1">
        <v>27</v>
      </c>
      <c r="C1947" s="9" t="s">
        <v>7706</v>
      </c>
      <c r="D1947" s="22">
        <v>69</v>
      </c>
      <c r="E1947" s="9" t="s">
        <v>7707</v>
      </c>
      <c r="F1947" s="24">
        <v>4</v>
      </c>
      <c r="G1947" s="5" t="s">
        <v>7718</v>
      </c>
      <c r="H1947" s="5" t="s">
        <v>7881</v>
      </c>
      <c r="I1947" s="5" t="s">
        <v>7882</v>
      </c>
      <c r="J1947" s="5" t="s">
        <v>7883</v>
      </c>
      <c r="K1947" s="5"/>
      <c r="L1947" s="5" t="s">
        <v>8</v>
      </c>
    </row>
    <row r="1948" spans="1:12" ht="15" customHeight="1" x14ac:dyDescent="0.25">
      <c r="A1948" s="1" t="s">
        <v>2590</v>
      </c>
      <c r="B1948" s="1">
        <v>27</v>
      </c>
      <c r="C1948" s="9" t="s">
        <v>7706</v>
      </c>
      <c r="D1948" s="22">
        <v>69</v>
      </c>
      <c r="E1948" s="9" t="s">
        <v>7707</v>
      </c>
      <c r="F1948" s="24">
        <v>5</v>
      </c>
      <c r="G1948" s="5" t="s">
        <v>7719</v>
      </c>
      <c r="H1948" s="5" t="s">
        <v>7884</v>
      </c>
      <c r="I1948" s="5" t="s">
        <v>7885</v>
      </c>
      <c r="J1948" s="5" t="s">
        <v>7886</v>
      </c>
      <c r="K1948" s="5"/>
      <c r="L1948" s="5" t="s">
        <v>7</v>
      </c>
    </row>
    <row r="1949" spans="1:12" ht="15" customHeight="1" x14ac:dyDescent="0.25">
      <c r="A1949" s="1" t="s">
        <v>2590</v>
      </c>
      <c r="B1949" s="1">
        <v>27</v>
      </c>
      <c r="C1949" s="9" t="s">
        <v>7706</v>
      </c>
      <c r="D1949" s="22">
        <v>69</v>
      </c>
      <c r="E1949" s="9" t="s">
        <v>7707</v>
      </c>
      <c r="F1949" s="24">
        <v>6</v>
      </c>
      <c r="G1949" s="5" t="s">
        <v>7720</v>
      </c>
      <c r="H1949" s="5" t="s">
        <v>7887</v>
      </c>
      <c r="I1949" s="5" t="s">
        <v>7888</v>
      </c>
      <c r="J1949" s="5" t="s">
        <v>7889</v>
      </c>
      <c r="K1949" s="5"/>
      <c r="L1949" s="5" t="s">
        <v>9</v>
      </c>
    </row>
    <row r="1950" spans="1:12" ht="15" customHeight="1" x14ac:dyDescent="0.25">
      <c r="A1950" s="1" t="s">
        <v>2590</v>
      </c>
      <c r="B1950" s="1">
        <v>27</v>
      </c>
      <c r="C1950" s="9" t="s">
        <v>7706</v>
      </c>
      <c r="D1950" s="22">
        <v>69</v>
      </c>
      <c r="E1950" s="9" t="s">
        <v>7707</v>
      </c>
      <c r="F1950" s="24">
        <v>7</v>
      </c>
      <c r="G1950" s="5" t="s">
        <v>7890</v>
      </c>
      <c r="H1950" s="5" t="s">
        <v>7721</v>
      </c>
      <c r="I1950" s="5" t="s">
        <v>7722</v>
      </c>
      <c r="J1950" s="5" t="s">
        <v>7723</v>
      </c>
      <c r="K1950" s="5"/>
      <c r="L1950" s="5" t="s">
        <v>7</v>
      </c>
    </row>
    <row r="1951" spans="1:12" ht="15" customHeight="1" x14ac:dyDescent="0.25">
      <c r="A1951" s="1" t="s">
        <v>2590</v>
      </c>
      <c r="B1951" s="1">
        <v>27</v>
      </c>
      <c r="C1951" s="9" t="s">
        <v>7706</v>
      </c>
      <c r="D1951" s="22">
        <v>69</v>
      </c>
      <c r="E1951" s="9" t="s">
        <v>7707</v>
      </c>
      <c r="F1951" s="24">
        <v>8</v>
      </c>
      <c r="G1951" s="5" t="s">
        <v>7724</v>
      </c>
      <c r="H1951" s="5" t="s">
        <v>7891</v>
      </c>
      <c r="I1951" s="5" t="s">
        <v>7892</v>
      </c>
      <c r="J1951" s="5" t="s">
        <v>789</v>
      </c>
      <c r="K1951" s="5"/>
      <c r="L1951" s="5" t="s">
        <v>7</v>
      </c>
    </row>
    <row r="1952" spans="1:12" ht="15" customHeight="1" x14ac:dyDescent="0.25">
      <c r="A1952" s="1" t="s">
        <v>2590</v>
      </c>
      <c r="B1952" s="1">
        <v>27</v>
      </c>
      <c r="C1952" s="9" t="s">
        <v>7706</v>
      </c>
      <c r="D1952" s="22">
        <v>69</v>
      </c>
      <c r="E1952" s="9" t="s">
        <v>7707</v>
      </c>
      <c r="F1952" s="24">
        <v>9</v>
      </c>
      <c r="G1952" s="5" t="s">
        <v>7893</v>
      </c>
      <c r="H1952" s="5" t="s">
        <v>7894</v>
      </c>
      <c r="I1952" s="5" t="s">
        <v>7895</v>
      </c>
      <c r="J1952" s="5" t="s">
        <v>7896</v>
      </c>
      <c r="K1952" s="5"/>
      <c r="L1952" s="5" t="s">
        <v>8</v>
      </c>
    </row>
    <row r="1953" spans="1:12" ht="15" customHeight="1" x14ac:dyDescent="0.25">
      <c r="A1953" s="1" t="s">
        <v>2590</v>
      </c>
      <c r="B1953" s="1">
        <v>27</v>
      </c>
      <c r="C1953" s="9" t="s">
        <v>7706</v>
      </c>
      <c r="D1953" s="22">
        <v>69</v>
      </c>
      <c r="E1953" s="9" t="s">
        <v>7707</v>
      </c>
      <c r="F1953" s="24">
        <v>10</v>
      </c>
      <c r="G1953" s="5" t="s">
        <v>7725</v>
      </c>
      <c r="H1953" s="5" t="s">
        <v>7897</v>
      </c>
      <c r="I1953" s="5" t="s">
        <v>7898</v>
      </c>
      <c r="J1953" s="5" t="s">
        <v>789</v>
      </c>
      <c r="K1953" s="5"/>
      <c r="L1953" s="5" t="s">
        <v>7</v>
      </c>
    </row>
    <row r="1954" spans="1:12" ht="15" customHeight="1" x14ac:dyDescent="0.25">
      <c r="A1954" s="1" t="s">
        <v>2590</v>
      </c>
      <c r="B1954" s="1">
        <v>27</v>
      </c>
      <c r="C1954" s="9" t="s">
        <v>7706</v>
      </c>
      <c r="D1954" s="22">
        <v>69</v>
      </c>
      <c r="E1954" s="9" t="s">
        <v>7707</v>
      </c>
      <c r="F1954" s="24">
        <v>11</v>
      </c>
      <c r="G1954" s="5" t="s">
        <v>7726</v>
      </c>
      <c r="H1954" s="5" t="s">
        <v>7899</v>
      </c>
      <c r="I1954" s="5" t="s">
        <v>7900</v>
      </c>
      <c r="J1954" s="5" t="s">
        <v>7901</v>
      </c>
      <c r="K1954" s="5"/>
      <c r="L1954" s="5" t="s">
        <v>9</v>
      </c>
    </row>
    <row r="1955" spans="1:12" ht="15" customHeight="1" x14ac:dyDescent="0.25">
      <c r="A1955" s="1" t="s">
        <v>2590</v>
      </c>
      <c r="B1955" s="1">
        <v>27</v>
      </c>
      <c r="C1955" s="9" t="s">
        <v>7706</v>
      </c>
      <c r="D1955" s="22">
        <v>69</v>
      </c>
      <c r="E1955" s="9" t="s">
        <v>7707</v>
      </c>
      <c r="F1955" s="24">
        <v>12</v>
      </c>
      <c r="G1955" s="5" t="s">
        <v>7727</v>
      </c>
      <c r="H1955" s="5" t="s">
        <v>7728</v>
      </c>
      <c r="I1955" s="5" t="s">
        <v>6816</v>
      </c>
      <c r="J1955" s="5" t="s">
        <v>7729</v>
      </c>
      <c r="K1955" s="5"/>
      <c r="L1955" s="5" t="s">
        <v>8</v>
      </c>
    </row>
    <row r="1956" spans="1:12" ht="15" customHeight="1" x14ac:dyDescent="0.25">
      <c r="A1956" s="1" t="s">
        <v>2590</v>
      </c>
      <c r="B1956" s="1">
        <v>27</v>
      </c>
      <c r="C1956" s="9" t="s">
        <v>7706</v>
      </c>
      <c r="D1956" s="22">
        <v>69</v>
      </c>
      <c r="E1956" s="9" t="s">
        <v>7707</v>
      </c>
      <c r="F1956" s="24">
        <v>13</v>
      </c>
      <c r="G1956" s="5" t="s">
        <v>7730</v>
      </c>
      <c r="H1956" s="5" t="s">
        <v>7902</v>
      </c>
      <c r="I1956" s="5" t="s">
        <v>7903</v>
      </c>
      <c r="J1956" s="5" t="s">
        <v>7904</v>
      </c>
      <c r="K1956" s="5"/>
      <c r="L1956" s="5" t="s">
        <v>8</v>
      </c>
    </row>
    <row r="1957" spans="1:12" ht="15" customHeight="1" x14ac:dyDescent="0.25">
      <c r="A1957" s="1" t="s">
        <v>2590</v>
      </c>
      <c r="B1957" s="1">
        <v>27</v>
      </c>
      <c r="C1957" s="9" t="s">
        <v>7706</v>
      </c>
      <c r="D1957" s="22">
        <v>69</v>
      </c>
      <c r="E1957" s="9" t="s">
        <v>7707</v>
      </c>
      <c r="F1957" s="24">
        <v>14</v>
      </c>
      <c r="G1957" s="5" t="s">
        <v>7905</v>
      </c>
      <c r="H1957" s="5" t="s">
        <v>7731</v>
      </c>
      <c r="I1957" s="5" t="s">
        <v>7732</v>
      </c>
      <c r="J1957" s="5" t="s">
        <v>7717</v>
      </c>
      <c r="K1957" s="5"/>
      <c r="L1957" s="5" t="s">
        <v>9</v>
      </c>
    </row>
    <row r="1958" spans="1:12" ht="15" customHeight="1" x14ac:dyDescent="0.25">
      <c r="A1958" s="1" t="s">
        <v>2590</v>
      </c>
      <c r="B1958" s="1">
        <v>27</v>
      </c>
      <c r="C1958" s="9" t="s">
        <v>7706</v>
      </c>
      <c r="D1958" s="22">
        <v>69</v>
      </c>
      <c r="E1958" s="9" t="s">
        <v>7707</v>
      </c>
      <c r="F1958" s="24">
        <v>15</v>
      </c>
      <c r="G1958" s="5" t="s">
        <v>7906</v>
      </c>
      <c r="H1958" s="5" t="s">
        <v>7907</v>
      </c>
      <c r="I1958" s="5" t="s">
        <v>7908</v>
      </c>
      <c r="J1958" s="5" t="s">
        <v>7909</v>
      </c>
      <c r="K1958" s="5"/>
      <c r="L1958" s="5" t="s">
        <v>8</v>
      </c>
    </row>
    <row r="1959" spans="1:12" ht="15" customHeight="1" x14ac:dyDescent="0.25">
      <c r="A1959" s="1" t="s">
        <v>2590</v>
      </c>
      <c r="B1959" s="1">
        <v>27</v>
      </c>
      <c r="C1959" s="9" t="s">
        <v>7706</v>
      </c>
      <c r="D1959" s="22">
        <v>69</v>
      </c>
      <c r="E1959" s="9" t="s">
        <v>7707</v>
      </c>
      <c r="F1959" s="24">
        <v>16</v>
      </c>
      <c r="G1959" s="5" t="s">
        <v>7910</v>
      </c>
      <c r="H1959" s="5" t="s">
        <v>7733</v>
      </c>
      <c r="I1959" s="5" t="s">
        <v>7734</v>
      </c>
      <c r="J1959" s="5" t="s">
        <v>7735</v>
      </c>
      <c r="K1959" s="5"/>
      <c r="L1959" s="5" t="s">
        <v>8</v>
      </c>
    </row>
    <row r="1960" spans="1:12" ht="15" customHeight="1" x14ac:dyDescent="0.25">
      <c r="A1960" s="1" t="s">
        <v>2590</v>
      </c>
      <c r="B1960" s="1">
        <v>27</v>
      </c>
      <c r="C1960" s="9" t="s">
        <v>7706</v>
      </c>
      <c r="D1960" s="22">
        <v>69</v>
      </c>
      <c r="E1960" s="9" t="s">
        <v>7707</v>
      </c>
      <c r="F1960" s="24">
        <v>17</v>
      </c>
      <c r="G1960" s="5" t="s">
        <v>7911</v>
      </c>
      <c r="H1960" s="5" t="s">
        <v>7902</v>
      </c>
      <c r="I1960" s="5" t="s">
        <v>7903</v>
      </c>
      <c r="J1960" s="5" t="s">
        <v>7904</v>
      </c>
      <c r="K1960" s="5"/>
      <c r="L1960" s="5" t="s">
        <v>7</v>
      </c>
    </row>
    <row r="1961" spans="1:12" ht="15" customHeight="1" x14ac:dyDescent="0.25">
      <c r="A1961" s="1" t="s">
        <v>2590</v>
      </c>
      <c r="B1961" s="1">
        <v>27</v>
      </c>
      <c r="C1961" s="9" t="s">
        <v>7706</v>
      </c>
      <c r="D1961" s="22">
        <v>69</v>
      </c>
      <c r="E1961" s="9" t="s">
        <v>7707</v>
      </c>
      <c r="F1961" s="24">
        <v>18</v>
      </c>
      <c r="G1961" s="5" t="s">
        <v>7912</v>
      </c>
      <c r="H1961" s="5" t="s">
        <v>7913</v>
      </c>
      <c r="I1961" s="5" t="s">
        <v>7914</v>
      </c>
      <c r="J1961" s="5" t="s">
        <v>7915</v>
      </c>
      <c r="K1961" s="5"/>
      <c r="L1961" s="5" t="s">
        <v>7</v>
      </c>
    </row>
    <row r="1962" spans="1:12" ht="15" customHeight="1" x14ac:dyDescent="0.25">
      <c r="A1962" s="1" t="s">
        <v>2590</v>
      </c>
      <c r="B1962" s="1">
        <v>27</v>
      </c>
      <c r="C1962" s="9" t="s">
        <v>7706</v>
      </c>
      <c r="D1962" s="22">
        <v>69</v>
      </c>
      <c r="E1962" s="9" t="s">
        <v>7707</v>
      </c>
      <c r="F1962" s="24">
        <v>19</v>
      </c>
      <c r="G1962" s="5" t="s">
        <v>7916</v>
      </c>
      <c r="H1962" s="5" t="s">
        <v>7917</v>
      </c>
      <c r="I1962" s="5" t="s">
        <v>7918</v>
      </c>
      <c r="J1962" s="5" t="s">
        <v>7919</v>
      </c>
      <c r="K1962" s="5"/>
      <c r="L1962" s="5" t="s">
        <v>9</v>
      </c>
    </row>
    <row r="1963" spans="1:12" ht="15" customHeight="1" x14ac:dyDescent="0.25">
      <c r="A1963" s="1" t="s">
        <v>2590</v>
      </c>
      <c r="B1963" s="1">
        <v>27</v>
      </c>
      <c r="C1963" s="9" t="s">
        <v>7706</v>
      </c>
      <c r="D1963" s="22">
        <v>69</v>
      </c>
      <c r="E1963" s="9" t="s">
        <v>7707</v>
      </c>
      <c r="F1963" s="24">
        <v>20</v>
      </c>
      <c r="G1963" s="5" t="s">
        <v>7736</v>
      </c>
      <c r="H1963" s="5" t="s">
        <v>7920</v>
      </c>
      <c r="I1963" s="5" t="s">
        <v>7921</v>
      </c>
      <c r="J1963" s="5" t="s">
        <v>7922</v>
      </c>
      <c r="K1963" s="5"/>
      <c r="L1963" s="5" t="s">
        <v>7</v>
      </c>
    </row>
    <row r="1964" spans="1:12" ht="15" customHeight="1" x14ac:dyDescent="0.25">
      <c r="A1964" s="1" t="s">
        <v>2590</v>
      </c>
      <c r="B1964" s="1">
        <v>27</v>
      </c>
      <c r="C1964" s="9" t="s">
        <v>7706</v>
      </c>
      <c r="D1964" s="22">
        <v>69</v>
      </c>
      <c r="E1964" s="9" t="s">
        <v>7707</v>
      </c>
      <c r="F1964" s="24">
        <v>21</v>
      </c>
      <c r="G1964" s="5" t="s">
        <v>7923</v>
      </c>
      <c r="H1964" s="5" t="s">
        <v>7924</v>
      </c>
      <c r="I1964" s="5" t="s">
        <v>7925</v>
      </c>
      <c r="J1964" s="5" t="s">
        <v>7926</v>
      </c>
      <c r="K1964" s="5"/>
      <c r="L1964" s="5" t="s">
        <v>7</v>
      </c>
    </row>
    <row r="1965" spans="1:12" ht="15" customHeight="1" x14ac:dyDescent="0.25">
      <c r="A1965" s="1" t="s">
        <v>2590</v>
      </c>
      <c r="B1965" s="1">
        <v>27</v>
      </c>
      <c r="C1965" s="9" t="s">
        <v>7706</v>
      </c>
      <c r="D1965" s="22">
        <v>69</v>
      </c>
      <c r="E1965" s="9" t="s">
        <v>7707</v>
      </c>
      <c r="F1965" s="24">
        <v>22</v>
      </c>
      <c r="G1965" s="5" t="s">
        <v>7927</v>
      </c>
      <c r="H1965" s="5" t="s">
        <v>7737</v>
      </c>
      <c r="I1965" s="5" t="s">
        <v>7738</v>
      </c>
      <c r="J1965" s="5" t="s">
        <v>7739</v>
      </c>
      <c r="K1965" s="5"/>
      <c r="L1965" s="5" t="s">
        <v>7</v>
      </c>
    </row>
    <row r="1966" spans="1:12" ht="15" customHeight="1" x14ac:dyDescent="0.25">
      <c r="A1966" s="1" t="s">
        <v>2590</v>
      </c>
      <c r="B1966" s="1">
        <v>27</v>
      </c>
      <c r="C1966" s="9" t="s">
        <v>7706</v>
      </c>
      <c r="D1966" s="22">
        <v>69</v>
      </c>
      <c r="E1966" s="9" t="s">
        <v>7707</v>
      </c>
      <c r="F1966" s="24">
        <v>23</v>
      </c>
      <c r="G1966" s="5" t="s">
        <v>7928</v>
      </c>
      <c r="H1966" s="5" t="s">
        <v>7929</v>
      </c>
      <c r="I1966" s="5" t="s">
        <v>7930</v>
      </c>
      <c r="J1966" s="5" t="s">
        <v>766</v>
      </c>
      <c r="K1966" s="5"/>
      <c r="L1966" s="5" t="s">
        <v>7</v>
      </c>
    </row>
    <row r="1967" spans="1:12" ht="15" customHeight="1" x14ac:dyDescent="0.25">
      <c r="A1967" s="1" t="s">
        <v>2590</v>
      </c>
      <c r="B1967" s="1">
        <v>27</v>
      </c>
      <c r="C1967" s="9" t="s">
        <v>7706</v>
      </c>
      <c r="D1967" s="22">
        <v>69</v>
      </c>
      <c r="E1967" s="9" t="s">
        <v>7707</v>
      </c>
      <c r="F1967" s="24">
        <v>24</v>
      </c>
      <c r="G1967" s="5" t="s">
        <v>7931</v>
      </c>
      <c r="H1967" s="5" t="s">
        <v>7932</v>
      </c>
      <c r="I1967" s="5" t="s">
        <v>7933</v>
      </c>
      <c r="J1967" s="5" t="s">
        <v>7934</v>
      </c>
      <c r="K1967" s="5"/>
      <c r="L1967" s="5" t="s">
        <v>8</v>
      </c>
    </row>
    <row r="1968" spans="1:12" ht="15" customHeight="1" x14ac:dyDescent="0.25">
      <c r="A1968" s="1" t="s">
        <v>2590</v>
      </c>
      <c r="B1968" s="1">
        <v>27</v>
      </c>
      <c r="C1968" s="9" t="s">
        <v>7706</v>
      </c>
      <c r="D1968" s="22">
        <v>69</v>
      </c>
      <c r="E1968" s="9" t="s">
        <v>7707</v>
      </c>
      <c r="F1968" s="24">
        <v>25</v>
      </c>
      <c r="G1968" s="5" t="s">
        <v>7740</v>
      </c>
      <c r="H1968" s="5" t="s">
        <v>7935</v>
      </c>
      <c r="I1968" s="5" t="s">
        <v>7936</v>
      </c>
      <c r="J1968" s="5" t="s">
        <v>7937</v>
      </c>
      <c r="K1968" s="5"/>
      <c r="L1968" s="5" t="s">
        <v>8</v>
      </c>
    </row>
    <row r="1969" spans="1:12" ht="15" customHeight="1" x14ac:dyDescent="0.25">
      <c r="A1969" s="1" t="s">
        <v>2590</v>
      </c>
      <c r="B1969" s="1">
        <v>27</v>
      </c>
      <c r="C1969" s="9" t="s">
        <v>7706</v>
      </c>
      <c r="D1969" s="22">
        <v>70</v>
      </c>
      <c r="E1969" s="9" t="s">
        <v>7779</v>
      </c>
      <c r="F1969" s="24">
        <v>1</v>
      </c>
      <c r="G1969" s="5" t="s">
        <v>7741</v>
      </c>
      <c r="H1969" s="5" t="s">
        <v>7742</v>
      </c>
      <c r="I1969" s="5" t="s">
        <v>7743</v>
      </c>
      <c r="J1969" s="5" t="s">
        <v>7019</v>
      </c>
      <c r="K1969" s="5"/>
      <c r="L1969" s="5" t="s">
        <v>9</v>
      </c>
    </row>
    <row r="1970" spans="1:12" ht="15" customHeight="1" x14ac:dyDescent="0.25">
      <c r="A1970" s="1" t="s">
        <v>2590</v>
      </c>
      <c r="B1970" s="1">
        <v>27</v>
      </c>
      <c r="C1970" s="9" t="s">
        <v>7706</v>
      </c>
      <c r="D1970" s="22">
        <v>70</v>
      </c>
      <c r="E1970" s="9" t="s">
        <v>7779</v>
      </c>
      <c r="F1970" s="24">
        <v>2</v>
      </c>
      <c r="G1970" s="5" t="s">
        <v>7744</v>
      </c>
      <c r="H1970" s="5" t="s">
        <v>7745</v>
      </c>
      <c r="I1970" s="5" t="s">
        <v>7938</v>
      </c>
      <c r="J1970" s="5" t="s">
        <v>7939</v>
      </c>
      <c r="K1970" s="5"/>
      <c r="L1970" s="5" t="s">
        <v>9</v>
      </c>
    </row>
    <row r="1971" spans="1:12" ht="15" customHeight="1" x14ac:dyDescent="0.25">
      <c r="A1971" s="1" t="s">
        <v>2590</v>
      </c>
      <c r="B1971" s="1">
        <v>27</v>
      </c>
      <c r="C1971" s="9" t="s">
        <v>7706</v>
      </c>
      <c r="D1971" s="22">
        <v>70</v>
      </c>
      <c r="E1971" s="9" t="s">
        <v>7779</v>
      </c>
      <c r="F1971" s="24">
        <v>3</v>
      </c>
      <c r="G1971" s="5" t="s">
        <v>7746</v>
      </c>
      <c r="H1971" s="5" t="s">
        <v>7940</v>
      </c>
      <c r="I1971" s="5" t="s">
        <v>7941</v>
      </c>
      <c r="J1971" s="5" t="s">
        <v>7747</v>
      </c>
      <c r="K1971" s="5"/>
      <c r="L1971" s="5" t="s">
        <v>9</v>
      </c>
    </row>
    <row r="1972" spans="1:12" ht="15" customHeight="1" x14ac:dyDescent="0.25">
      <c r="A1972" s="1" t="s">
        <v>2590</v>
      </c>
      <c r="B1972" s="1">
        <v>27</v>
      </c>
      <c r="C1972" s="9" t="s">
        <v>7706</v>
      </c>
      <c r="D1972" s="22">
        <v>70</v>
      </c>
      <c r="E1972" s="9" t="s">
        <v>7779</v>
      </c>
      <c r="F1972" s="24">
        <v>4</v>
      </c>
      <c r="G1972" s="5" t="s">
        <v>7748</v>
      </c>
      <c r="H1972" s="5" t="s">
        <v>7749</v>
      </c>
      <c r="I1972" s="5" t="s">
        <v>7750</v>
      </c>
      <c r="J1972" s="5" t="s">
        <v>7751</v>
      </c>
      <c r="K1972" s="5"/>
      <c r="L1972" s="5" t="s">
        <v>8</v>
      </c>
    </row>
    <row r="1973" spans="1:12" ht="15" customHeight="1" x14ac:dyDescent="0.25">
      <c r="A1973" s="1" t="s">
        <v>2590</v>
      </c>
      <c r="B1973" s="1">
        <v>27</v>
      </c>
      <c r="C1973" s="9" t="s">
        <v>7706</v>
      </c>
      <c r="D1973" s="22">
        <v>70</v>
      </c>
      <c r="E1973" s="9" t="s">
        <v>7779</v>
      </c>
      <c r="F1973" s="24">
        <v>5</v>
      </c>
      <c r="G1973" s="5" t="s">
        <v>7752</v>
      </c>
      <c r="H1973" s="5" t="s">
        <v>7753</v>
      </c>
      <c r="I1973" s="5" t="s">
        <v>7754</v>
      </c>
      <c r="J1973" s="5" t="s">
        <v>7755</v>
      </c>
      <c r="K1973" s="5"/>
      <c r="L1973" s="5" t="s">
        <v>7</v>
      </c>
    </row>
    <row r="1974" spans="1:12" ht="15" customHeight="1" x14ac:dyDescent="0.25">
      <c r="A1974" s="1" t="s">
        <v>2590</v>
      </c>
      <c r="B1974" s="1">
        <v>27</v>
      </c>
      <c r="C1974" s="9" t="s">
        <v>7706</v>
      </c>
      <c r="D1974" s="22">
        <v>70</v>
      </c>
      <c r="E1974" s="9" t="s">
        <v>7779</v>
      </c>
      <c r="F1974" s="24">
        <v>6</v>
      </c>
      <c r="G1974" s="5" t="s">
        <v>7756</v>
      </c>
      <c r="H1974" s="5" t="s">
        <v>7757</v>
      </c>
      <c r="I1974" s="5" t="s">
        <v>7758</v>
      </c>
      <c r="J1974" s="5" t="s">
        <v>7759</v>
      </c>
      <c r="K1974" s="5"/>
      <c r="L1974" s="5" t="s">
        <v>8</v>
      </c>
    </row>
    <row r="1975" spans="1:12" ht="15" customHeight="1" x14ac:dyDescent="0.25">
      <c r="A1975" s="1" t="s">
        <v>2590</v>
      </c>
      <c r="B1975" s="1">
        <v>27</v>
      </c>
      <c r="C1975" s="9" t="s">
        <v>7706</v>
      </c>
      <c r="D1975" s="22">
        <v>70</v>
      </c>
      <c r="E1975" s="9" t="s">
        <v>7779</v>
      </c>
      <c r="F1975" s="24">
        <v>7</v>
      </c>
      <c r="G1975" s="5" t="s">
        <v>7942</v>
      </c>
      <c r="H1975" s="5" t="s">
        <v>7760</v>
      </c>
      <c r="I1975" s="5" t="s">
        <v>7943</v>
      </c>
      <c r="J1975" s="5" t="s">
        <v>7761</v>
      </c>
      <c r="K1975" s="5"/>
      <c r="L1975" s="5" t="s">
        <v>7</v>
      </c>
    </row>
    <row r="1976" spans="1:12" ht="15" customHeight="1" x14ac:dyDescent="0.25">
      <c r="A1976" s="1" t="s">
        <v>2590</v>
      </c>
      <c r="B1976" s="1">
        <v>27</v>
      </c>
      <c r="C1976" s="9" t="s">
        <v>7706</v>
      </c>
      <c r="D1976" s="22">
        <v>70</v>
      </c>
      <c r="E1976" s="9" t="s">
        <v>7779</v>
      </c>
      <c r="F1976" s="24">
        <v>8</v>
      </c>
      <c r="G1976" s="5" t="s">
        <v>7762</v>
      </c>
      <c r="H1976" s="5" t="s">
        <v>7763</v>
      </c>
      <c r="I1976" s="5" t="s">
        <v>7944</v>
      </c>
      <c r="J1976" s="5" t="s">
        <v>7945</v>
      </c>
      <c r="K1976" s="5"/>
      <c r="L1976" s="5" t="s">
        <v>9</v>
      </c>
    </row>
    <row r="1977" spans="1:12" ht="15" customHeight="1" x14ac:dyDescent="0.25">
      <c r="A1977" s="1" t="s">
        <v>2590</v>
      </c>
      <c r="B1977" s="1">
        <v>27</v>
      </c>
      <c r="C1977" s="9" t="s">
        <v>7706</v>
      </c>
      <c r="D1977" s="22">
        <v>70</v>
      </c>
      <c r="E1977" s="9" t="s">
        <v>7779</v>
      </c>
      <c r="F1977" s="24">
        <v>9</v>
      </c>
      <c r="G1977" s="5" t="s">
        <v>7946</v>
      </c>
      <c r="H1977" s="5" t="s">
        <v>7947</v>
      </c>
      <c r="I1977" s="5" t="s">
        <v>7948</v>
      </c>
      <c r="J1977" s="5" t="s">
        <v>7949</v>
      </c>
      <c r="K1977" s="5"/>
      <c r="L1977" s="5" t="s">
        <v>9</v>
      </c>
    </row>
    <row r="1978" spans="1:12" ht="15" customHeight="1" x14ac:dyDescent="0.25">
      <c r="A1978" s="1" t="s">
        <v>2590</v>
      </c>
      <c r="B1978" s="1">
        <v>27</v>
      </c>
      <c r="C1978" s="9" t="s">
        <v>7706</v>
      </c>
      <c r="D1978" s="22">
        <v>70</v>
      </c>
      <c r="E1978" s="9" t="s">
        <v>7779</v>
      </c>
      <c r="F1978" s="24">
        <v>10</v>
      </c>
      <c r="G1978" s="5" t="s">
        <v>7950</v>
      </c>
      <c r="H1978" s="5" t="s">
        <v>7764</v>
      </c>
      <c r="I1978" s="5" t="s">
        <v>7765</v>
      </c>
      <c r="J1978" s="5" t="s">
        <v>7766</v>
      </c>
      <c r="K1978" s="5"/>
      <c r="L1978" s="5" t="s">
        <v>9</v>
      </c>
    </row>
    <row r="1979" spans="1:12" ht="15" customHeight="1" x14ac:dyDescent="0.25">
      <c r="A1979" s="1" t="s">
        <v>2590</v>
      </c>
      <c r="B1979" s="1">
        <v>27</v>
      </c>
      <c r="C1979" s="9" t="s">
        <v>7706</v>
      </c>
      <c r="D1979" s="22">
        <v>70</v>
      </c>
      <c r="E1979" s="9" t="s">
        <v>7779</v>
      </c>
      <c r="F1979" s="24">
        <v>11</v>
      </c>
      <c r="G1979" s="5" t="s">
        <v>7951</v>
      </c>
      <c r="H1979" s="5" t="s">
        <v>7952</v>
      </c>
      <c r="I1979" s="5" t="s">
        <v>7953</v>
      </c>
      <c r="J1979" s="5" t="s">
        <v>7954</v>
      </c>
      <c r="K1979" s="5"/>
      <c r="L1979" s="5" t="s">
        <v>8</v>
      </c>
    </row>
    <row r="1980" spans="1:12" ht="15" customHeight="1" x14ac:dyDescent="0.25">
      <c r="A1980" s="1" t="s">
        <v>2590</v>
      </c>
      <c r="B1980" s="1">
        <v>27</v>
      </c>
      <c r="C1980" s="9" t="s">
        <v>7706</v>
      </c>
      <c r="D1980" s="22">
        <v>70</v>
      </c>
      <c r="E1980" s="9" t="s">
        <v>7779</v>
      </c>
      <c r="F1980" s="24">
        <v>12</v>
      </c>
      <c r="G1980" s="5" t="s">
        <v>7955</v>
      </c>
      <c r="H1980" s="5" t="s">
        <v>7956</v>
      </c>
      <c r="I1980" s="5" t="s">
        <v>7957</v>
      </c>
      <c r="J1980" s="5" t="s">
        <v>7958</v>
      </c>
      <c r="K1980" s="5"/>
      <c r="L1980" s="5" t="s">
        <v>8</v>
      </c>
    </row>
    <row r="1981" spans="1:12" ht="15" customHeight="1" x14ac:dyDescent="0.25">
      <c r="A1981" s="1" t="s">
        <v>2590</v>
      </c>
      <c r="B1981" s="1">
        <v>27</v>
      </c>
      <c r="C1981" s="9" t="s">
        <v>7706</v>
      </c>
      <c r="D1981" s="22">
        <v>70</v>
      </c>
      <c r="E1981" s="9" t="s">
        <v>7779</v>
      </c>
      <c r="F1981" s="24">
        <v>13</v>
      </c>
      <c r="G1981" s="5" t="s">
        <v>7959</v>
      </c>
      <c r="H1981" s="5" t="s">
        <v>7960</v>
      </c>
      <c r="I1981" s="5" t="s">
        <v>7961</v>
      </c>
      <c r="J1981" s="5" t="s">
        <v>789</v>
      </c>
      <c r="K1981" s="5"/>
      <c r="L1981" s="5" t="s">
        <v>9</v>
      </c>
    </row>
    <row r="1982" spans="1:12" ht="15" customHeight="1" x14ac:dyDescent="0.25">
      <c r="A1982" s="1" t="s">
        <v>2590</v>
      </c>
      <c r="B1982" s="1">
        <v>27</v>
      </c>
      <c r="C1982" s="9" t="s">
        <v>7706</v>
      </c>
      <c r="D1982" s="22">
        <v>70</v>
      </c>
      <c r="E1982" s="9" t="s">
        <v>7779</v>
      </c>
      <c r="F1982" s="24">
        <v>14</v>
      </c>
      <c r="G1982" s="5" t="s">
        <v>7767</v>
      </c>
      <c r="H1982" s="5" t="s">
        <v>7962</v>
      </c>
      <c r="I1982" s="5" t="s">
        <v>7963</v>
      </c>
      <c r="J1982" s="5" t="s">
        <v>7768</v>
      </c>
      <c r="K1982" s="5"/>
      <c r="L1982" s="5" t="s">
        <v>9</v>
      </c>
    </row>
    <row r="1983" spans="1:12" ht="15" customHeight="1" x14ac:dyDescent="0.25">
      <c r="A1983" s="1" t="s">
        <v>2590</v>
      </c>
      <c r="B1983" s="1">
        <v>27</v>
      </c>
      <c r="C1983" s="9" t="s">
        <v>7706</v>
      </c>
      <c r="D1983" s="22">
        <v>70</v>
      </c>
      <c r="E1983" s="9" t="s">
        <v>7779</v>
      </c>
      <c r="F1983" s="24">
        <v>15</v>
      </c>
      <c r="G1983" s="5" t="s">
        <v>7769</v>
      </c>
      <c r="H1983" s="5" t="s">
        <v>7964</v>
      </c>
      <c r="I1983" s="5" t="s">
        <v>7965</v>
      </c>
      <c r="J1983" s="5" t="s">
        <v>7966</v>
      </c>
      <c r="K1983" s="5"/>
      <c r="L1983" s="5" t="s">
        <v>9</v>
      </c>
    </row>
    <row r="1984" spans="1:12" ht="15" customHeight="1" x14ac:dyDescent="0.25">
      <c r="A1984" s="1" t="s">
        <v>2590</v>
      </c>
      <c r="B1984" s="1">
        <v>27</v>
      </c>
      <c r="C1984" s="9" t="s">
        <v>7706</v>
      </c>
      <c r="D1984" s="22">
        <v>70</v>
      </c>
      <c r="E1984" s="9" t="s">
        <v>7779</v>
      </c>
      <c r="F1984" s="24">
        <v>16</v>
      </c>
      <c r="G1984" s="5" t="s">
        <v>7770</v>
      </c>
      <c r="H1984" s="5" t="s">
        <v>7967</v>
      </c>
      <c r="I1984" s="5" t="s">
        <v>7968</v>
      </c>
      <c r="J1984" s="5" t="s">
        <v>7969</v>
      </c>
      <c r="K1984" s="5"/>
      <c r="L1984" s="5" t="s">
        <v>8</v>
      </c>
    </row>
    <row r="1985" spans="1:12" ht="15" customHeight="1" x14ac:dyDescent="0.25">
      <c r="A1985" s="1" t="s">
        <v>2590</v>
      </c>
      <c r="B1985" s="1">
        <v>27</v>
      </c>
      <c r="C1985" s="9" t="s">
        <v>7706</v>
      </c>
      <c r="D1985" s="22">
        <v>70</v>
      </c>
      <c r="E1985" s="9" t="s">
        <v>7779</v>
      </c>
      <c r="F1985" s="24">
        <v>17</v>
      </c>
      <c r="G1985" s="5" t="s">
        <v>7771</v>
      </c>
      <c r="H1985" s="5" t="s">
        <v>7970</v>
      </c>
      <c r="I1985" s="5" t="s">
        <v>7971</v>
      </c>
      <c r="J1985" s="5" t="s">
        <v>7972</v>
      </c>
      <c r="K1985" s="5"/>
      <c r="L1985" s="5" t="s">
        <v>7</v>
      </c>
    </row>
    <row r="1986" spans="1:12" ht="15" customHeight="1" x14ac:dyDescent="0.25">
      <c r="A1986" s="1" t="s">
        <v>2590</v>
      </c>
      <c r="B1986" s="1">
        <v>27</v>
      </c>
      <c r="C1986" s="9" t="s">
        <v>7706</v>
      </c>
      <c r="D1986" s="22">
        <v>70</v>
      </c>
      <c r="E1986" s="9" t="s">
        <v>7779</v>
      </c>
      <c r="F1986" s="24">
        <v>18</v>
      </c>
      <c r="G1986" s="5" t="s">
        <v>7772</v>
      </c>
      <c r="H1986" s="5" t="s">
        <v>7973</v>
      </c>
      <c r="I1986" s="5" t="s">
        <v>7974</v>
      </c>
      <c r="J1986" s="5" t="s">
        <v>7768</v>
      </c>
      <c r="K1986" s="5"/>
      <c r="L1986" s="5" t="s">
        <v>8</v>
      </c>
    </row>
    <row r="1987" spans="1:12" ht="15" customHeight="1" x14ac:dyDescent="0.25">
      <c r="A1987" s="1" t="s">
        <v>2590</v>
      </c>
      <c r="B1987" s="1">
        <v>27</v>
      </c>
      <c r="C1987" s="9" t="s">
        <v>7706</v>
      </c>
      <c r="D1987" s="22">
        <v>70</v>
      </c>
      <c r="E1987" s="9" t="s">
        <v>7779</v>
      </c>
      <c r="F1987" s="24">
        <v>19</v>
      </c>
      <c r="G1987" s="5" t="s">
        <v>7975</v>
      </c>
      <c r="H1987" s="5" t="s">
        <v>7976</v>
      </c>
      <c r="I1987" s="5" t="s">
        <v>7977</v>
      </c>
      <c r="J1987" s="5" t="s">
        <v>7978</v>
      </c>
      <c r="K1987" s="5"/>
      <c r="L1987" s="5" t="s">
        <v>7</v>
      </c>
    </row>
    <row r="1988" spans="1:12" ht="15" customHeight="1" x14ac:dyDescent="0.25">
      <c r="A1988" s="1" t="s">
        <v>2590</v>
      </c>
      <c r="B1988" s="1">
        <v>27</v>
      </c>
      <c r="C1988" s="9" t="s">
        <v>7706</v>
      </c>
      <c r="D1988" s="22">
        <v>70</v>
      </c>
      <c r="E1988" s="9" t="s">
        <v>7779</v>
      </c>
      <c r="F1988" s="24">
        <v>20</v>
      </c>
      <c r="G1988" s="5" t="s">
        <v>7979</v>
      </c>
      <c r="H1988" s="5" t="s">
        <v>7980</v>
      </c>
      <c r="I1988" s="5" t="s">
        <v>7981</v>
      </c>
      <c r="J1988" s="5" t="s">
        <v>7982</v>
      </c>
      <c r="K1988" s="5"/>
      <c r="L1988" s="5" t="s">
        <v>8</v>
      </c>
    </row>
    <row r="1989" spans="1:12" ht="15" customHeight="1" x14ac:dyDescent="0.25">
      <c r="A1989" s="1" t="s">
        <v>2590</v>
      </c>
      <c r="B1989" s="1">
        <v>27</v>
      </c>
      <c r="C1989" s="9" t="s">
        <v>7706</v>
      </c>
      <c r="D1989" s="22">
        <v>70</v>
      </c>
      <c r="E1989" s="9" t="s">
        <v>7779</v>
      </c>
      <c r="F1989" s="24">
        <v>21</v>
      </c>
      <c r="G1989" s="5" t="s">
        <v>7983</v>
      </c>
      <c r="H1989" s="5" t="s">
        <v>7773</v>
      </c>
      <c r="I1989" s="5" t="s">
        <v>7774</v>
      </c>
      <c r="J1989" s="5" t="s">
        <v>7775</v>
      </c>
      <c r="K1989" s="5"/>
      <c r="L1989" s="5" t="s">
        <v>9</v>
      </c>
    </row>
    <row r="1990" spans="1:12" ht="15" customHeight="1" x14ac:dyDescent="0.25">
      <c r="A1990" s="1" t="s">
        <v>2590</v>
      </c>
      <c r="B1990" s="1">
        <v>27</v>
      </c>
      <c r="C1990" s="9" t="s">
        <v>7706</v>
      </c>
      <c r="D1990" s="22">
        <v>70</v>
      </c>
      <c r="E1990" s="9" t="s">
        <v>7779</v>
      </c>
      <c r="F1990" s="24">
        <v>22</v>
      </c>
      <c r="G1990" s="5" t="s">
        <v>7776</v>
      </c>
      <c r="H1990" s="5" t="s">
        <v>7777</v>
      </c>
      <c r="I1990" s="5" t="s">
        <v>7984</v>
      </c>
      <c r="J1990" s="5" t="s">
        <v>7985</v>
      </c>
      <c r="K1990" s="5"/>
      <c r="L1990" s="5" t="s">
        <v>8</v>
      </c>
    </row>
    <row r="1991" spans="1:12" ht="15" customHeight="1" x14ac:dyDescent="0.25">
      <c r="A1991" s="1" t="s">
        <v>2590</v>
      </c>
      <c r="B1991" s="1">
        <v>27</v>
      </c>
      <c r="C1991" s="9" t="s">
        <v>7706</v>
      </c>
      <c r="D1991" s="22">
        <v>70</v>
      </c>
      <c r="E1991" s="9" t="s">
        <v>7779</v>
      </c>
      <c r="F1991" s="24">
        <v>23</v>
      </c>
      <c r="G1991" s="5" t="s">
        <v>7986</v>
      </c>
      <c r="H1991" s="5" t="s">
        <v>7778</v>
      </c>
      <c r="I1991" s="5" t="s">
        <v>7987</v>
      </c>
      <c r="J1991" s="5" t="s">
        <v>7988</v>
      </c>
      <c r="K1991" s="5"/>
      <c r="L1991" s="5" t="s">
        <v>9</v>
      </c>
    </row>
    <row r="1992" spans="1:12" ht="15" customHeight="1" x14ac:dyDescent="0.25">
      <c r="A1992" s="1" t="s">
        <v>2590</v>
      </c>
      <c r="B1992" s="1">
        <v>27</v>
      </c>
      <c r="C1992" s="9" t="s">
        <v>7706</v>
      </c>
      <c r="D1992" s="22">
        <v>70</v>
      </c>
      <c r="E1992" s="9" t="s">
        <v>7779</v>
      </c>
      <c r="F1992" s="24">
        <v>24</v>
      </c>
      <c r="G1992" s="5" t="s">
        <v>7989</v>
      </c>
      <c r="H1992" s="5" t="s">
        <v>7990</v>
      </c>
      <c r="I1992" s="5" t="s">
        <v>7991</v>
      </c>
      <c r="J1992" s="5" t="s">
        <v>7992</v>
      </c>
      <c r="K1992" s="5"/>
      <c r="L1992" s="5" t="s">
        <v>8</v>
      </c>
    </row>
    <row r="1993" spans="1:12" ht="15" customHeight="1" x14ac:dyDescent="0.25">
      <c r="A1993" s="1" t="s">
        <v>2590</v>
      </c>
      <c r="B1993" s="1">
        <v>27</v>
      </c>
      <c r="C1993" s="9" t="s">
        <v>7706</v>
      </c>
      <c r="D1993" s="22">
        <v>70</v>
      </c>
      <c r="E1993" s="9" t="s">
        <v>7779</v>
      </c>
      <c r="F1993" s="24">
        <v>25</v>
      </c>
      <c r="G1993" s="5" t="s">
        <v>7993</v>
      </c>
      <c r="H1993" s="5" t="s">
        <v>7994</v>
      </c>
      <c r="I1993" s="5" t="s">
        <v>7995</v>
      </c>
      <c r="J1993" s="5" t="s">
        <v>7996</v>
      </c>
      <c r="K1993" s="5"/>
      <c r="L1993" s="5" t="s">
        <v>9</v>
      </c>
    </row>
    <row r="1994" spans="1:12" ht="15" customHeight="1" x14ac:dyDescent="0.25">
      <c r="A1994" s="1" t="s">
        <v>12</v>
      </c>
      <c r="B1994" s="1">
        <v>1</v>
      </c>
      <c r="C1994" s="1" t="s">
        <v>13</v>
      </c>
      <c r="D1994" s="22">
        <v>71</v>
      </c>
      <c r="E1994" s="9" t="s">
        <v>8492</v>
      </c>
      <c r="F1994" s="24">
        <v>1</v>
      </c>
      <c r="G1994" t="s">
        <v>8032</v>
      </c>
      <c r="H1994" t="s">
        <v>8067</v>
      </c>
      <c r="I1994" t="s">
        <v>8068</v>
      </c>
      <c r="J1994" t="s">
        <v>8069</v>
      </c>
      <c r="L1994" s="5" t="s">
        <v>8</v>
      </c>
    </row>
    <row r="1995" spans="1:12" ht="15" customHeight="1" x14ac:dyDescent="0.25">
      <c r="A1995" s="1" t="s">
        <v>12</v>
      </c>
      <c r="B1995" s="1">
        <v>1</v>
      </c>
      <c r="C1995" s="1" t="s">
        <v>13</v>
      </c>
      <c r="D1995" s="22">
        <v>71</v>
      </c>
      <c r="E1995" s="9" t="s">
        <v>8492</v>
      </c>
      <c r="F1995" s="24">
        <v>2</v>
      </c>
      <c r="G1995" t="s">
        <v>8033</v>
      </c>
      <c r="H1995" t="s">
        <v>8034</v>
      </c>
      <c r="I1995" t="s">
        <v>8035</v>
      </c>
      <c r="J1995" t="s">
        <v>8036</v>
      </c>
      <c r="L1995" s="5" t="s">
        <v>7</v>
      </c>
    </row>
    <row r="1996" spans="1:12" ht="15" customHeight="1" x14ac:dyDescent="0.25">
      <c r="A1996" s="1" t="s">
        <v>12</v>
      </c>
      <c r="B1996" s="1">
        <v>1</v>
      </c>
      <c r="C1996" s="1" t="s">
        <v>13</v>
      </c>
      <c r="D1996" s="22">
        <v>71</v>
      </c>
      <c r="E1996" s="9" t="s">
        <v>8492</v>
      </c>
      <c r="F1996" s="24">
        <v>3</v>
      </c>
      <c r="G1996" t="s">
        <v>8037</v>
      </c>
      <c r="H1996" t="s">
        <v>8038</v>
      </c>
      <c r="I1996" t="s">
        <v>8039</v>
      </c>
      <c r="J1996" t="s">
        <v>8040</v>
      </c>
      <c r="L1996" s="5" t="s">
        <v>8</v>
      </c>
    </row>
    <row r="1997" spans="1:12" ht="15" customHeight="1" x14ac:dyDescent="0.25">
      <c r="A1997" s="1" t="s">
        <v>12</v>
      </c>
      <c r="B1997" s="1">
        <v>2</v>
      </c>
      <c r="C1997" s="1" t="s">
        <v>398</v>
      </c>
      <c r="D1997" s="22">
        <v>71</v>
      </c>
      <c r="E1997" s="9" t="s">
        <v>8492</v>
      </c>
      <c r="F1997" s="24">
        <v>4</v>
      </c>
      <c r="G1997" t="s">
        <v>8070</v>
      </c>
      <c r="H1997" t="s">
        <v>8041</v>
      </c>
      <c r="I1997" t="s">
        <v>8042</v>
      </c>
      <c r="J1997" t="s">
        <v>2132</v>
      </c>
      <c r="L1997" s="5" t="s">
        <v>9</v>
      </c>
    </row>
    <row r="1998" spans="1:12" ht="15" customHeight="1" x14ac:dyDescent="0.25">
      <c r="A1998" s="1" t="s">
        <v>12</v>
      </c>
      <c r="B1998" s="1">
        <v>2</v>
      </c>
      <c r="C1998" s="1" t="s">
        <v>398</v>
      </c>
      <c r="D1998" s="22">
        <v>71</v>
      </c>
      <c r="E1998" s="9" t="s">
        <v>8492</v>
      </c>
      <c r="F1998" s="24">
        <v>5</v>
      </c>
      <c r="G1998" t="s">
        <v>8043</v>
      </c>
      <c r="H1998" t="s">
        <v>8071</v>
      </c>
      <c r="I1998" t="s">
        <v>8045</v>
      </c>
      <c r="J1998" t="s">
        <v>8046</v>
      </c>
      <c r="L1998" s="5" t="s">
        <v>9</v>
      </c>
    </row>
    <row r="1999" spans="1:12" ht="15" customHeight="1" x14ac:dyDescent="0.25">
      <c r="A1999" s="1" t="s">
        <v>12</v>
      </c>
      <c r="B1999" s="1">
        <v>3</v>
      </c>
      <c r="C1999" s="1" t="s">
        <v>495</v>
      </c>
      <c r="D1999" s="22">
        <v>71</v>
      </c>
      <c r="E1999" s="9" t="s">
        <v>8492</v>
      </c>
      <c r="F1999" s="24">
        <v>6</v>
      </c>
      <c r="G1999" t="s">
        <v>8072</v>
      </c>
      <c r="H1999" t="s">
        <v>8047</v>
      </c>
      <c r="I1999" t="s">
        <v>8048</v>
      </c>
      <c r="J1999" t="s">
        <v>8049</v>
      </c>
      <c r="L1999" s="5" t="s">
        <v>8</v>
      </c>
    </row>
    <row r="2000" spans="1:12" ht="15" customHeight="1" x14ac:dyDescent="0.25">
      <c r="A2000" s="1" t="s">
        <v>12</v>
      </c>
      <c r="B2000" s="1">
        <v>3</v>
      </c>
      <c r="C2000" s="1" t="s">
        <v>495</v>
      </c>
      <c r="D2000" s="22">
        <v>71</v>
      </c>
      <c r="E2000" s="9" t="s">
        <v>8492</v>
      </c>
      <c r="F2000" s="24">
        <v>7</v>
      </c>
      <c r="G2000" t="s">
        <v>8073</v>
      </c>
      <c r="H2000" t="s">
        <v>8050</v>
      </c>
      <c r="I2000" t="s">
        <v>8051</v>
      </c>
      <c r="J2000" t="s">
        <v>2167</v>
      </c>
      <c r="L2000" s="5" t="s">
        <v>9</v>
      </c>
    </row>
    <row r="2001" spans="1:17" ht="15" customHeight="1" x14ac:dyDescent="0.25">
      <c r="A2001" s="1" t="s">
        <v>12</v>
      </c>
      <c r="B2001" s="1">
        <v>4</v>
      </c>
      <c r="C2001" s="1" t="s">
        <v>833</v>
      </c>
      <c r="D2001" s="22">
        <v>71</v>
      </c>
      <c r="E2001" s="9" t="s">
        <v>8492</v>
      </c>
      <c r="F2001" s="24">
        <v>8</v>
      </c>
      <c r="G2001" t="s">
        <v>8377</v>
      </c>
      <c r="H2001" t="s">
        <v>8074</v>
      </c>
      <c r="I2001" t="s">
        <v>8052</v>
      </c>
      <c r="J2001" t="s">
        <v>837</v>
      </c>
      <c r="L2001" s="5" t="s">
        <v>7</v>
      </c>
    </row>
    <row r="2002" spans="1:17" ht="15" customHeight="1" x14ac:dyDescent="0.25">
      <c r="A2002" s="1" t="s">
        <v>12</v>
      </c>
      <c r="B2002" s="1">
        <v>4</v>
      </c>
      <c r="C2002" s="1" t="s">
        <v>833</v>
      </c>
      <c r="D2002" s="22">
        <v>71</v>
      </c>
      <c r="E2002" s="9" t="s">
        <v>8492</v>
      </c>
      <c r="F2002" s="24">
        <v>9</v>
      </c>
      <c r="G2002" t="s">
        <v>8376</v>
      </c>
      <c r="H2002" t="s">
        <v>8075</v>
      </c>
      <c r="I2002" t="s">
        <v>8076</v>
      </c>
      <c r="J2002" t="s">
        <v>8077</v>
      </c>
      <c r="L2002" s="5" t="s">
        <v>8</v>
      </c>
    </row>
    <row r="2003" spans="1:17" ht="15" customHeight="1" x14ac:dyDescent="0.25">
      <c r="A2003" s="1" t="s">
        <v>12</v>
      </c>
      <c r="B2003" s="1">
        <v>7</v>
      </c>
      <c r="C2003" s="9" t="s">
        <v>7377</v>
      </c>
      <c r="D2003" s="22">
        <v>71</v>
      </c>
      <c r="E2003" s="9" t="s">
        <v>8492</v>
      </c>
      <c r="F2003" s="24">
        <v>10</v>
      </c>
      <c r="G2003" t="s">
        <v>8373</v>
      </c>
      <c r="H2003" t="s">
        <v>8078</v>
      </c>
      <c r="I2003" t="s">
        <v>938</v>
      </c>
      <c r="J2003" t="s">
        <v>8079</v>
      </c>
      <c r="L2003" s="5" t="s">
        <v>8</v>
      </c>
    </row>
    <row r="2004" spans="1:17" ht="15" customHeight="1" x14ac:dyDescent="0.25">
      <c r="A2004" s="1" t="s">
        <v>2590</v>
      </c>
      <c r="B2004" s="1">
        <v>27</v>
      </c>
      <c r="C2004" s="9" t="s">
        <v>7706</v>
      </c>
      <c r="D2004" s="22">
        <v>71</v>
      </c>
      <c r="E2004" s="9" t="s">
        <v>8492</v>
      </c>
      <c r="F2004" s="24">
        <v>24</v>
      </c>
      <c r="G2004" t="s">
        <v>8080</v>
      </c>
      <c r="H2004" t="s">
        <v>8081</v>
      </c>
      <c r="I2004" t="s">
        <v>8082</v>
      </c>
      <c r="J2004" t="s">
        <v>8083</v>
      </c>
      <c r="L2004" s="5" t="s">
        <v>8</v>
      </c>
    </row>
    <row r="2005" spans="1:17" ht="15" customHeight="1" x14ac:dyDescent="0.25">
      <c r="A2005" s="1" t="s">
        <v>2590</v>
      </c>
      <c r="B2005" s="1">
        <v>27</v>
      </c>
      <c r="C2005" s="9" t="s">
        <v>7706</v>
      </c>
      <c r="D2005" s="22">
        <v>71</v>
      </c>
      <c r="E2005" s="9" t="s">
        <v>8492</v>
      </c>
      <c r="F2005" s="24">
        <v>25</v>
      </c>
      <c r="G2005" t="s">
        <v>8084</v>
      </c>
      <c r="H2005" t="s">
        <v>8085</v>
      </c>
      <c r="I2005" t="s">
        <v>8086</v>
      </c>
      <c r="J2005" t="s">
        <v>8087</v>
      </c>
      <c r="L2005" s="5" t="s">
        <v>9</v>
      </c>
    </row>
    <row r="2006" spans="1:17" ht="15" customHeight="1" x14ac:dyDescent="0.25">
      <c r="A2006" s="1" t="s">
        <v>2590</v>
      </c>
      <c r="B2006" s="1">
        <v>11</v>
      </c>
      <c r="C2006" s="9" t="s">
        <v>3187</v>
      </c>
      <c r="D2006" s="22">
        <v>71</v>
      </c>
      <c r="E2006" s="9" t="s">
        <v>8492</v>
      </c>
      <c r="F2006" s="24">
        <v>27</v>
      </c>
      <c r="G2006" t="s">
        <v>8088</v>
      </c>
      <c r="H2006" t="s">
        <v>8053</v>
      </c>
      <c r="I2006" t="s">
        <v>8054</v>
      </c>
      <c r="J2006" t="s">
        <v>8055</v>
      </c>
      <c r="L2006" s="5" t="s">
        <v>9</v>
      </c>
    </row>
    <row r="2007" spans="1:17" ht="15" customHeight="1" x14ac:dyDescent="0.25">
      <c r="A2007" s="1" t="s">
        <v>2590</v>
      </c>
      <c r="B2007" s="1">
        <v>11</v>
      </c>
      <c r="C2007" s="9" t="s">
        <v>3187</v>
      </c>
      <c r="D2007" s="22">
        <v>71</v>
      </c>
      <c r="E2007" s="9" t="s">
        <v>8492</v>
      </c>
      <c r="F2007" s="24">
        <v>28</v>
      </c>
      <c r="G2007" t="s">
        <v>8379</v>
      </c>
      <c r="H2007" t="s">
        <v>8056</v>
      </c>
      <c r="I2007" t="s">
        <v>8089</v>
      </c>
      <c r="J2007" t="s">
        <v>8090</v>
      </c>
      <c r="L2007" s="5" t="s">
        <v>8</v>
      </c>
    </row>
    <row r="2008" spans="1:17" ht="15" customHeight="1" x14ac:dyDescent="0.25">
      <c r="A2008" s="1" t="s">
        <v>2590</v>
      </c>
      <c r="B2008" s="1">
        <v>26</v>
      </c>
      <c r="C2008" s="9" t="s">
        <v>7671</v>
      </c>
      <c r="D2008" s="22">
        <v>71</v>
      </c>
      <c r="E2008" s="9" t="s">
        <v>8492</v>
      </c>
      <c r="F2008" s="24">
        <v>29</v>
      </c>
      <c r="G2008" t="s">
        <v>8091</v>
      </c>
      <c r="H2008" t="s">
        <v>8057</v>
      </c>
      <c r="I2008" t="s">
        <v>8092</v>
      </c>
      <c r="J2008" t="s">
        <v>8093</v>
      </c>
      <c r="L2008" s="5" t="s">
        <v>9</v>
      </c>
    </row>
    <row r="2009" spans="1:17" ht="15" customHeight="1" x14ac:dyDescent="0.25">
      <c r="A2009" s="1" t="s">
        <v>12</v>
      </c>
      <c r="B2009" s="1">
        <v>6</v>
      </c>
      <c r="C2009" s="1" t="s">
        <v>8374</v>
      </c>
      <c r="D2009" s="22">
        <v>71</v>
      </c>
      <c r="E2009" s="9" t="s">
        <v>8492</v>
      </c>
      <c r="F2009" s="24" t="s">
        <v>8058</v>
      </c>
      <c r="G2009" t="s">
        <v>8094</v>
      </c>
      <c r="H2009" t="s">
        <v>8059</v>
      </c>
      <c r="I2009" t="s">
        <v>8095</v>
      </c>
      <c r="J2009" t="s">
        <v>2132</v>
      </c>
      <c r="L2009" s="5" t="s">
        <v>8</v>
      </c>
    </row>
    <row r="2010" spans="1:17" ht="15" customHeight="1" x14ac:dyDescent="0.25">
      <c r="A2010" s="1" t="s">
        <v>12</v>
      </c>
      <c r="B2010" s="1">
        <v>1</v>
      </c>
      <c r="C2010" s="1" t="s">
        <v>13</v>
      </c>
      <c r="D2010" s="22">
        <v>72</v>
      </c>
      <c r="E2010" s="9" t="s">
        <v>8493</v>
      </c>
      <c r="F2010" s="24">
        <v>1</v>
      </c>
      <c r="G2010" s="5" t="s">
        <v>8061</v>
      </c>
      <c r="H2010" s="5" t="s">
        <v>8096</v>
      </c>
      <c r="I2010" s="5" t="s">
        <v>8097</v>
      </c>
      <c r="J2010" s="5" t="s">
        <v>8098</v>
      </c>
      <c r="K2010" s="5" t="s">
        <v>763</v>
      </c>
      <c r="L2010" s="5" t="s">
        <v>9</v>
      </c>
      <c r="N2010" s="5"/>
      <c r="O2010" s="5"/>
      <c r="P2010" s="5"/>
      <c r="Q2010" s="5"/>
    </row>
    <row r="2011" spans="1:17" ht="15" customHeight="1" x14ac:dyDescent="0.25">
      <c r="A2011" s="1" t="s">
        <v>12</v>
      </c>
      <c r="B2011" s="1">
        <v>8</v>
      </c>
      <c r="C2011" s="9" t="s">
        <v>8066</v>
      </c>
      <c r="D2011" s="22">
        <v>72</v>
      </c>
      <c r="E2011" s="9" t="s">
        <v>8493</v>
      </c>
      <c r="F2011" s="24">
        <v>2</v>
      </c>
      <c r="G2011" s="5" t="s">
        <v>8375</v>
      </c>
      <c r="H2011" s="5" t="s">
        <v>2513</v>
      </c>
      <c r="I2011" s="5" t="s">
        <v>8062</v>
      </c>
      <c r="J2011" s="5" t="s">
        <v>8099</v>
      </c>
      <c r="K2011" s="5" t="s">
        <v>763</v>
      </c>
      <c r="L2011" s="5" t="s">
        <v>9</v>
      </c>
      <c r="N2011" s="5"/>
      <c r="O2011" s="5"/>
      <c r="P2011" s="5"/>
      <c r="Q2011" s="5"/>
    </row>
    <row r="2012" spans="1:17" ht="15" customHeight="1" x14ac:dyDescent="0.25">
      <c r="A2012" s="1" t="s">
        <v>12</v>
      </c>
      <c r="B2012" s="1">
        <v>2</v>
      </c>
      <c r="C2012" s="1" t="s">
        <v>398</v>
      </c>
      <c r="D2012" s="22">
        <v>72</v>
      </c>
      <c r="E2012" s="9" t="s">
        <v>8493</v>
      </c>
      <c r="F2012" s="24">
        <v>3</v>
      </c>
      <c r="G2012" s="5" t="s">
        <v>8100</v>
      </c>
      <c r="H2012" s="5" t="s">
        <v>8063</v>
      </c>
      <c r="I2012" s="5" t="s">
        <v>8101</v>
      </c>
      <c r="J2012" s="5" t="s">
        <v>2132</v>
      </c>
      <c r="K2012" s="5" t="s">
        <v>8102</v>
      </c>
      <c r="L2012" s="5" t="s">
        <v>10</v>
      </c>
      <c r="N2012" s="5"/>
      <c r="O2012" s="5"/>
      <c r="P2012" s="5"/>
      <c r="Q2012" s="5"/>
    </row>
    <row r="2013" spans="1:17" ht="15" customHeight="1" x14ac:dyDescent="0.25">
      <c r="A2013" s="1" t="s">
        <v>12</v>
      </c>
      <c r="B2013" s="1">
        <v>2</v>
      </c>
      <c r="C2013" s="1" t="s">
        <v>398</v>
      </c>
      <c r="D2013" s="22">
        <v>72</v>
      </c>
      <c r="E2013" s="9" t="s">
        <v>8493</v>
      </c>
      <c r="F2013" s="24">
        <v>4</v>
      </c>
      <c r="G2013" s="5" t="s">
        <v>8103</v>
      </c>
      <c r="H2013" s="5" t="s">
        <v>2187</v>
      </c>
      <c r="I2013" s="5" t="s">
        <v>2188</v>
      </c>
      <c r="J2013" s="5" t="s">
        <v>2189</v>
      </c>
      <c r="K2013" s="5" t="s">
        <v>8064</v>
      </c>
      <c r="L2013" s="5" t="s">
        <v>9</v>
      </c>
      <c r="N2013" s="5"/>
      <c r="O2013" s="5"/>
      <c r="P2013" s="5"/>
      <c r="Q2013" s="5"/>
    </row>
    <row r="2014" spans="1:17" ht="15" customHeight="1" x14ac:dyDescent="0.25">
      <c r="A2014" s="1" t="s">
        <v>12</v>
      </c>
      <c r="B2014" s="1">
        <v>2</v>
      </c>
      <c r="C2014" s="1" t="s">
        <v>398</v>
      </c>
      <c r="D2014" s="22">
        <v>72</v>
      </c>
      <c r="E2014" s="9" t="s">
        <v>8493</v>
      </c>
      <c r="F2014" s="24">
        <v>5</v>
      </c>
      <c r="G2014" s="5" t="s">
        <v>8104</v>
      </c>
      <c r="H2014" s="5" t="s">
        <v>406</v>
      </c>
      <c r="I2014" s="5" t="s">
        <v>405</v>
      </c>
      <c r="J2014" s="5" t="s">
        <v>407</v>
      </c>
      <c r="K2014" s="5" t="s">
        <v>763</v>
      </c>
      <c r="L2014" s="5" t="s">
        <v>7</v>
      </c>
      <c r="N2014" s="5"/>
      <c r="O2014" s="5"/>
      <c r="P2014" s="5"/>
      <c r="Q2014" s="5"/>
    </row>
    <row r="2015" spans="1:17" ht="15" customHeight="1" x14ac:dyDescent="0.25">
      <c r="A2015" s="1" t="s">
        <v>12</v>
      </c>
      <c r="B2015" s="1">
        <v>3</v>
      </c>
      <c r="C2015" s="1" t="s">
        <v>495</v>
      </c>
      <c r="D2015" s="22">
        <v>72</v>
      </c>
      <c r="E2015" s="9" t="s">
        <v>8493</v>
      </c>
      <c r="F2015" s="24">
        <v>6</v>
      </c>
      <c r="G2015" s="5" t="s">
        <v>8105</v>
      </c>
      <c r="H2015" s="5" t="s">
        <v>8065</v>
      </c>
      <c r="I2015" s="5" t="s">
        <v>2303</v>
      </c>
      <c r="J2015" s="5" t="s">
        <v>2302</v>
      </c>
      <c r="K2015" s="5" t="s">
        <v>8106</v>
      </c>
      <c r="L2015" s="5" t="s">
        <v>8</v>
      </c>
      <c r="N2015" s="5"/>
      <c r="O2015" s="5"/>
      <c r="P2015" s="5"/>
      <c r="Q2015" s="5"/>
    </row>
    <row r="2016" spans="1:17" ht="15" customHeight="1" x14ac:dyDescent="0.25">
      <c r="A2016" s="1" t="s">
        <v>12</v>
      </c>
      <c r="B2016" s="1">
        <v>3</v>
      </c>
      <c r="C2016" s="1" t="s">
        <v>495</v>
      </c>
      <c r="D2016" s="22">
        <v>72</v>
      </c>
      <c r="E2016" s="9" t="s">
        <v>8493</v>
      </c>
      <c r="F2016" s="24">
        <v>7</v>
      </c>
      <c r="G2016" s="5" t="s">
        <v>8107</v>
      </c>
      <c r="H2016" s="5" t="s">
        <v>8108</v>
      </c>
      <c r="I2016" s="5" t="s">
        <v>8109</v>
      </c>
      <c r="J2016" s="5" t="s">
        <v>8110</v>
      </c>
      <c r="K2016" s="5" t="s">
        <v>8111</v>
      </c>
      <c r="L2016" s="5" t="s">
        <v>9</v>
      </c>
      <c r="N2016" s="5"/>
      <c r="O2016" s="5"/>
      <c r="P2016" s="5"/>
      <c r="Q2016" s="5"/>
    </row>
    <row r="2017" spans="1:17" ht="15" customHeight="1" x14ac:dyDescent="0.25">
      <c r="A2017" s="1" t="s">
        <v>12</v>
      </c>
      <c r="B2017" s="1">
        <v>5</v>
      </c>
      <c r="C2017" s="1" t="s">
        <v>1111</v>
      </c>
      <c r="D2017" s="22">
        <v>72</v>
      </c>
      <c r="E2017" s="9" t="s">
        <v>8493</v>
      </c>
      <c r="F2017" s="24">
        <v>9</v>
      </c>
      <c r="G2017" s="5" t="s">
        <v>8127</v>
      </c>
      <c r="H2017" s="5" t="s">
        <v>8112</v>
      </c>
      <c r="I2017" s="5" t="s">
        <v>8113</v>
      </c>
      <c r="J2017" s="5" t="s">
        <v>2132</v>
      </c>
      <c r="K2017" s="5" t="s">
        <v>766</v>
      </c>
      <c r="L2017" s="5" t="s">
        <v>10</v>
      </c>
      <c r="N2017" s="5"/>
      <c r="O2017" s="5"/>
      <c r="P2017" s="5"/>
      <c r="Q2017" s="5"/>
    </row>
    <row r="2018" spans="1:17" ht="15" customHeight="1" x14ac:dyDescent="0.25">
      <c r="A2018" s="1" t="s">
        <v>12</v>
      </c>
      <c r="B2018" s="1">
        <v>5</v>
      </c>
      <c r="C2018" s="1" t="s">
        <v>1111</v>
      </c>
      <c r="D2018" s="22">
        <v>72</v>
      </c>
      <c r="E2018" s="9" t="s">
        <v>8493</v>
      </c>
      <c r="F2018" s="24">
        <v>10</v>
      </c>
      <c r="G2018" s="5" t="s">
        <v>8128</v>
      </c>
      <c r="H2018" s="5" t="s">
        <v>8114</v>
      </c>
      <c r="I2018" s="5" t="s">
        <v>8115</v>
      </c>
      <c r="J2018" s="5" t="s">
        <v>8116</v>
      </c>
      <c r="K2018" s="5" t="s">
        <v>766</v>
      </c>
      <c r="L2018" s="5" t="s">
        <v>8</v>
      </c>
      <c r="N2018" s="5"/>
      <c r="O2018" s="5"/>
      <c r="P2018" s="5"/>
      <c r="Q2018" s="5"/>
    </row>
    <row r="2019" spans="1:17" ht="15" customHeight="1" x14ac:dyDescent="0.25">
      <c r="A2019" s="1" t="s">
        <v>12</v>
      </c>
      <c r="B2019" s="1">
        <v>4</v>
      </c>
      <c r="C2019" s="1" t="s">
        <v>833</v>
      </c>
      <c r="D2019" s="22">
        <v>72</v>
      </c>
      <c r="E2019" s="9" t="s">
        <v>8493</v>
      </c>
      <c r="F2019" s="24">
        <v>11</v>
      </c>
      <c r="G2019" s="5" t="s">
        <v>8126</v>
      </c>
      <c r="H2019" s="5" t="s">
        <v>836</v>
      </c>
      <c r="I2019" s="5" t="s">
        <v>8117</v>
      </c>
      <c r="J2019" s="5" t="s">
        <v>839</v>
      </c>
      <c r="K2019" s="5" t="s">
        <v>8118</v>
      </c>
      <c r="L2019" s="5" t="s">
        <v>7</v>
      </c>
      <c r="N2019" s="5"/>
      <c r="O2019" s="5"/>
      <c r="P2019" s="5"/>
      <c r="Q2019" s="5"/>
    </row>
    <row r="2020" spans="1:17" ht="15" customHeight="1" x14ac:dyDescent="0.25">
      <c r="A2020" s="1" t="s">
        <v>12</v>
      </c>
      <c r="B2020" s="1">
        <v>4</v>
      </c>
      <c r="C2020" s="1" t="s">
        <v>833</v>
      </c>
      <c r="D2020" s="22">
        <v>72</v>
      </c>
      <c r="E2020" s="9" t="s">
        <v>8493</v>
      </c>
      <c r="F2020" s="24">
        <v>12</v>
      </c>
      <c r="G2020" s="5" t="s">
        <v>8125</v>
      </c>
      <c r="H2020" s="5" t="s">
        <v>837</v>
      </c>
      <c r="I2020" s="5" t="s">
        <v>8119</v>
      </c>
      <c r="J2020" s="5" t="s">
        <v>2132</v>
      </c>
      <c r="K2020" s="5" t="s">
        <v>763</v>
      </c>
      <c r="L2020" s="5" t="s">
        <v>7</v>
      </c>
      <c r="N2020" s="5"/>
      <c r="O2020" s="5"/>
      <c r="P2020" s="5"/>
      <c r="Q2020" s="5"/>
    </row>
    <row r="2021" spans="1:17" ht="15" customHeight="1" x14ac:dyDescent="0.25">
      <c r="A2021" s="1" t="s">
        <v>12</v>
      </c>
      <c r="B2021" s="1">
        <v>4</v>
      </c>
      <c r="C2021" s="1" t="s">
        <v>833</v>
      </c>
      <c r="D2021" s="22">
        <v>72</v>
      </c>
      <c r="E2021" s="9" t="s">
        <v>8493</v>
      </c>
      <c r="F2021" s="24">
        <v>13</v>
      </c>
      <c r="G2021" s="5" t="s">
        <v>8124</v>
      </c>
      <c r="H2021" s="5" t="s">
        <v>8120</v>
      </c>
      <c r="I2021" s="5" t="s">
        <v>8121</v>
      </c>
      <c r="J2021" s="5" t="s">
        <v>8122</v>
      </c>
      <c r="K2021" s="5" t="s">
        <v>8123</v>
      </c>
      <c r="L2021" s="5" t="s">
        <v>9</v>
      </c>
      <c r="N2021" s="5"/>
      <c r="O2021" s="5"/>
      <c r="P2021" s="5"/>
      <c r="Q2021" s="5"/>
    </row>
    <row r="2022" spans="1:17" ht="15" customHeight="1" x14ac:dyDescent="0.25">
      <c r="A2022" s="1" t="s">
        <v>2590</v>
      </c>
      <c r="B2022" s="1">
        <v>11</v>
      </c>
      <c r="C2022" s="9" t="s">
        <v>3187</v>
      </c>
      <c r="D2022" s="22">
        <v>72</v>
      </c>
      <c r="E2022" s="9" t="s">
        <v>8493</v>
      </c>
      <c r="F2022" s="24">
        <v>29</v>
      </c>
      <c r="G2022" s="5" t="s">
        <v>8303</v>
      </c>
      <c r="H2022" s="5" t="s">
        <v>8299</v>
      </c>
      <c r="I2022" s="5" t="s">
        <v>8300</v>
      </c>
      <c r="J2022" s="5" t="s">
        <v>8301</v>
      </c>
      <c r="K2022" s="5" t="s">
        <v>8302</v>
      </c>
      <c r="L2022" s="5" t="s">
        <v>8</v>
      </c>
      <c r="N2022" s="5"/>
      <c r="O2022" s="5"/>
      <c r="P2022" s="5"/>
      <c r="Q2022" s="5"/>
    </row>
    <row r="2023" spans="1:17" ht="15" customHeight="1" x14ac:dyDescent="0.25">
      <c r="A2023" s="1" t="s">
        <v>2590</v>
      </c>
      <c r="B2023" s="1">
        <v>11</v>
      </c>
      <c r="C2023" s="9" t="s">
        <v>3187</v>
      </c>
      <c r="D2023" s="22">
        <v>72</v>
      </c>
      <c r="E2023" s="9" t="s">
        <v>8493</v>
      </c>
      <c r="F2023" s="24">
        <v>30</v>
      </c>
      <c r="G2023" s="5" t="s">
        <v>8304</v>
      </c>
      <c r="H2023" s="5" t="s">
        <v>8305</v>
      </c>
      <c r="I2023" s="5" t="s">
        <v>8306</v>
      </c>
      <c r="J2023" s="5" t="s">
        <v>8307</v>
      </c>
      <c r="K2023" s="5" t="s">
        <v>4416</v>
      </c>
      <c r="L2023" s="5" t="s">
        <v>9</v>
      </c>
      <c r="N2023" s="5"/>
      <c r="O2023" s="5"/>
      <c r="P2023" s="5"/>
      <c r="Q2023" s="5"/>
    </row>
    <row r="2024" spans="1:17" ht="15" customHeight="1" x14ac:dyDescent="0.25">
      <c r="A2024" s="1" t="s">
        <v>2590</v>
      </c>
      <c r="B2024" s="1">
        <v>11</v>
      </c>
      <c r="C2024" s="9" t="s">
        <v>3187</v>
      </c>
      <c r="D2024" s="22">
        <v>72</v>
      </c>
      <c r="E2024" s="9" t="s">
        <v>8493</v>
      </c>
      <c r="F2024" s="24">
        <v>32</v>
      </c>
      <c r="G2024" s="5" t="s">
        <v>8308</v>
      </c>
      <c r="H2024" s="5" t="s">
        <v>8309</v>
      </c>
      <c r="I2024" s="5" t="s">
        <v>8310</v>
      </c>
      <c r="J2024" s="5" t="s">
        <v>8311</v>
      </c>
      <c r="K2024" s="5" t="s">
        <v>8312</v>
      </c>
      <c r="L2024" s="5" t="s">
        <v>10</v>
      </c>
      <c r="N2024" s="5"/>
      <c r="O2024" s="5"/>
      <c r="P2024" s="5"/>
      <c r="Q2024" s="5"/>
    </row>
    <row r="2025" spans="1:17" ht="15" customHeight="1" x14ac:dyDescent="0.25">
      <c r="A2025" s="1" t="s">
        <v>12</v>
      </c>
      <c r="B2025" s="1">
        <v>1</v>
      </c>
      <c r="C2025" s="1" t="s">
        <v>13</v>
      </c>
      <c r="D2025" s="22">
        <v>73</v>
      </c>
      <c r="E2025" s="9" t="s">
        <v>8494</v>
      </c>
      <c r="F2025" s="24">
        <v>1</v>
      </c>
      <c r="G2025" s="5" t="s">
        <v>8129</v>
      </c>
      <c r="H2025" s="5" t="s">
        <v>8130</v>
      </c>
      <c r="I2025" s="5" t="s">
        <v>8131</v>
      </c>
      <c r="J2025" s="5" t="s">
        <v>8132</v>
      </c>
      <c r="K2025" s="5" t="s">
        <v>8133</v>
      </c>
      <c r="L2025" s="5" t="s">
        <v>9</v>
      </c>
    </row>
    <row r="2026" spans="1:17" ht="15" customHeight="1" x14ac:dyDescent="0.25">
      <c r="A2026" s="1" t="s">
        <v>12</v>
      </c>
      <c r="B2026" s="1">
        <v>2</v>
      </c>
      <c r="C2026" s="1" t="s">
        <v>398</v>
      </c>
      <c r="D2026" s="22">
        <v>73</v>
      </c>
      <c r="E2026" s="9" t="s">
        <v>8494</v>
      </c>
      <c r="F2026" s="24">
        <v>2</v>
      </c>
      <c r="G2026" s="5" t="s">
        <v>8134</v>
      </c>
      <c r="H2026" s="5" t="s">
        <v>8135</v>
      </c>
      <c r="I2026" s="5" t="s">
        <v>8136</v>
      </c>
      <c r="J2026" s="5" t="s">
        <v>8137</v>
      </c>
      <c r="K2026" s="5" t="s">
        <v>8138</v>
      </c>
      <c r="L2026" s="5" t="s">
        <v>9</v>
      </c>
    </row>
    <row r="2027" spans="1:17" ht="15" customHeight="1" x14ac:dyDescent="0.25">
      <c r="A2027" s="1" t="s">
        <v>12</v>
      </c>
      <c r="B2027" s="1">
        <v>2</v>
      </c>
      <c r="C2027" s="1" t="s">
        <v>398</v>
      </c>
      <c r="D2027" s="22">
        <v>73</v>
      </c>
      <c r="E2027" s="9" t="s">
        <v>8494</v>
      </c>
      <c r="F2027" s="24">
        <v>3</v>
      </c>
      <c r="G2027" s="5" t="s">
        <v>8139</v>
      </c>
      <c r="H2027" s="5" t="s">
        <v>8140</v>
      </c>
      <c r="I2027" s="5" t="s">
        <v>8141</v>
      </c>
      <c r="J2027" s="5" t="s">
        <v>2132</v>
      </c>
      <c r="K2027" s="5" t="s">
        <v>766</v>
      </c>
      <c r="L2027" s="5" t="s">
        <v>9</v>
      </c>
    </row>
    <row r="2028" spans="1:17" ht="15" customHeight="1" x14ac:dyDescent="0.25">
      <c r="A2028" s="1" t="s">
        <v>12</v>
      </c>
      <c r="B2028" s="1">
        <v>2</v>
      </c>
      <c r="C2028" s="1" t="s">
        <v>398</v>
      </c>
      <c r="D2028" s="22">
        <v>73</v>
      </c>
      <c r="E2028" s="9" t="s">
        <v>8494</v>
      </c>
      <c r="F2028" s="24">
        <v>4</v>
      </c>
      <c r="G2028" s="5" t="s">
        <v>8142</v>
      </c>
      <c r="H2028" s="5" t="s">
        <v>8143</v>
      </c>
      <c r="I2028" s="5" t="s">
        <v>8044</v>
      </c>
      <c r="J2028" s="5" t="s">
        <v>8046</v>
      </c>
      <c r="K2028" s="5" t="s">
        <v>8144</v>
      </c>
      <c r="L2028" s="5" t="s">
        <v>9</v>
      </c>
    </row>
    <row r="2029" spans="1:17" ht="15" customHeight="1" x14ac:dyDescent="0.25">
      <c r="A2029" s="1" t="s">
        <v>12</v>
      </c>
      <c r="B2029" s="1">
        <v>3</v>
      </c>
      <c r="C2029" s="1" t="s">
        <v>495</v>
      </c>
      <c r="D2029" s="22">
        <v>73</v>
      </c>
      <c r="E2029" s="9" t="s">
        <v>8494</v>
      </c>
      <c r="F2029" s="24">
        <v>5</v>
      </c>
      <c r="G2029" s="5" t="s">
        <v>8170</v>
      </c>
      <c r="H2029" s="5" t="s">
        <v>8145</v>
      </c>
      <c r="I2029" s="5" t="s">
        <v>8146</v>
      </c>
      <c r="J2029" s="5" t="s">
        <v>8147</v>
      </c>
      <c r="K2029" s="5" t="s">
        <v>8148</v>
      </c>
      <c r="L2029" s="5" t="s">
        <v>7</v>
      </c>
    </row>
    <row r="2030" spans="1:17" ht="15" customHeight="1" x14ac:dyDescent="0.25">
      <c r="A2030" s="1" t="s">
        <v>12</v>
      </c>
      <c r="B2030" s="1">
        <v>3</v>
      </c>
      <c r="C2030" s="1" t="s">
        <v>495</v>
      </c>
      <c r="D2030" s="22">
        <v>73</v>
      </c>
      <c r="E2030" s="9" t="s">
        <v>8494</v>
      </c>
      <c r="F2030" s="24">
        <v>6</v>
      </c>
      <c r="G2030" s="5" t="s">
        <v>8171</v>
      </c>
      <c r="H2030" s="5" t="s">
        <v>8149</v>
      </c>
      <c r="I2030" s="5" t="s">
        <v>8150</v>
      </c>
      <c r="J2030" s="5" t="s">
        <v>2132</v>
      </c>
      <c r="K2030" s="5" t="s">
        <v>8151</v>
      </c>
      <c r="L2030" s="5" t="s">
        <v>10</v>
      </c>
    </row>
    <row r="2031" spans="1:17" ht="15" customHeight="1" x14ac:dyDescent="0.25">
      <c r="A2031" s="1" t="s">
        <v>12</v>
      </c>
      <c r="B2031" s="1">
        <v>5</v>
      </c>
      <c r="C2031" s="1" t="s">
        <v>1111</v>
      </c>
      <c r="D2031" s="22">
        <v>73</v>
      </c>
      <c r="E2031" s="9" t="s">
        <v>8494</v>
      </c>
      <c r="F2031" s="24">
        <v>9</v>
      </c>
      <c r="G2031" s="5" t="s">
        <v>8172</v>
      </c>
      <c r="H2031" s="5" t="s">
        <v>8152</v>
      </c>
      <c r="I2031" s="5" t="s">
        <v>8153</v>
      </c>
      <c r="J2031" s="5" t="s">
        <v>8154</v>
      </c>
      <c r="K2031" s="5" t="s">
        <v>8155</v>
      </c>
      <c r="L2031" s="5" t="s">
        <v>10</v>
      </c>
    </row>
    <row r="2032" spans="1:17" ht="15" customHeight="1" x14ac:dyDescent="0.25">
      <c r="A2032" s="1" t="s">
        <v>12</v>
      </c>
      <c r="B2032" s="1">
        <v>4</v>
      </c>
      <c r="C2032" s="1" t="s">
        <v>833</v>
      </c>
      <c r="D2032" s="22">
        <v>73</v>
      </c>
      <c r="E2032" s="9" t="s">
        <v>8494</v>
      </c>
      <c r="F2032" s="24">
        <v>10</v>
      </c>
      <c r="G2032" s="5" t="s">
        <v>8173</v>
      </c>
      <c r="H2032" s="5" t="s">
        <v>8156</v>
      </c>
      <c r="I2032" s="5" t="s">
        <v>8077</v>
      </c>
      <c r="J2032" s="5" t="s">
        <v>8076</v>
      </c>
      <c r="K2032" s="5" t="s">
        <v>8155</v>
      </c>
      <c r="L2032" s="5" t="s">
        <v>9</v>
      </c>
    </row>
    <row r="2033" spans="1:12" ht="15" customHeight="1" x14ac:dyDescent="0.25">
      <c r="A2033" s="1" t="s">
        <v>12</v>
      </c>
      <c r="B2033" s="1">
        <v>4</v>
      </c>
      <c r="C2033" s="1" t="s">
        <v>833</v>
      </c>
      <c r="D2033" s="22">
        <v>73</v>
      </c>
      <c r="E2033" s="9" t="s">
        <v>8494</v>
      </c>
      <c r="F2033" s="24">
        <v>11</v>
      </c>
      <c r="G2033" s="5" t="s">
        <v>8174</v>
      </c>
      <c r="H2033" s="5" t="s">
        <v>8157</v>
      </c>
      <c r="I2033" s="5" t="s">
        <v>8158</v>
      </c>
      <c r="J2033" s="5" t="s">
        <v>2132</v>
      </c>
      <c r="K2033" s="5" t="s">
        <v>766</v>
      </c>
      <c r="L2033" s="5" t="s">
        <v>7</v>
      </c>
    </row>
    <row r="2034" spans="1:12" ht="15" customHeight="1" x14ac:dyDescent="0.25">
      <c r="A2034" s="1" t="s">
        <v>12</v>
      </c>
      <c r="B2034" s="1">
        <v>5</v>
      </c>
      <c r="C2034" s="1" t="s">
        <v>1111</v>
      </c>
      <c r="D2034" s="22">
        <v>73</v>
      </c>
      <c r="E2034" s="9" t="s">
        <v>8494</v>
      </c>
      <c r="F2034" s="24">
        <v>12</v>
      </c>
      <c r="G2034" s="5" t="s">
        <v>8159</v>
      </c>
      <c r="H2034" s="5" t="s">
        <v>2177</v>
      </c>
      <c r="I2034" s="5" t="s">
        <v>8160</v>
      </c>
      <c r="J2034" s="5" t="s">
        <v>8161</v>
      </c>
      <c r="K2034" s="5" t="s">
        <v>8155</v>
      </c>
      <c r="L2034" s="5" t="s">
        <v>10</v>
      </c>
    </row>
    <row r="2035" spans="1:12" ht="15" customHeight="1" x14ac:dyDescent="0.25">
      <c r="A2035" s="1" t="s">
        <v>12</v>
      </c>
      <c r="B2035" s="1">
        <v>7</v>
      </c>
      <c r="C2035" s="9" t="s">
        <v>7377</v>
      </c>
      <c r="D2035" s="22">
        <v>73</v>
      </c>
      <c r="E2035" s="9" t="s">
        <v>8494</v>
      </c>
      <c r="F2035" s="24">
        <v>13</v>
      </c>
      <c r="G2035" s="5" t="s">
        <v>8175</v>
      </c>
      <c r="H2035" s="5" t="s">
        <v>8162</v>
      </c>
      <c r="I2035" s="5" t="s">
        <v>8163</v>
      </c>
      <c r="J2035" s="5" t="s">
        <v>8164</v>
      </c>
      <c r="K2035" s="5" t="s">
        <v>8165</v>
      </c>
      <c r="L2035" s="5" t="s">
        <v>10</v>
      </c>
    </row>
    <row r="2036" spans="1:12" ht="15" customHeight="1" x14ac:dyDescent="0.25">
      <c r="A2036" s="1" t="s">
        <v>12</v>
      </c>
      <c r="B2036" s="1">
        <v>6</v>
      </c>
      <c r="C2036" s="1" t="s">
        <v>8374</v>
      </c>
      <c r="D2036" s="22">
        <v>73</v>
      </c>
      <c r="E2036" s="9" t="s">
        <v>8494</v>
      </c>
      <c r="F2036" s="24" t="s">
        <v>8058</v>
      </c>
      <c r="G2036" s="5" t="s">
        <v>8176</v>
      </c>
      <c r="H2036" s="5" t="s">
        <v>8166</v>
      </c>
      <c r="I2036" s="5" t="s">
        <v>8167</v>
      </c>
      <c r="J2036" s="5" t="s">
        <v>2132</v>
      </c>
      <c r="K2036" s="5" t="s">
        <v>8138</v>
      </c>
      <c r="L2036" s="5" t="s">
        <v>9</v>
      </c>
    </row>
    <row r="2037" spans="1:12" ht="15" customHeight="1" x14ac:dyDescent="0.25">
      <c r="A2037" s="1" t="s">
        <v>12</v>
      </c>
      <c r="B2037" s="1">
        <v>6</v>
      </c>
      <c r="C2037" s="1" t="s">
        <v>8374</v>
      </c>
      <c r="D2037" s="22">
        <v>73</v>
      </c>
      <c r="E2037" s="9" t="s">
        <v>8494</v>
      </c>
      <c r="F2037" s="24" t="s">
        <v>8060</v>
      </c>
      <c r="G2037" s="5" t="s">
        <v>8177</v>
      </c>
      <c r="H2037" s="5" t="s">
        <v>8168</v>
      </c>
      <c r="I2037" s="5" t="s">
        <v>8169</v>
      </c>
      <c r="J2037" s="5" t="s">
        <v>2130</v>
      </c>
      <c r="K2037" s="5" t="s">
        <v>8155</v>
      </c>
      <c r="L2037" s="5" t="s">
        <v>10</v>
      </c>
    </row>
    <row r="2038" spans="1:12" ht="15" customHeight="1" x14ac:dyDescent="0.25">
      <c r="A2038" s="1" t="s">
        <v>12</v>
      </c>
      <c r="B2038" s="1">
        <v>6</v>
      </c>
      <c r="C2038" s="1" t="s">
        <v>8374</v>
      </c>
      <c r="D2038" s="22">
        <v>74</v>
      </c>
      <c r="E2038" s="9" t="s">
        <v>8495</v>
      </c>
      <c r="F2038" s="26">
        <v>1</v>
      </c>
      <c r="G2038" s="12" t="s">
        <v>8178</v>
      </c>
      <c r="H2038" s="12" t="s">
        <v>8179</v>
      </c>
      <c r="I2038" s="12" t="s">
        <v>8180</v>
      </c>
      <c r="J2038" s="12" t="s">
        <v>8181</v>
      </c>
      <c r="K2038" s="12" t="s">
        <v>8182</v>
      </c>
      <c r="L2038" s="12" t="s">
        <v>7</v>
      </c>
    </row>
    <row r="2039" spans="1:12" ht="15" customHeight="1" x14ac:dyDescent="0.25">
      <c r="A2039" s="1" t="s">
        <v>12</v>
      </c>
      <c r="B2039" s="1">
        <v>6</v>
      </c>
      <c r="C2039" s="1" t="s">
        <v>8374</v>
      </c>
      <c r="D2039" s="22">
        <v>74</v>
      </c>
      <c r="E2039" s="9" t="s">
        <v>8495</v>
      </c>
      <c r="F2039" s="26">
        <v>3</v>
      </c>
      <c r="G2039" s="12" t="s">
        <v>8183</v>
      </c>
      <c r="H2039" s="12" t="s">
        <v>8184</v>
      </c>
      <c r="I2039" s="12" t="s">
        <v>8185</v>
      </c>
      <c r="J2039" s="12" t="s">
        <v>8186</v>
      </c>
      <c r="K2039" s="12" t="s">
        <v>8187</v>
      </c>
      <c r="L2039" s="12" t="s">
        <v>7</v>
      </c>
    </row>
    <row r="2040" spans="1:12" ht="15" customHeight="1" x14ac:dyDescent="0.25">
      <c r="A2040" s="1" t="s">
        <v>12</v>
      </c>
      <c r="B2040" s="1">
        <v>4</v>
      </c>
      <c r="C2040" s="1" t="s">
        <v>833</v>
      </c>
      <c r="D2040" s="22">
        <v>74</v>
      </c>
      <c r="E2040" s="9" t="s">
        <v>8495</v>
      </c>
      <c r="F2040" s="26">
        <v>4</v>
      </c>
      <c r="G2040" s="12" t="s">
        <v>8188</v>
      </c>
      <c r="H2040" s="12" t="s">
        <v>8189</v>
      </c>
      <c r="I2040" s="12" t="s">
        <v>8190</v>
      </c>
      <c r="J2040" s="12" t="s">
        <v>8191</v>
      </c>
      <c r="K2040" s="12" t="s">
        <v>8192</v>
      </c>
      <c r="L2040" s="12" t="s">
        <v>9</v>
      </c>
    </row>
    <row r="2041" spans="1:12" ht="15" customHeight="1" x14ac:dyDescent="0.25">
      <c r="A2041" s="1" t="s">
        <v>12</v>
      </c>
      <c r="B2041" s="1">
        <v>6</v>
      </c>
      <c r="C2041" s="1" t="s">
        <v>8374</v>
      </c>
      <c r="D2041" s="22">
        <v>74</v>
      </c>
      <c r="E2041" s="9" t="s">
        <v>8495</v>
      </c>
      <c r="F2041" s="26">
        <v>6</v>
      </c>
      <c r="G2041" s="12" t="s">
        <v>8193</v>
      </c>
      <c r="H2041" s="12" t="s">
        <v>8194</v>
      </c>
      <c r="I2041" s="12" t="s">
        <v>8195</v>
      </c>
      <c r="J2041" s="12" t="s">
        <v>8196</v>
      </c>
      <c r="K2041" s="12" t="s">
        <v>8197</v>
      </c>
      <c r="L2041" s="12" t="s">
        <v>8</v>
      </c>
    </row>
    <row r="2042" spans="1:12" ht="15" customHeight="1" x14ac:dyDescent="0.25">
      <c r="A2042" s="1" t="s">
        <v>12</v>
      </c>
      <c r="B2042" s="1">
        <v>4</v>
      </c>
      <c r="C2042" s="1" t="s">
        <v>833</v>
      </c>
      <c r="D2042" s="22">
        <v>74</v>
      </c>
      <c r="E2042" s="9" t="s">
        <v>8495</v>
      </c>
      <c r="F2042" s="26">
        <v>7</v>
      </c>
      <c r="G2042" s="12" t="s">
        <v>8198</v>
      </c>
      <c r="H2042" s="12" t="s">
        <v>8199</v>
      </c>
      <c r="I2042" s="12" t="s">
        <v>8200</v>
      </c>
      <c r="J2042" s="12" t="s">
        <v>8201</v>
      </c>
      <c r="K2042" s="12" t="s">
        <v>8202</v>
      </c>
      <c r="L2042" s="12" t="s">
        <v>7</v>
      </c>
    </row>
    <row r="2043" spans="1:12" ht="15" customHeight="1" x14ac:dyDescent="0.25">
      <c r="A2043" s="1" t="s">
        <v>12</v>
      </c>
      <c r="B2043" s="1">
        <v>6</v>
      </c>
      <c r="C2043" s="1" t="s">
        <v>8374</v>
      </c>
      <c r="D2043" s="22">
        <v>74</v>
      </c>
      <c r="E2043" s="9" t="s">
        <v>8495</v>
      </c>
      <c r="F2043" s="26">
        <v>8</v>
      </c>
      <c r="G2043" s="12" t="s">
        <v>8203</v>
      </c>
      <c r="H2043" s="12" t="s">
        <v>8204</v>
      </c>
      <c r="I2043" s="12" t="s">
        <v>8205</v>
      </c>
      <c r="J2043" s="12" t="s">
        <v>8206</v>
      </c>
      <c r="K2043" s="12" t="s">
        <v>8207</v>
      </c>
      <c r="L2043" s="12" t="s">
        <v>9</v>
      </c>
    </row>
    <row r="2044" spans="1:12" ht="15" customHeight="1" x14ac:dyDescent="0.25">
      <c r="A2044" s="1" t="s">
        <v>12</v>
      </c>
      <c r="B2044" s="1">
        <v>6</v>
      </c>
      <c r="C2044" s="1" t="s">
        <v>8374</v>
      </c>
      <c r="D2044" s="22">
        <v>74</v>
      </c>
      <c r="E2044" s="9" t="s">
        <v>8495</v>
      </c>
      <c r="F2044" s="26">
        <v>12</v>
      </c>
      <c r="G2044" s="12" t="s">
        <v>8208</v>
      </c>
      <c r="H2044" s="12" t="s">
        <v>8209</v>
      </c>
      <c r="I2044" s="12" t="s">
        <v>8210</v>
      </c>
      <c r="J2044" s="12" t="s">
        <v>8211</v>
      </c>
      <c r="K2044" s="12" t="s">
        <v>8212</v>
      </c>
      <c r="L2044" s="12" t="s">
        <v>9</v>
      </c>
    </row>
    <row r="2045" spans="1:12" ht="15" customHeight="1" x14ac:dyDescent="0.25">
      <c r="A2045" s="1" t="s">
        <v>12</v>
      </c>
      <c r="B2045" s="1">
        <v>5</v>
      </c>
      <c r="C2045" s="1" t="s">
        <v>1111</v>
      </c>
      <c r="D2045" s="22">
        <v>74</v>
      </c>
      <c r="E2045" s="9" t="s">
        <v>8495</v>
      </c>
      <c r="F2045" s="26">
        <v>13</v>
      </c>
      <c r="G2045" s="12" t="s">
        <v>8213</v>
      </c>
      <c r="H2045" s="12" t="s">
        <v>8214</v>
      </c>
      <c r="I2045" s="12" t="s">
        <v>8215</v>
      </c>
      <c r="J2045" s="12" t="s">
        <v>8216</v>
      </c>
      <c r="K2045" s="12" t="s">
        <v>8217</v>
      </c>
      <c r="L2045" s="12" t="s">
        <v>10</v>
      </c>
    </row>
    <row r="2046" spans="1:12" ht="15" customHeight="1" x14ac:dyDescent="0.25">
      <c r="A2046" s="1" t="s">
        <v>12</v>
      </c>
      <c r="B2046" s="1">
        <v>6</v>
      </c>
      <c r="C2046" s="1" t="s">
        <v>8374</v>
      </c>
      <c r="D2046" s="22">
        <v>74</v>
      </c>
      <c r="E2046" s="9" t="s">
        <v>8495</v>
      </c>
      <c r="F2046" s="26">
        <v>14</v>
      </c>
      <c r="G2046" s="12" t="s">
        <v>8218</v>
      </c>
      <c r="H2046" s="12" t="s">
        <v>8219</v>
      </c>
      <c r="I2046" s="12" t="s">
        <v>8220</v>
      </c>
      <c r="J2046" s="12" t="s">
        <v>1896</v>
      </c>
      <c r="K2046" s="12" t="s">
        <v>8221</v>
      </c>
      <c r="L2046" s="12" t="s">
        <v>9</v>
      </c>
    </row>
    <row r="2047" spans="1:12" ht="15" customHeight="1" x14ac:dyDescent="0.25">
      <c r="A2047" s="1" t="s">
        <v>12</v>
      </c>
      <c r="B2047" s="1">
        <v>6</v>
      </c>
      <c r="C2047" s="1" t="s">
        <v>8374</v>
      </c>
      <c r="D2047" s="22">
        <v>74</v>
      </c>
      <c r="E2047" s="9" t="s">
        <v>8495</v>
      </c>
      <c r="F2047" s="25" t="s">
        <v>8231</v>
      </c>
      <c r="G2047" s="5" t="s">
        <v>8222</v>
      </c>
      <c r="H2047" s="5" t="s">
        <v>8223</v>
      </c>
      <c r="I2047" s="5" t="s">
        <v>8224</v>
      </c>
      <c r="J2047" s="5" t="s">
        <v>8225</v>
      </c>
      <c r="K2047" s="5" t="s">
        <v>8226</v>
      </c>
      <c r="L2047" s="12" t="s">
        <v>8</v>
      </c>
    </row>
    <row r="2048" spans="1:12" ht="15" customHeight="1" x14ac:dyDescent="0.25">
      <c r="A2048" s="1" t="s">
        <v>12</v>
      </c>
      <c r="B2048" s="1">
        <v>6</v>
      </c>
      <c r="C2048" s="1" t="s">
        <v>8374</v>
      </c>
      <c r="D2048" s="22">
        <v>74</v>
      </c>
      <c r="E2048" s="9" t="s">
        <v>8495</v>
      </c>
      <c r="F2048" s="25" t="s">
        <v>8232</v>
      </c>
      <c r="G2048" s="5" t="s">
        <v>8227</v>
      </c>
      <c r="H2048" s="5" t="s">
        <v>8228</v>
      </c>
      <c r="I2048" s="5" t="s">
        <v>8229</v>
      </c>
      <c r="J2048" s="5" t="s">
        <v>8230</v>
      </c>
      <c r="K2048" s="5" t="s">
        <v>414</v>
      </c>
      <c r="L2048" s="12" t="s">
        <v>9</v>
      </c>
    </row>
    <row r="2049" spans="1:12" ht="15" customHeight="1" x14ac:dyDescent="0.25">
      <c r="A2049" s="1" t="s">
        <v>12</v>
      </c>
      <c r="B2049" s="1">
        <v>3</v>
      </c>
      <c r="C2049" s="1" t="s">
        <v>495</v>
      </c>
      <c r="D2049" s="22">
        <v>75</v>
      </c>
      <c r="E2049" s="9" t="s">
        <v>8496</v>
      </c>
      <c r="F2049" s="26">
        <v>1</v>
      </c>
      <c r="G2049" s="12" t="s">
        <v>8233</v>
      </c>
      <c r="H2049" s="12" t="s">
        <v>8234</v>
      </c>
      <c r="I2049" s="12" t="s">
        <v>8235</v>
      </c>
      <c r="J2049" s="12" t="s">
        <v>8236</v>
      </c>
      <c r="K2049" s="12" t="s">
        <v>8155</v>
      </c>
      <c r="L2049" s="12" t="s">
        <v>9</v>
      </c>
    </row>
    <row r="2050" spans="1:12" ht="15" customHeight="1" x14ac:dyDescent="0.25">
      <c r="A2050" s="1" t="s">
        <v>12</v>
      </c>
      <c r="B2050" s="1">
        <v>3</v>
      </c>
      <c r="C2050" s="1" t="s">
        <v>495</v>
      </c>
      <c r="D2050" s="22">
        <v>75</v>
      </c>
      <c r="E2050" s="9" t="s">
        <v>8496</v>
      </c>
      <c r="F2050" s="26">
        <v>2</v>
      </c>
      <c r="G2050" s="12" t="s">
        <v>8237</v>
      </c>
      <c r="H2050" s="12" t="s">
        <v>8238</v>
      </c>
      <c r="I2050" s="12" t="s">
        <v>8239</v>
      </c>
      <c r="J2050" s="12" t="s">
        <v>8240</v>
      </c>
      <c r="K2050" s="12" t="s">
        <v>766</v>
      </c>
      <c r="L2050" s="12" t="s">
        <v>7</v>
      </c>
    </row>
    <row r="2051" spans="1:12" ht="15" customHeight="1" x14ac:dyDescent="0.25">
      <c r="A2051" s="1" t="s">
        <v>12</v>
      </c>
      <c r="B2051" s="1">
        <v>3</v>
      </c>
      <c r="C2051" s="1" t="s">
        <v>495</v>
      </c>
      <c r="D2051" s="22">
        <v>75</v>
      </c>
      <c r="E2051" s="9" t="s">
        <v>8496</v>
      </c>
      <c r="F2051" s="26">
        <v>3</v>
      </c>
      <c r="G2051" s="12" t="s">
        <v>8241</v>
      </c>
      <c r="H2051" s="12" t="s">
        <v>8242</v>
      </c>
      <c r="I2051" s="12" t="s">
        <v>8243</v>
      </c>
      <c r="J2051" s="12" t="s">
        <v>8244</v>
      </c>
      <c r="K2051" s="12" t="s">
        <v>766</v>
      </c>
      <c r="L2051" s="12" t="s">
        <v>8</v>
      </c>
    </row>
    <row r="2052" spans="1:12" ht="15" customHeight="1" x14ac:dyDescent="0.25">
      <c r="A2052" s="1" t="s">
        <v>12</v>
      </c>
      <c r="B2052" s="1">
        <v>3</v>
      </c>
      <c r="C2052" s="1" t="s">
        <v>495</v>
      </c>
      <c r="D2052" s="22">
        <v>75</v>
      </c>
      <c r="E2052" s="9" t="s">
        <v>8496</v>
      </c>
      <c r="F2052" s="26">
        <v>4</v>
      </c>
      <c r="G2052" s="12" t="s">
        <v>8245</v>
      </c>
      <c r="H2052" s="12" t="s">
        <v>8146</v>
      </c>
      <c r="I2052" s="12" t="s">
        <v>8246</v>
      </c>
      <c r="J2052" s="12" t="s">
        <v>8148</v>
      </c>
      <c r="K2052" s="12" t="s">
        <v>8247</v>
      </c>
      <c r="L2052" s="12" t="s">
        <v>9</v>
      </c>
    </row>
    <row r="2053" spans="1:12" ht="15" customHeight="1" x14ac:dyDescent="0.25">
      <c r="A2053" s="1" t="s">
        <v>12</v>
      </c>
      <c r="B2053" s="1">
        <v>3</v>
      </c>
      <c r="C2053" s="1" t="s">
        <v>495</v>
      </c>
      <c r="D2053" s="22">
        <v>75</v>
      </c>
      <c r="E2053" s="9" t="s">
        <v>8496</v>
      </c>
      <c r="F2053" s="26">
        <v>5</v>
      </c>
      <c r="G2053" s="12" t="s">
        <v>8248</v>
      </c>
      <c r="H2053" s="12" t="s">
        <v>8249</v>
      </c>
      <c r="I2053" s="12" t="s">
        <v>8250</v>
      </c>
      <c r="J2053" s="12" t="s">
        <v>8251</v>
      </c>
      <c r="K2053" s="12" t="s">
        <v>8252</v>
      </c>
      <c r="L2053" s="12" t="s">
        <v>9</v>
      </c>
    </row>
    <row r="2054" spans="1:12" ht="15" customHeight="1" x14ac:dyDescent="0.25">
      <c r="A2054" s="1" t="s">
        <v>12</v>
      </c>
      <c r="B2054" s="1">
        <v>3</v>
      </c>
      <c r="C2054" s="1" t="s">
        <v>495</v>
      </c>
      <c r="D2054" s="22">
        <v>75</v>
      </c>
      <c r="E2054" s="9" t="s">
        <v>8496</v>
      </c>
      <c r="F2054" s="26">
        <v>6</v>
      </c>
      <c r="G2054" s="12" t="s">
        <v>8253</v>
      </c>
      <c r="H2054" s="12" t="s">
        <v>954</v>
      </c>
      <c r="I2054" s="12" t="s">
        <v>8254</v>
      </c>
      <c r="J2054" s="12" t="s">
        <v>8255</v>
      </c>
      <c r="K2054" s="12" t="s">
        <v>8256</v>
      </c>
      <c r="L2054" s="12" t="s">
        <v>10</v>
      </c>
    </row>
    <row r="2055" spans="1:12" ht="15" customHeight="1" x14ac:dyDescent="0.25">
      <c r="A2055" s="1" t="s">
        <v>12</v>
      </c>
      <c r="B2055" s="1">
        <v>3</v>
      </c>
      <c r="C2055" s="1" t="s">
        <v>495</v>
      </c>
      <c r="D2055" s="22">
        <v>75</v>
      </c>
      <c r="E2055" s="9" t="s">
        <v>8496</v>
      </c>
      <c r="F2055" s="26">
        <v>7</v>
      </c>
      <c r="G2055" s="12" t="s">
        <v>8257</v>
      </c>
      <c r="H2055" s="12" t="s">
        <v>8258</v>
      </c>
      <c r="I2055" s="12" t="s">
        <v>8259</v>
      </c>
      <c r="J2055" s="12" t="s">
        <v>8260</v>
      </c>
      <c r="K2055" s="12" t="s">
        <v>8261</v>
      </c>
      <c r="L2055" s="12" t="s">
        <v>8</v>
      </c>
    </row>
    <row r="2056" spans="1:12" ht="15" customHeight="1" x14ac:dyDescent="0.25">
      <c r="A2056" s="1" t="s">
        <v>12</v>
      </c>
      <c r="B2056" s="1">
        <v>6</v>
      </c>
      <c r="C2056" s="1" t="s">
        <v>8374</v>
      </c>
      <c r="D2056" s="22">
        <v>75</v>
      </c>
      <c r="E2056" s="9" t="s">
        <v>8496</v>
      </c>
      <c r="F2056" s="26">
        <v>16</v>
      </c>
      <c r="G2056" s="12" t="s">
        <v>8262</v>
      </c>
      <c r="H2056" s="12" t="s">
        <v>8263</v>
      </c>
      <c r="I2056" s="12" t="s">
        <v>8264</v>
      </c>
      <c r="J2056" s="12" t="s">
        <v>8265</v>
      </c>
      <c r="K2056" s="12" t="s">
        <v>8266</v>
      </c>
      <c r="L2056" s="12" t="s">
        <v>7</v>
      </c>
    </row>
    <row r="2057" spans="1:12" ht="15" customHeight="1" x14ac:dyDescent="0.25">
      <c r="A2057" s="1" t="s">
        <v>12</v>
      </c>
      <c r="B2057" s="1">
        <v>6</v>
      </c>
      <c r="C2057" s="1" t="s">
        <v>8374</v>
      </c>
      <c r="D2057" s="22">
        <v>75</v>
      </c>
      <c r="E2057" s="9" t="s">
        <v>8496</v>
      </c>
      <c r="F2057" s="26">
        <v>17</v>
      </c>
      <c r="G2057" s="12" t="s">
        <v>8267</v>
      </c>
      <c r="H2057" s="12" t="s">
        <v>8268</v>
      </c>
      <c r="I2057" s="12" t="s">
        <v>8269</v>
      </c>
      <c r="J2057" s="12" t="s">
        <v>8270</v>
      </c>
      <c r="K2057" s="12" t="s">
        <v>8118</v>
      </c>
      <c r="L2057" s="12" t="s">
        <v>9</v>
      </c>
    </row>
    <row r="2058" spans="1:12" ht="15" customHeight="1" x14ac:dyDescent="0.25">
      <c r="A2058" s="1" t="s">
        <v>12</v>
      </c>
      <c r="B2058" s="1">
        <v>6</v>
      </c>
      <c r="C2058" s="1" t="s">
        <v>8374</v>
      </c>
      <c r="D2058" s="22">
        <v>75</v>
      </c>
      <c r="E2058" s="9" t="s">
        <v>8496</v>
      </c>
      <c r="F2058" s="26">
        <v>18</v>
      </c>
      <c r="G2058" s="12" t="s">
        <v>8271</v>
      </c>
      <c r="H2058" s="12" t="s">
        <v>8272</v>
      </c>
      <c r="I2058" s="12" t="s">
        <v>8273</v>
      </c>
      <c r="J2058" s="12" t="s">
        <v>8274</v>
      </c>
      <c r="K2058" s="12" t="s">
        <v>8249</v>
      </c>
      <c r="L2058" s="12" t="s">
        <v>9</v>
      </c>
    </row>
    <row r="2059" spans="1:12" ht="15" customHeight="1" x14ac:dyDescent="0.25">
      <c r="A2059" s="1" t="s">
        <v>12</v>
      </c>
      <c r="B2059" s="1">
        <v>2</v>
      </c>
      <c r="C2059" s="1" t="s">
        <v>398</v>
      </c>
      <c r="D2059" s="22">
        <v>75</v>
      </c>
      <c r="E2059" s="9" t="s">
        <v>8496</v>
      </c>
      <c r="F2059" s="26">
        <v>19</v>
      </c>
      <c r="G2059" s="12" t="s">
        <v>8275</v>
      </c>
      <c r="H2059" s="12" t="s">
        <v>2552</v>
      </c>
      <c r="I2059" s="12" t="s">
        <v>2553</v>
      </c>
      <c r="J2059" s="12" t="s">
        <v>2554</v>
      </c>
      <c r="K2059" s="12" t="s">
        <v>8155</v>
      </c>
      <c r="L2059" s="12" t="s">
        <v>7</v>
      </c>
    </row>
    <row r="2060" spans="1:12" ht="15" customHeight="1" x14ac:dyDescent="0.25">
      <c r="A2060" s="1" t="s">
        <v>12</v>
      </c>
      <c r="B2060" s="1">
        <v>5</v>
      </c>
      <c r="C2060" s="1" t="s">
        <v>1111</v>
      </c>
      <c r="D2060" s="22">
        <v>75</v>
      </c>
      <c r="E2060" s="9" t="s">
        <v>8496</v>
      </c>
      <c r="F2060" s="26">
        <v>20</v>
      </c>
      <c r="G2060" s="12" t="s">
        <v>8276</v>
      </c>
      <c r="H2060" s="12" t="s">
        <v>8277</v>
      </c>
      <c r="I2060" s="12" t="s">
        <v>8278</v>
      </c>
      <c r="J2060" s="12" t="s">
        <v>8279</v>
      </c>
      <c r="K2060" s="12" t="s">
        <v>8155</v>
      </c>
      <c r="L2060" s="12" t="s">
        <v>8</v>
      </c>
    </row>
    <row r="2061" spans="1:12" ht="15" customHeight="1" x14ac:dyDescent="0.25">
      <c r="A2061" s="1" t="s">
        <v>12</v>
      </c>
      <c r="B2061" s="1">
        <v>5</v>
      </c>
      <c r="C2061" s="1" t="s">
        <v>1111</v>
      </c>
      <c r="D2061" s="22">
        <v>75</v>
      </c>
      <c r="E2061" s="9" t="s">
        <v>8496</v>
      </c>
      <c r="F2061" s="26">
        <v>21</v>
      </c>
      <c r="G2061" s="12" t="s">
        <v>8280</v>
      </c>
      <c r="H2061" s="12" t="s">
        <v>8281</v>
      </c>
      <c r="I2061" s="12" t="s">
        <v>8282</v>
      </c>
      <c r="J2061" s="12" t="s">
        <v>8283</v>
      </c>
      <c r="K2061" s="12" t="s">
        <v>8284</v>
      </c>
      <c r="L2061" s="12" t="s">
        <v>7</v>
      </c>
    </row>
    <row r="2062" spans="1:12" ht="15" customHeight="1" x14ac:dyDescent="0.25">
      <c r="A2062" s="1" t="s">
        <v>12</v>
      </c>
      <c r="B2062" s="1">
        <v>5</v>
      </c>
      <c r="C2062" s="1" t="s">
        <v>1111</v>
      </c>
      <c r="D2062" s="22">
        <v>75</v>
      </c>
      <c r="E2062" s="9" t="s">
        <v>8496</v>
      </c>
      <c r="F2062" s="26">
        <v>23</v>
      </c>
      <c r="G2062" s="12" t="s">
        <v>8285</v>
      </c>
      <c r="H2062" s="12" t="s">
        <v>8286</v>
      </c>
      <c r="I2062" s="12" t="s">
        <v>8287</v>
      </c>
      <c r="J2062" s="12" t="s">
        <v>8288</v>
      </c>
      <c r="K2062" s="12" t="s">
        <v>8118</v>
      </c>
      <c r="L2062" s="12" t="s">
        <v>8</v>
      </c>
    </row>
    <row r="2063" spans="1:12" ht="15" customHeight="1" x14ac:dyDescent="0.25">
      <c r="A2063" s="1" t="s">
        <v>12</v>
      </c>
      <c r="B2063" s="1">
        <v>7</v>
      </c>
      <c r="C2063" s="9" t="s">
        <v>7377</v>
      </c>
      <c r="D2063" s="22">
        <v>75</v>
      </c>
      <c r="E2063" s="9" t="s">
        <v>8496</v>
      </c>
      <c r="F2063" s="26">
        <v>28</v>
      </c>
      <c r="G2063" s="12" t="s">
        <v>8289</v>
      </c>
      <c r="H2063" s="12" t="s">
        <v>8290</v>
      </c>
      <c r="I2063" s="12" t="s">
        <v>8291</v>
      </c>
      <c r="J2063" s="12" t="s">
        <v>8292</v>
      </c>
      <c r="K2063" s="12" t="s">
        <v>8293</v>
      </c>
      <c r="L2063" s="12" t="s">
        <v>9</v>
      </c>
    </row>
    <row r="2064" spans="1:12" ht="15" customHeight="1" x14ac:dyDescent="0.25">
      <c r="A2064" s="1" t="s">
        <v>12</v>
      </c>
      <c r="B2064" s="1">
        <v>3</v>
      </c>
      <c r="C2064" s="1" t="s">
        <v>495</v>
      </c>
      <c r="D2064" s="22">
        <v>75</v>
      </c>
      <c r="E2064" s="9" t="s">
        <v>8496</v>
      </c>
      <c r="F2064" s="26">
        <v>37</v>
      </c>
      <c r="G2064" s="12" t="s">
        <v>8313</v>
      </c>
      <c r="H2064" s="12" t="s">
        <v>8314</v>
      </c>
      <c r="I2064" s="12" t="s">
        <v>8323</v>
      </c>
      <c r="J2064" s="12" t="s">
        <v>8324</v>
      </c>
      <c r="K2064" s="12" t="s">
        <v>8315</v>
      </c>
      <c r="L2064" s="12" t="s">
        <v>9</v>
      </c>
    </row>
    <row r="2065" spans="1:12" ht="15" customHeight="1" x14ac:dyDescent="0.25">
      <c r="A2065" s="1" t="s">
        <v>12</v>
      </c>
      <c r="B2065" s="1">
        <v>3</v>
      </c>
      <c r="C2065" s="1" t="s">
        <v>495</v>
      </c>
      <c r="D2065" s="22">
        <v>75</v>
      </c>
      <c r="E2065" s="9" t="s">
        <v>8496</v>
      </c>
      <c r="F2065" s="26">
        <v>38</v>
      </c>
      <c r="G2065" s="12" t="s">
        <v>8325</v>
      </c>
      <c r="H2065" s="12" t="s">
        <v>8326</v>
      </c>
      <c r="I2065" s="12" t="s">
        <v>8327</v>
      </c>
      <c r="J2065" s="12" t="s">
        <v>8328</v>
      </c>
      <c r="K2065" s="12" t="s">
        <v>8329</v>
      </c>
      <c r="L2065" s="12" t="s">
        <v>7</v>
      </c>
    </row>
    <row r="2066" spans="1:12" ht="15" customHeight="1" x14ac:dyDescent="0.25">
      <c r="A2066" s="1" t="s">
        <v>12</v>
      </c>
      <c r="B2066" s="1">
        <v>3</v>
      </c>
      <c r="C2066" s="1" t="s">
        <v>495</v>
      </c>
      <c r="D2066" s="22">
        <v>75</v>
      </c>
      <c r="E2066" s="9" t="s">
        <v>8496</v>
      </c>
      <c r="F2066" s="26">
        <v>39</v>
      </c>
      <c r="G2066" s="12" t="s">
        <v>8330</v>
      </c>
      <c r="H2066" s="12" t="s">
        <v>8316</v>
      </c>
      <c r="I2066" s="12" t="s">
        <v>8317</v>
      </c>
      <c r="J2066" s="12" t="s">
        <v>8331</v>
      </c>
      <c r="K2066" s="12" t="s">
        <v>8332</v>
      </c>
      <c r="L2066" s="12" t="s">
        <v>10</v>
      </c>
    </row>
    <row r="2067" spans="1:12" ht="15" customHeight="1" x14ac:dyDescent="0.25">
      <c r="A2067" s="1" t="s">
        <v>12</v>
      </c>
      <c r="B2067" s="1">
        <v>3</v>
      </c>
      <c r="C2067" s="1" t="s">
        <v>495</v>
      </c>
      <c r="D2067" s="22">
        <v>75</v>
      </c>
      <c r="E2067" s="9" t="s">
        <v>8496</v>
      </c>
      <c r="F2067" s="26">
        <v>40</v>
      </c>
      <c r="G2067" s="12" t="s">
        <v>8333</v>
      </c>
      <c r="H2067" s="12" t="s">
        <v>8318</v>
      </c>
      <c r="I2067" s="12" t="s">
        <v>8334</v>
      </c>
      <c r="J2067" s="12" t="s">
        <v>8319</v>
      </c>
      <c r="K2067" s="12" t="s">
        <v>8320</v>
      </c>
      <c r="L2067" s="12" t="s">
        <v>10</v>
      </c>
    </row>
    <row r="2068" spans="1:12" ht="15" customHeight="1" x14ac:dyDescent="0.25">
      <c r="A2068" s="1" t="s">
        <v>12</v>
      </c>
      <c r="B2068" s="1">
        <v>3</v>
      </c>
      <c r="C2068" s="1" t="s">
        <v>495</v>
      </c>
      <c r="D2068" s="22">
        <v>75</v>
      </c>
      <c r="E2068" s="9" t="s">
        <v>8496</v>
      </c>
      <c r="F2068" s="26">
        <v>41</v>
      </c>
      <c r="G2068" s="12" t="s">
        <v>8335</v>
      </c>
      <c r="H2068" s="12" t="s">
        <v>8321</v>
      </c>
      <c r="I2068" s="12" t="s">
        <v>8336</v>
      </c>
      <c r="J2068" s="12" t="s">
        <v>8337</v>
      </c>
      <c r="K2068" s="12" t="s">
        <v>8338</v>
      </c>
      <c r="L2068" s="12" t="s">
        <v>9</v>
      </c>
    </row>
    <row r="2069" spans="1:12" ht="15" customHeight="1" x14ac:dyDescent="0.25">
      <c r="A2069" s="1" t="s">
        <v>12</v>
      </c>
      <c r="B2069" s="1">
        <v>3</v>
      </c>
      <c r="C2069" s="1" t="s">
        <v>495</v>
      </c>
      <c r="D2069" s="22">
        <v>75</v>
      </c>
      <c r="E2069" s="9" t="s">
        <v>8496</v>
      </c>
      <c r="F2069" s="26">
        <v>42</v>
      </c>
      <c r="G2069" s="12" t="s">
        <v>8339</v>
      </c>
      <c r="H2069" s="12" t="s">
        <v>8340</v>
      </c>
      <c r="I2069" s="12" t="s">
        <v>8341</v>
      </c>
      <c r="J2069" s="12" t="s">
        <v>8342</v>
      </c>
      <c r="K2069" s="12" t="s">
        <v>8343</v>
      </c>
      <c r="L2069" s="12" t="s">
        <v>8</v>
      </c>
    </row>
    <row r="2070" spans="1:12" ht="15" customHeight="1" x14ac:dyDescent="0.25">
      <c r="A2070" s="1" t="s">
        <v>12</v>
      </c>
      <c r="B2070" s="1">
        <v>3</v>
      </c>
      <c r="C2070" s="1" t="s">
        <v>495</v>
      </c>
      <c r="D2070" s="22">
        <v>75</v>
      </c>
      <c r="E2070" s="9" t="s">
        <v>8496</v>
      </c>
      <c r="F2070" s="26">
        <v>43</v>
      </c>
      <c r="G2070" s="12" t="s">
        <v>8344</v>
      </c>
      <c r="H2070" s="12" t="s">
        <v>8345</v>
      </c>
      <c r="I2070" s="12" t="s">
        <v>8322</v>
      </c>
      <c r="J2070" s="12" t="s">
        <v>8346</v>
      </c>
      <c r="K2070" s="12" t="s">
        <v>8347</v>
      </c>
      <c r="L2070" s="12" t="s">
        <v>10</v>
      </c>
    </row>
    <row r="2071" spans="1:12" ht="15" customHeight="1" x14ac:dyDescent="0.25">
      <c r="A2071" s="1" t="s">
        <v>12</v>
      </c>
      <c r="B2071" s="1">
        <v>3</v>
      </c>
      <c r="C2071" s="1" t="s">
        <v>495</v>
      </c>
      <c r="D2071" s="22">
        <v>75</v>
      </c>
      <c r="E2071" s="9" t="s">
        <v>8496</v>
      </c>
      <c r="F2071" s="26">
        <v>44</v>
      </c>
      <c r="G2071" s="12" t="s">
        <v>8348</v>
      </c>
      <c r="H2071" s="12" t="s">
        <v>8349</v>
      </c>
      <c r="I2071" s="12" t="s">
        <v>8350</v>
      </c>
      <c r="J2071" s="12" t="s">
        <v>8351</v>
      </c>
      <c r="K2071" s="12" t="s">
        <v>8352</v>
      </c>
      <c r="L2071" s="12" t="s">
        <v>8</v>
      </c>
    </row>
    <row r="2072" spans="1:12" ht="15" customHeight="1" x14ac:dyDescent="0.25">
      <c r="A2072" s="1" t="s">
        <v>12</v>
      </c>
      <c r="B2072" s="1">
        <v>3</v>
      </c>
      <c r="C2072" s="1" t="s">
        <v>495</v>
      </c>
      <c r="D2072" s="22">
        <v>75</v>
      </c>
      <c r="E2072" s="9" t="s">
        <v>8496</v>
      </c>
      <c r="F2072" s="26">
        <v>46</v>
      </c>
      <c r="G2072" s="12" t="s">
        <v>8353</v>
      </c>
      <c r="H2072" s="12" t="s">
        <v>8354</v>
      </c>
      <c r="I2072" s="12" t="s">
        <v>8355</v>
      </c>
      <c r="J2072" s="12" t="s">
        <v>8356</v>
      </c>
      <c r="K2072" s="12" t="s">
        <v>8357</v>
      </c>
      <c r="L2072" s="12" t="s">
        <v>8</v>
      </c>
    </row>
    <row r="2073" spans="1:12" ht="15" customHeight="1" x14ac:dyDescent="0.25">
      <c r="A2073" s="1" t="s">
        <v>12</v>
      </c>
      <c r="B2073" s="1">
        <v>3</v>
      </c>
      <c r="C2073" s="1" t="s">
        <v>495</v>
      </c>
      <c r="D2073" s="22">
        <v>75</v>
      </c>
      <c r="E2073" s="9" t="s">
        <v>8496</v>
      </c>
      <c r="F2073" s="26">
        <v>47</v>
      </c>
      <c r="G2073" s="12" t="s">
        <v>8358</v>
      </c>
      <c r="H2073" s="12" t="s">
        <v>8359</v>
      </c>
      <c r="I2073" s="12" t="s">
        <v>8360</v>
      </c>
      <c r="J2073" s="12" t="s">
        <v>8361</v>
      </c>
      <c r="K2073" s="12" t="s">
        <v>8362</v>
      </c>
      <c r="L2073" s="12" t="s">
        <v>9</v>
      </c>
    </row>
    <row r="2074" spans="1:12" ht="15" customHeight="1" x14ac:dyDescent="0.25">
      <c r="A2074" s="1" t="s">
        <v>12</v>
      </c>
      <c r="B2074" s="1">
        <v>3</v>
      </c>
      <c r="C2074" s="1" t="s">
        <v>495</v>
      </c>
      <c r="D2074" s="22">
        <v>75</v>
      </c>
      <c r="E2074" s="9" t="s">
        <v>8496</v>
      </c>
      <c r="F2074" s="26">
        <v>48</v>
      </c>
      <c r="G2074" s="12" t="s">
        <v>8363</v>
      </c>
      <c r="H2074" s="12" t="s">
        <v>8364</v>
      </c>
      <c r="I2074" s="12" t="s">
        <v>8365</v>
      </c>
      <c r="J2074" s="12" t="s">
        <v>8366</v>
      </c>
      <c r="K2074" s="12" t="s">
        <v>8367</v>
      </c>
      <c r="L2074" s="12" t="s">
        <v>10</v>
      </c>
    </row>
    <row r="2075" spans="1:12" ht="15" customHeight="1" x14ac:dyDescent="0.25">
      <c r="A2075" s="1" t="s">
        <v>12</v>
      </c>
      <c r="B2075" s="1">
        <v>3</v>
      </c>
      <c r="C2075" s="1" t="s">
        <v>495</v>
      </c>
      <c r="D2075" s="22">
        <v>75</v>
      </c>
      <c r="E2075" s="9" t="s">
        <v>8496</v>
      </c>
      <c r="F2075" s="26" t="s">
        <v>8231</v>
      </c>
      <c r="G2075" s="12" t="s">
        <v>8368</v>
      </c>
      <c r="H2075" s="12" t="s">
        <v>8369</v>
      </c>
      <c r="I2075" s="12" t="s">
        <v>8370</v>
      </c>
      <c r="J2075" s="12" t="s">
        <v>8371</v>
      </c>
      <c r="K2075" s="12" t="s">
        <v>8372</v>
      </c>
      <c r="L2075" s="12" t="s">
        <v>7</v>
      </c>
    </row>
    <row r="2076" spans="1:12" ht="15" customHeight="1" x14ac:dyDescent="0.25">
      <c r="A2076" s="1" t="s">
        <v>12</v>
      </c>
      <c r="B2076" s="1">
        <v>3</v>
      </c>
      <c r="C2076" s="1" t="s">
        <v>495</v>
      </c>
      <c r="D2076" s="22">
        <v>76</v>
      </c>
      <c r="E2076" s="9" t="s">
        <v>8497</v>
      </c>
      <c r="F2076" s="26">
        <v>6</v>
      </c>
      <c r="G2076" s="5" t="s">
        <v>8294</v>
      </c>
      <c r="H2076" s="5" t="s">
        <v>8295</v>
      </c>
      <c r="I2076" s="5" t="s">
        <v>8296</v>
      </c>
      <c r="J2076" s="5" t="s">
        <v>8297</v>
      </c>
      <c r="K2076" s="5" t="s">
        <v>8298</v>
      </c>
      <c r="L2076" s="5" t="s">
        <v>10</v>
      </c>
    </row>
    <row r="2077" spans="1:12" ht="15" customHeight="1" x14ac:dyDescent="0.25">
      <c r="A2077" s="9" t="s">
        <v>2590</v>
      </c>
      <c r="B2077">
        <v>27</v>
      </c>
      <c r="C2077" s="9" t="s">
        <v>7706</v>
      </c>
      <c r="D2077" s="22">
        <v>77</v>
      </c>
      <c r="E2077" s="9" t="s">
        <v>8999</v>
      </c>
      <c r="F2077" s="27">
        <v>1</v>
      </c>
      <c r="G2077" s="17" t="s">
        <v>8388</v>
      </c>
      <c r="H2077" s="17" t="s">
        <v>8389</v>
      </c>
      <c r="I2077" s="17" t="s">
        <v>8390</v>
      </c>
      <c r="J2077" s="17" t="s">
        <v>8391</v>
      </c>
      <c r="K2077" s="17"/>
      <c r="L2077" s="17" t="s">
        <v>7</v>
      </c>
    </row>
    <row r="2078" spans="1:12" ht="15" customHeight="1" x14ac:dyDescent="0.25">
      <c r="A2078" s="9" t="s">
        <v>2590</v>
      </c>
      <c r="B2078">
        <f>_xlfn.XLOOKUP(C2078,Temas!C:C,Temas!B:B)</f>
        <v>25</v>
      </c>
      <c r="C2078" t="s">
        <v>9159</v>
      </c>
      <c r="D2078" s="22">
        <v>77</v>
      </c>
      <c r="E2078" s="9" t="s">
        <v>8999</v>
      </c>
      <c r="F2078" s="27">
        <v>2</v>
      </c>
      <c r="G2078" s="17" t="s">
        <v>8392</v>
      </c>
      <c r="H2078" s="17" t="s">
        <v>8393</v>
      </c>
      <c r="I2078" s="17" t="s">
        <v>8394</v>
      </c>
      <c r="J2078" s="17" t="s">
        <v>8395</v>
      </c>
      <c r="K2078" s="17"/>
      <c r="L2078" s="17" t="s">
        <v>8</v>
      </c>
    </row>
    <row r="2079" spans="1:12" ht="15" customHeight="1" x14ac:dyDescent="0.25">
      <c r="A2079" s="1" t="s">
        <v>12</v>
      </c>
      <c r="B2079">
        <v>8</v>
      </c>
      <c r="C2079" s="9" t="s">
        <v>8066</v>
      </c>
      <c r="D2079" s="22">
        <v>77</v>
      </c>
      <c r="E2079" s="9" t="s">
        <v>8999</v>
      </c>
      <c r="F2079" s="27">
        <v>3</v>
      </c>
      <c r="G2079" s="17" t="s">
        <v>8396</v>
      </c>
      <c r="H2079" s="17" t="s">
        <v>8397</v>
      </c>
      <c r="I2079" s="17" t="s">
        <v>8398</v>
      </c>
      <c r="J2079" s="17" t="s">
        <v>8399</v>
      </c>
      <c r="K2079" s="17"/>
      <c r="L2079" s="17" t="s">
        <v>8</v>
      </c>
    </row>
    <row r="2080" spans="1:12" ht="15" customHeight="1" x14ac:dyDescent="0.25">
      <c r="A2080" s="9" t="s">
        <v>2590</v>
      </c>
      <c r="B2080">
        <f>_xlfn.XLOOKUP(C2080,Temas!C:C,Temas!B:B)</f>
        <v>25</v>
      </c>
      <c r="C2080" t="s">
        <v>9159</v>
      </c>
      <c r="D2080" s="22">
        <v>77</v>
      </c>
      <c r="E2080" s="9" t="s">
        <v>8999</v>
      </c>
      <c r="F2080" s="27">
        <v>4</v>
      </c>
      <c r="G2080" s="17" t="s">
        <v>8400</v>
      </c>
      <c r="H2080" s="17" t="s">
        <v>8401</v>
      </c>
      <c r="I2080" s="17" t="s">
        <v>8402</v>
      </c>
      <c r="J2080" s="17" t="s">
        <v>8403</v>
      </c>
      <c r="K2080" s="17"/>
      <c r="L2080" s="17" t="s">
        <v>7</v>
      </c>
    </row>
    <row r="2081" spans="1:12" ht="15" customHeight="1" x14ac:dyDescent="0.25">
      <c r="A2081" s="1" t="s">
        <v>12</v>
      </c>
      <c r="B2081">
        <v>6</v>
      </c>
      <c r="C2081" s="1" t="s">
        <v>8374</v>
      </c>
      <c r="D2081" s="22">
        <v>77</v>
      </c>
      <c r="E2081" s="9" t="s">
        <v>8999</v>
      </c>
      <c r="F2081" s="27">
        <v>5</v>
      </c>
      <c r="G2081" s="17" t="s">
        <v>8404</v>
      </c>
      <c r="H2081" s="17" t="s">
        <v>8405</v>
      </c>
      <c r="I2081" s="17" t="s">
        <v>8406</v>
      </c>
      <c r="J2081" s="17" t="s">
        <v>8407</v>
      </c>
      <c r="K2081" s="17"/>
      <c r="L2081" s="17" t="s">
        <v>8</v>
      </c>
    </row>
    <row r="2082" spans="1:12" ht="15" customHeight="1" x14ac:dyDescent="0.25">
      <c r="A2082" s="9" t="s">
        <v>2590</v>
      </c>
      <c r="B2082">
        <v>12</v>
      </c>
      <c r="C2082" s="9" t="s">
        <v>3352</v>
      </c>
      <c r="D2082" s="22">
        <v>77</v>
      </c>
      <c r="E2082" s="9" t="s">
        <v>8999</v>
      </c>
      <c r="F2082" s="27">
        <v>6</v>
      </c>
      <c r="G2082" s="17" t="s">
        <v>8408</v>
      </c>
      <c r="H2082" s="17" t="s">
        <v>8409</v>
      </c>
      <c r="I2082" s="17" t="s">
        <v>8410</v>
      </c>
      <c r="J2082" s="17" t="s">
        <v>8411</v>
      </c>
      <c r="K2082" s="17"/>
      <c r="L2082" s="17" t="s">
        <v>7</v>
      </c>
    </row>
    <row r="2083" spans="1:12" ht="15" customHeight="1" x14ac:dyDescent="0.25">
      <c r="A2083" s="9" t="s">
        <v>2590</v>
      </c>
      <c r="B2083">
        <v>12</v>
      </c>
      <c r="C2083" s="9" t="s">
        <v>3352</v>
      </c>
      <c r="D2083" s="22">
        <v>77</v>
      </c>
      <c r="E2083" s="9" t="s">
        <v>8999</v>
      </c>
      <c r="F2083" s="27">
        <v>7</v>
      </c>
      <c r="G2083" s="17" t="s">
        <v>8412</v>
      </c>
      <c r="H2083" s="19" t="s">
        <v>8989</v>
      </c>
      <c r="I2083" s="17" t="s">
        <v>8413</v>
      </c>
      <c r="J2083" s="17" t="s">
        <v>3827</v>
      </c>
      <c r="K2083" s="17"/>
      <c r="L2083" s="17" t="s">
        <v>9</v>
      </c>
    </row>
    <row r="2084" spans="1:12" ht="15" customHeight="1" x14ac:dyDescent="0.25">
      <c r="A2084" s="9" t="s">
        <v>2590</v>
      </c>
      <c r="B2084">
        <v>35</v>
      </c>
      <c r="C2084" s="9" t="s">
        <v>8490</v>
      </c>
      <c r="D2084" s="22">
        <v>77</v>
      </c>
      <c r="E2084" s="9" t="s">
        <v>8999</v>
      </c>
      <c r="F2084" s="27">
        <v>8</v>
      </c>
      <c r="G2084" s="17" t="s">
        <v>8414</v>
      </c>
      <c r="H2084" s="17" t="s">
        <v>8415</v>
      </c>
      <c r="I2084" s="17" t="s">
        <v>8416</v>
      </c>
      <c r="J2084" s="17" t="s">
        <v>8417</v>
      </c>
      <c r="K2084" s="17"/>
      <c r="L2084" s="17" t="s">
        <v>8</v>
      </c>
    </row>
    <row r="2085" spans="1:12" ht="15" customHeight="1" x14ac:dyDescent="0.25">
      <c r="A2085" s="9" t="s">
        <v>2590</v>
      </c>
      <c r="B2085">
        <v>14</v>
      </c>
      <c r="C2085" s="9" t="s">
        <v>4241</v>
      </c>
      <c r="D2085" s="22">
        <v>77</v>
      </c>
      <c r="E2085" s="9" t="s">
        <v>8999</v>
      </c>
      <c r="F2085" s="27">
        <v>9</v>
      </c>
      <c r="G2085" s="17" t="s">
        <v>8418</v>
      </c>
      <c r="H2085" s="17" t="s">
        <v>8419</v>
      </c>
      <c r="I2085" s="17" t="s">
        <v>8420</v>
      </c>
      <c r="J2085" s="17" t="s">
        <v>8421</v>
      </c>
      <c r="K2085" s="17"/>
      <c r="L2085" s="17" t="s">
        <v>7</v>
      </c>
    </row>
    <row r="2086" spans="1:12" ht="15" customHeight="1" x14ac:dyDescent="0.25">
      <c r="A2086" s="9" t="s">
        <v>2590</v>
      </c>
      <c r="B2086">
        <v>10</v>
      </c>
      <c r="C2086" s="9" t="s">
        <v>2591</v>
      </c>
      <c r="D2086" s="22">
        <v>77</v>
      </c>
      <c r="E2086" s="9" t="s">
        <v>8999</v>
      </c>
      <c r="F2086" s="27">
        <v>10</v>
      </c>
      <c r="G2086" s="17" t="s">
        <v>8422</v>
      </c>
      <c r="H2086" s="17" t="s">
        <v>2837</v>
      </c>
      <c r="I2086" s="17" t="s">
        <v>2838</v>
      </c>
      <c r="J2086" s="17" t="s">
        <v>8423</v>
      </c>
      <c r="K2086" s="17"/>
      <c r="L2086" s="17" t="s">
        <v>8</v>
      </c>
    </row>
    <row r="2087" spans="1:12" ht="15" customHeight="1" x14ac:dyDescent="0.25">
      <c r="A2087" s="9" t="s">
        <v>2590</v>
      </c>
      <c r="B2087">
        <v>9</v>
      </c>
      <c r="C2087" s="9" t="s">
        <v>8378</v>
      </c>
      <c r="D2087" s="22">
        <v>77</v>
      </c>
      <c r="E2087" s="9" t="s">
        <v>8999</v>
      </c>
      <c r="F2087" s="27">
        <v>11</v>
      </c>
      <c r="G2087" s="17" t="s">
        <v>8424</v>
      </c>
      <c r="H2087" s="17" t="s">
        <v>8425</v>
      </c>
      <c r="I2087" s="17" t="s">
        <v>8426</v>
      </c>
      <c r="J2087" s="17" t="s">
        <v>8427</v>
      </c>
      <c r="K2087" s="17"/>
      <c r="L2087" s="17" t="s">
        <v>7</v>
      </c>
    </row>
    <row r="2088" spans="1:12" ht="15" customHeight="1" x14ac:dyDescent="0.25">
      <c r="A2088" s="9" t="s">
        <v>2590</v>
      </c>
      <c r="B2088">
        <v>9</v>
      </c>
      <c r="C2088" s="9" t="s">
        <v>8378</v>
      </c>
      <c r="D2088" s="22">
        <v>77</v>
      </c>
      <c r="E2088" s="9" t="s">
        <v>8999</v>
      </c>
      <c r="F2088" s="27">
        <v>12</v>
      </c>
      <c r="G2088" s="17" t="s">
        <v>8428</v>
      </c>
      <c r="H2088" s="17" t="s">
        <v>8429</v>
      </c>
      <c r="I2088" s="17" t="s">
        <v>8430</v>
      </c>
      <c r="J2088" s="17" t="s">
        <v>8431</v>
      </c>
      <c r="K2088" s="17"/>
      <c r="L2088" s="17" t="s">
        <v>9</v>
      </c>
    </row>
    <row r="2089" spans="1:12" ht="15" customHeight="1" x14ac:dyDescent="0.25">
      <c r="A2089" s="9" t="s">
        <v>2590</v>
      </c>
      <c r="B2089">
        <v>18</v>
      </c>
      <c r="C2089" s="9" t="s">
        <v>7706</v>
      </c>
      <c r="D2089" s="22">
        <v>77</v>
      </c>
      <c r="E2089" s="9" t="s">
        <v>8999</v>
      </c>
      <c r="F2089" s="27">
        <v>13</v>
      </c>
      <c r="G2089" s="17" t="s">
        <v>8432</v>
      </c>
      <c r="H2089" s="17" t="s">
        <v>8433</v>
      </c>
      <c r="I2089" s="17" t="s">
        <v>8434</v>
      </c>
      <c r="J2089" s="17" t="s">
        <v>8435</v>
      </c>
      <c r="K2089" s="17"/>
      <c r="L2089" s="17" t="s">
        <v>7</v>
      </c>
    </row>
    <row r="2090" spans="1:12" ht="15" customHeight="1" x14ac:dyDescent="0.25">
      <c r="A2090" s="9" t="s">
        <v>2590</v>
      </c>
      <c r="B2090">
        <v>9</v>
      </c>
      <c r="C2090" s="9" t="s">
        <v>8378</v>
      </c>
      <c r="D2090" s="22">
        <v>77</v>
      </c>
      <c r="E2090" s="9" t="s">
        <v>8999</v>
      </c>
      <c r="F2090" s="27">
        <v>14</v>
      </c>
      <c r="G2090" s="17" t="s">
        <v>8436</v>
      </c>
      <c r="H2090" s="17" t="s">
        <v>8437</v>
      </c>
      <c r="I2090" s="17" t="s">
        <v>8438</v>
      </c>
      <c r="J2090" s="17" t="s">
        <v>8439</v>
      </c>
      <c r="K2090" s="17"/>
      <c r="L2090" s="17" t="s">
        <v>8</v>
      </c>
    </row>
    <row r="2091" spans="1:12" ht="15" customHeight="1" x14ac:dyDescent="0.25">
      <c r="A2091" s="9" t="s">
        <v>2590</v>
      </c>
      <c r="B2091">
        <v>9</v>
      </c>
      <c r="C2091" s="9" t="s">
        <v>8378</v>
      </c>
      <c r="D2091" s="22">
        <v>77</v>
      </c>
      <c r="E2091" s="9" t="s">
        <v>8999</v>
      </c>
      <c r="F2091" s="27">
        <v>15</v>
      </c>
      <c r="G2091" s="17" t="s">
        <v>8440</v>
      </c>
      <c r="H2091" s="17" t="s">
        <v>8441</v>
      </c>
      <c r="I2091" s="17" t="s">
        <v>8442</v>
      </c>
      <c r="J2091" s="17" t="s">
        <v>8443</v>
      </c>
      <c r="K2091" s="17"/>
      <c r="L2091" s="17" t="s">
        <v>9</v>
      </c>
    </row>
    <row r="2092" spans="1:12" ht="15" customHeight="1" x14ac:dyDescent="0.25">
      <c r="A2092" s="9" t="s">
        <v>2590</v>
      </c>
      <c r="B2092">
        <v>18</v>
      </c>
      <c r="C2092" s="9" t="s">
        <v>5448</v>
      </c>
      <c r="D2092" s="22">
        <v>77</v>
      </c>
      <c r="E2092" s="9" t="s">
        <v>8999</v>
      </c>
      <c r="F2092" s="27">
        <v>16</v>
      </c>
      <c r="G2092" s="17" t="s">
        <v>8444</v>
      </c>
      <c r="H2092" s="17" t="s">
        <v>8445</v>
      </c>
      <c r="I2092" s="17" t="s">
        <v>8446</v>
      </c>
      <c r="J2092" s="17" t="s">
        <v>8447</v>
      </c>
      <c r="K2092" s="17"/>
      <c r="L2092" s="17" t="s">
        <v>7</v>
      </c>
    </row>
    <row r="2093" spans="1:12" ht="15" customHeight="1" x14ac:dyDescent="0.25">
      <c r="A2093" s="9" t="s">
        <v>2590</v>
      </c>
      <c r="B2093">
        <v>18</v>
      </c>
      <c r="C2093" s="9" t="s">
        <v>5448</v>
      </c>
      <c r="D2093" s="22">
        <v>77</v>
      </c>
      <c r="E2093" s="9" t="s">
        <v>8999</v>
      </c>
      <c r="F2093" s="27">
        <v>17</v>
      </c>
      <c r="G2093" s="17" t="s">
        <v>8448</v>
      </c>
      <c r="H2093" s="17" t="s">
        <v>8449</v>
      </c>
      <c r="I2093" s="17" t="s">
        <v>8450</v>
      </c>
      <c r="J2093" s="17" t="s">
        <v>8451</v>
      </c>
      <c r="K2093" s="17"/>
      <c r="L2093" s="17" t="s">
        <v>8</v>
      </c>
    </row>
    <row r="2094" spans="1:12" ht="15" customHeight="1" x14ac:dyDescent="0.25">
      <c r="A2094" s="9" t="s">
        <v>2590</v>
      </c>
      <c r="B2094">
        <v>18</v>
      </c>
      <c r="C2094" s="9" t="s">
        <v>5448</v>
      </c>
      <c r="D2094" s="22">
        <v>77</v>
      </c>
      <c r="E2094" s="9" t="s">
        <v>8999</v>
      </c>
      <c r="F2094" s="27">
        <v>18</v>
      </c>
      <c r="G2094" s="17" t="s">
        <v>8452</v>
      </c>
      <c r="H2094" s="17" t="s">
        <v>8453</v>
      </c>
      <c r="I2094" s="17" t="s">
        <v>8454</v>
      </c>
      <c r="J2094" s="17" t="s">
        <v>8455</v>
      </c>
      <c r="K2094" s="17"/>
      <c r="L2094" s="17" t="s">
        <v>8</v>
      </c>
    </row>
    <row r="2095" spans="1:12" ht="15" customHeight="1" x14ac:dyDescent="0.25">
      <c r="A2095" s="9" t="s">
        <v>2590</v>
      </c>
      <c r="B2095">
        <v>18</v>
      </c>
      <c r="C2095" s="9" t="s">
        <v>5448</v>
      </c>
      <c r="D2095" s="22">
        <v>77</v>
      </c>
      <c r="E2095" s="9" t="s">
        <v>8999</v>
      </c>
      <c r="F2095" s="27">
        <v>19</v>
      </c>
      <c r="G2095" s="17" t="s">
        <v>8456</v>
      </c>
      <c r="H2095" s="17" t="s">
        <v>8457</v>
      </c>
      <c r="I2095" s="17" t="s">
        <v>8458</v>
      </c>
      <c r="J2095" s="17" t="s">
        <v>8459</v>
      </c>
      <c r="K2095" s="17"/>
      <c r="L2095" s="17" t="s">
        <v>9</v>
      </c>
    </row>
    <row r="2096" spans="1:12" ht="15" customHeight="1" x14ac:dyDescent="0.25">
      <c r="A2096" s="9" t="s">
        <v>2590</v>
      </c>
      <c r="B2096">
        <v>18</v>
      </c>
      <c r="C2096" s="9" t="s">
        <v>5448</v>
      </c>
      <c r="D2096" s="22">
        <v>77</v>
      </c>
      <c r="E2096" s="9" t="s">
        <v>8999</v>
      </c>
      <c r="F2096" s="27">
        <v>20</v>
      </c>
      <c r="G2096" s="17" t="s">
        <v>8460</v>
      </c>
      <c r="H2096" s="17" t="s">
        <v>8461</v>
      </c>
      <c r="I2096" s="17" t="s">
        <v>8462</v>
      </c>
      <c r="J2096" s="17" t="s">
        <v>8463</v>
      </c>
      <c r="K2096" s="17"/>
      <c r="L2096" s="17" t="s">
        <v>7</v>
      </c>
    </row>
    <row r="2097" spans="1:12" ht="15" customHeight="1" x14ac:dyDescent="0.25">
      <c r="A2097" s="1" t="s">
        <v>12</v>
      </c>
      <c r="B2097">
        <v>6</v>
      </c>
      <c r="C2097" s="1" t="s">
        <v>8374</v>
      </c>
      <c r="D2097" s="22">
        <v>77</v>
      </c>
      <c r="E2097" s="9" t="s">
        <v>8999</v>
      </c>
      <c r="F2097" s="27" t="s">
        <v>8464</v>
      </c>
      <c r="G2097" s="17" t="s">
        <v>8465</v>
      </c>
      <c r="H2097" s="17" t="s">
        <v>8466</v>
      </c>
      <c r="I2097" s="17" t="s">
        <v>8467</v>
      </c>
      <c r="J2097" s="17" t="s">
        <v>8468</v>
      </c>
      <c r="K2097" s="17"/>
      <c r="L2097" s="17" t="s">
        <v>9</v>
      </c>
    </row>
    <row r="2098" spans="1:12" ht="15" customHeight="1" x14ac:dyDescent="0.25">
      <c r="A2098" s="1" t="s">
        <v>12</v>
      </c>
      <c r="B2098">
        <v>8</v>
      </c>
      <c r="C2098" s="9" t="s">
        <v>8066</v>
      </c>
      <c r="D2098" s="22">
        <v>77</v>
      </c>
      <c r="E2098" s="9" t="s">
        <v>8999</v>
      </c>
      <c r="F2098" s="27" t="s">
        <v>8231</v>
      </c>
      <c r="G2098" s="17" t="s">
        <v>8469</v>
      </c>
      <c r="H2098" s="17" t="s">
        <v>8470</v>
      </c>
      <c r="I2098" s="17" t="s">
        <v>8471</v>
      </c>
      <c r="J2098" s="17" t="s">
        <v>8472</v>
      </c>
      <c r="K2098" s="17"/>
      <c r="L2098" s="17" t="s">
        <v>9</v>
      </c>
    </row>
    <row r="2099" spans="1:12" ht="15" customHeight="1" x14ac:dyDescent="0.25">
      <c r="A2099" s="9" t="s">
        <v>2590</v>
      </c>
      <c r="B2099">
        <v>10</v>
      </c>
      <c r="C2099" s="9" t="s">
        <v>2591</v>
      </c>
      <c r="D2099" s="22">
        <v>77</v>
      </c>
      <c r="E2099" s="9" t="s">
        <v>8999</v>
      </c>
      <c r="F2099" s="27" t="s">
        <v>8232</v>
      </c>
      <c r="G2099" s="17" t="s">
        <v>8473</v>
      </c>
      <c r="H2099" s="17" t="s">
        <v>8474</v>
      </c>
      <c r="I2099" s="17" t="s">
        <v>8475</v>
      </c>
      <c r="J2099" s="17" t="s">
        <v>8476</v>
      </c>
      <c r="K2099" s="17"/>
      <c r="L2099" s="17" t="s">
        <v>7</v>
      </c>
    </row>
    <row r="2100" spans="1:12" ht="15" customHeight="1" x14ac:dyDescent="0.25">
      <c r="A2100" s="9" t="s">
        <v>2590</v>
      </c>
      <c r="B2100">
        <v>18</v>
      </c>
      <c r="C2100" s="9" t="s">
        <v>5448</v>
      </c>
      <c r="D2100" s="22">
        <v>77</v>
      </c>
      <c r="E2100" s="9" t="s">
        <v>8999</v>
      </c>
      <c r="F2100" s="27" t="s">
        <v>8058</v>
      </c>
      <c r="G2100" s="17" t="s">
        <v>8477</v>
      </c>
      <c r="H2100" s="17" t="s">
        <v>8478</v>
      </c>
      <c r="I2100" s="17" t="s">
        <v>8479</v>
      </c>
      <c r="J2100" s="17" t="s">
        <v>8480</v>
      </c>
      <c r="K2100" s="17"/>
      <c r="L2100" s="20" t="s">
        <v>8</v>
      </c>
    </row>
    <row r="2101" spans="1:12" ht="15" customHeight="1" x14ac:dyDescent="0.25">
      <c r="A2101" s="9" t="s">
        <v>2590</v>
      </c>
      <c r="B2101">
        <f>_xlfn.XLOOKUP(C2101,Temas!C:C,Temas!B:B)</f>
        <v>25</v>
      </c>
      <c r="C2101" t="s">
        <v>9159</v>
      </c>
      <c r="D2101" s="22">
        <v>77</v>
      </c>
      <c r="E2101" s="9" t="s">
        <v>8999</v>
      </c>
      <c r="F2101" s="27" t="s">
        <v>8060</v>
      </c>
      <c r="G2101" s="17" t="s">
        <v>8481</v>
      </c>
      <c r="H2101" s="17" t="s">
        <v>8482</v>
      </c>
      <c r="I2101" s="17" t="s">
        <v>8483</v>
      </c>
      <c r="J2101" s="17" t="s">
        <v>8484</v>
      </c>
      <c r="K2101" s="17"/>
      <c r="L2101" s="17" t="s">
        <v>8</v>
      </c>
    </row>
    <row r="2102" spans="1:12" ht="15" customHeight="1" x14ac:dyDescent="0.25">
      <c r="A2102" s="9" t="s">
        <v>2590</v>
      </c>
      <c r="B2102">
        <v>10</v>
      </c>
      <c r="C2102" s="9" t="s">
        <v>2591</v>
      </c>
      <c r="D2102" s="22">
        <v>77</v>
      </c>
      <c r="E2102" s="9" t="s">
        <v>8999</v>
      </c>
      <c r="F2102" s="27" t="s">
        <v>8485</v>
      </c>
      <c r="G2102" s="17" t="s">
        <v>8486</v>
      </c>
      <c r="H2102" s="17" t="s">
        <v>8487</v>
      </c>
      <c r="I2102" s="17" t="s">
        <v>8488</v>
      </c>
      <c r="J2102" s="17" t="s">
        <v>8489</v>
      </c>
      <c r="K2102" s="17"/>
      <c r="L2102" s="17" t="s">
        <v>7</v>
      </c>
    </row>
    <row r="2103" spans="1:12" ht="15" customHeight="1" x14ac:dyDescent="0.25">
      <c r="A2103" s="9" t="s">
        <v>2590</v>
      </c>
      <c r="B2103">
        <v>9</v>
      </c>
      <c r="C2103" s="9" t="s">
        <v>8378</v>
      </c>
      <c r="D2103" s="22">
        <v>78</v>
      </c>
      <c r="E2103" s="9" t="s">
        <v>9003</v>
      </c>
      <c r="F2103" s="27">
        <v>21</v>
      </c>
      <c r="G2103" s="17" t="s">
        <v>8498</v>
      </c>
      <c r="H2103" s="17" t="s">
        <v>8499</v>
      </c>
      <c r="I2103" s="17" t="s">
        <v>8500</v>
      </c>
      <c r="J2103" s="17" t="s">
        <v>8501</v>
      </c>
      <c r="K2103" s="17"/>
      <c r="L2103" s="17" t="s">
        <v>9</v>
      </c>
    </row>
    <row r="2104" spans="1:12" ht="15" customHeight="1" x14ac:dyDescent="0.25">
      <c r="A2104" s="9" t="s">
        <v>2590</v>
      </c>
      <c r="B2104">
        <v>9</v>
      </c>
      <c r="C2104" s="9" t="s">
        <v>8378</v>
      </c>
      <c r="D2104" s="22">
        <v>78</v>
      </c>
      <c r="E2104" s="9" t="s">
        <v>9003</v>
      </c>
      <c r="F2104" s="27">
        <v>22</v>
      </c>
      <c r="G2104" s="17" t="s">
        <v>8502</v>
      </c>
      <c r="H2104" s="17" t="s">
        <v>8503</v>
      </c>
      <c r="I2104" s="17" t="s">
        <v>8504</v>
      </c>
      <c r="J2104" s="17" t="s">
        <v>8505</v>
      </c>
      <c r="K2104" s="17"/>
      <c r="L2104" s="17" t="s">
        <v>8</v>
      </c>
    </row>
    <row r="2105" spans="1:12" ht="15" customHeight="1" x14ac:dyDescent="0.25">
      <c r="A2105" s="9" t="s">
        <v>2590</v>
      </c>
      <c r="B2105">
        <v>9</v>
      </c>
      <c r="C2105" s="9" t="s">
        <v>8378</v>
      </c>
      <c r="D2105" s="22">
        <v>78</v>
      </c>
      <c r="E2105" s="9" t="s">
        <v>9003</v>
      </c>
      <c r="F2105" s="27">
        <v>23</v>
      </c>
      <c r="G2105" s="17" t="s">
        <v>8506</v>
      </c>
      <c r="H2105" s="17" t="s">
        <v>8507</v>
      </c>
      <c r="I2105" s="17" t="s">
        <v>8508</v>
      </c>
      <c r="J2105" s="17" t="s">
        <v>8509</v>
      </c>
      <c r="K2105" s="17"/>
      <c r="L2105" s="17" t="s">
        <v>8</v>
      </c>
    </row>
    <row r="2106" spans="1:12" ht="15" customHeight="1" x14ac:dyDescent="0.25">
      <c r="A2106" s="9" t="s">
        <v>2590</v>
      </c>
      <c r="B2106">
        <v>9</v>
      </c>
      <c r="C2106" s="9" t="s">
        <v>8378</v>
      </c>
      <c r="D2106" s="22">
        <v>78</v>
      </c>
      <c r="E2106" s="9" t="s">
        <v>9003</v>
      </c>
      <c r="F2106" s="27">
        <v>24</v>
      </c>
      <c r="G2106" s="17" t="s">
        <v>8510</v>
      </c>
      <c r="H2106" s="17" t="s">
        <v>8511</v>
      </c>
      <c r="I2106" s="17" t="s">
        <v>8512</v>
      </c>
      <c r="J2106" s="17" t="s">
        <v>8513</v>
      </c>
      <c r="K2106" s="17"/>
      <c r="L2106" s="17" t="s">
        <v>9</v>
      </c>
    </row>
    <row r="2107" spans="1:12" ht="15" customHeight="1" x14ac:dyDescent="0.25">
      <c r="A2107" s="9" t="s">
        <v>2590</v>
      </c>
      <c r="B2107">
        <v>12</v>
      </c>
      <c r="C2107" s="9" t="s">
        <v>3352</v>
      </c>
      <c r="D2107" s="22">
        <v>78</v>
      </c>
      <c r="E2107" s="9" t="s">
        <v>9003</v>
      </c>
      <c r="F2107" s="27">
        <v>26</v>
      </c>
      <c r="G2107" s="17" t="s">
        <v>8514</v>
      </c>
      <c r="H2107" s="17" t="s">
        <v>8515</v>
      </c>
      <c r="I2107" s="17" t="s">
        <v>8516</v>
      </c>
      <c r="J2107" s="17" t="s">
        <v>8517</v>
      </c>
      <c r="K2107" s="17"/>
      <c r="L2107" s="17" t="s">
        <v>8</v>
      </c>
    </row>
    <row r="2108" spans="1:12" ht="15" customHeight="1" x14ac:dyDescent="0.25">
      <c r="A2108" s="9" t="s">
        <v>2590</v>
      </c>
      <c r="B2108">
        <v>11</v>
      </c>
      <c r="C2108" s="9" t="s">
        <v>3187</v>
      </c>
      <c r="D2108" s="22">
        <v>78</v>
      </c>
      <c r="E2108" s="9" t="s">
        <v>9003</v>
      </c>
      <c r="F2108" s="27">
        <v>27</v>
      </c>
      <c r="G2108" s="17" t="s">
        <v>8518</v>
      </c>
      <c r="H2108" s="17" t="s">
        <v>8519</v>
      </c>
      <c r="I2108" s="17" t="s">
        <v>8520</v>
      </c>
      <c r="J2108" s="17" t="s">
        <v>8521</v>
      </c>
      <c r="K2108" s="17"/>
      <c r="L2108" s="17" t="s">
        <v>9</v>
      </c>
    </row>
    <row r="2109" spans="1:12" ht="15" customHeight="1" x14ac:dyDescent="0.25">
      <c r="A2109" s="9" t="s">
        <v>2590</v>
      </c>
      <c r="B2109">
        <v>11</v>
      </c>
      <c r="C2109" s="9" t="s">
        <v>3187</v>
      </c>
      <c r="D2109" s="22">
        <v>78</v>
      </c>
      <c r="E2109" s="9" t="s">
        <v>9003</v>
      </c>
      <c r="F2109" s="27">
        <v>28</v>
      </c>
      <c r="G2109" s="17" t="s">
        <v>8522</v>
      </c>
      <c r="H2109" s="17" t="s">
        <v>8523</v>
      </c>
      <c r="I2109" s="17" t="s">
        <v>8524</v>
      </c>
      <c r="J2109" s="17" t="s">
        <v>2952</v>
      </c>
      <c r="K2109" s="17"/>
      <c r="L2109" s="17" t="s">
        <v>8</v>
      </c>
    </row>
    <row r="2110" spans="1:12" ht="15" customHeight="1" x14ac:dyDescent="0.25">
      <c r="A2110" s="9" t="s">
        <v>2590</v>
      </c>
      <c r="B2110">
        <v>11</v>
      </c>
      <c r="C2110" s="9" t="s">
        <v>3187</v>
      </c>
      <c r="D2110" s="22">
        <v>78</v>
      </c>
      <c r="E2110" s="9" t="s">
        <v>9003</v>
      </c>
      <c r="F2110" s="27">
        <v>29</v>
      </c>
      <c r="G2110" s="17" t="s">
        <v>8525</v>
      </c>
      <c r="H2110" s="17" t="s">
        <v>8526</v>
      </c>
      <c r="I2110" s="17" t="s">
        <v>8527</v>
      </c>
      <c r="J2110" s="17" t="s">
        <v>8528</v>
      </c>
      <c r="K2110" s="17"/>
      <c r="L2110" s="17" t="s">
        <v>9</v>
      </c>
    </row>
    <row r="2111" spans="1:12" ht="15" customHeight="1" x14ac:dyDescent="0.25">
      <c r="A2111" s="9" t="s">
        <v>2590</v>
      </c>
      <c r="B2111">
        <v>13</v>
      </c>
      <c r="C2111" s="9" t="s">
        <v>4093</v>
      </c>
      <c r="D2111" s="22">
        <v>78</v>
      </c>
      <c r="E2111" s="9" t="s">
        <v>9003</v>
      </c>
      <c r="F2111" s="27">
        <v>30</v>
      </c>
      <c r="G2111" s="17" t="s">
        <v>8529</v>
      </c>
      <c r="H2111" s="17" t="s">
        <v>8530</v>
      </c>
      <c r="I2111" s="17" t="s">
        <v>8531</v>
      </c>
      <c r="J2111" s="17" t="s">
        <v>8532</v>
      </c>
      <c r="K2111" s="17"/>
      <c r="L2111" s="17" t="s">
        <v>9</v>
      </c>
    </row>
    <row r="2112" spans="1:12" ht="15" customHeight="1" x14ac:dyDescent="0.25">
      <c r="A2112" s="9" t="s">
        <v>2590</v>
      </c>
      <c r="B2112">
        <v>10</v>
      </c>
      <c r="C2112" s="9" t="s">
        <v>2591</v>
      </c>
      <c r="D2112" s="22">
        <v>78</v>
      </c>
      <c r="E2112" s="9" t="s">
        <v>9003</v>
      </c>
      <c r="F2112" s="24">
        <v>31</v>
      </c>
      <c r="G2112" s="5" t="s">
        <v>8533</v>
      </c>
      <c r="H2112" s="5" t="s">
        <v>8534</v>
      </c>
      <c r="I2112" s="5" t="s">
        <v>8535</v>
      </c>
      <c r="J2112" s="5" t="s">
        <v>8536</v>
      </c>
      <c r="K2112" s="5"/>
      <c r="L2112" s="17" t="s">
        <v>9</v>
      </c>
    </row>
    <row r="2113" spans="1:12" ht="15" customHeight="1" x14ac:dyDescent="0.25">
      <c r="A2113" s="9" t="s">
        <v>2590</v>
      </c>
      <c r="B2113">
        <v>11</v>
      </c>
      <c r="C2113" s="9" t="s">
        <v>3187</v>
      </c>
      <c r="D2113" s="22">
        <v>78</v>
      </c>
      <c r="E2113" s="9" t="s">
        <v>9003</v>
      </c>
      <c r="F2113" s="24">
        <v>32</v>
      </c>
      <c r="G2113" s="5" t="s">
        <v>8537</v>
      </c>
      <c r="H2113" s="5" t="s">
        <v>8538</v>
      </c>
      <c r="I2113" s="5" t="s">
        <v>2708</v>
      </c>
      <c r="J2113" s="5" t="s">
        <v>8539</v>
      </c>
      <c r="K2113" s="5"/>
      <c r="L2113" s="17" t="s">
        <v>7</v>
      </c>
    </row>
    <row r="2114" spans="1:12" ht="15" customHeight="1" x14ac:dyDescent="0.25">
      <c r="A2114" s="9" t="s">
        <v>2590</v>
      </c>
      <c r="B2114">
        <v>11</v>
      </c>
      <c r="C2114" s="9" t="s">
        <v>3187</v>
      </c>
      <c r="D2114" s="22">
        <v>78</v>
      </c>
      <c r="E2114" s="9" t="s">
        <v>9003</v>
      </c>
      <c r="F2114" s="24">
        <v>33</v>
      </c>
      <c r="G2114" s="5" t="s">
        <v>8540</v>
      </c>
      <c r="H2114" s="5" t="s">
        <v>8541</v>
      </c>
      <c r="I2114" s="5" t="s">
        <v>8542</v>
      </c>
      <c r="J2114" s="5" t="s">
        <v>8543</v>
      </c>
      <c r="K2114" s="5"/>
      <c r="L2114" s="17" t="s">
        <v>8</v>
      </c>
    </row>
    <row r="2115" spans="1:12" ht="15" customHeight="1" x14ac:dyDescent="0.25">
      <c r="A2115" s="9" t="s">
        <v>2590</v>
      </c>
      <c r="B2115">
        <v>11</v>
      </c>
      <c r="C2115" s="9" t="s">
        <v>3187</v>
      </c>
      <c r="D2115" s="22">
        <v>78</v>
      </c>
      <c r="E2115" s="9" t="s">
        <v>9003</v>
      </c>
      <c r="F2115" s="24">
        <v>34</v>
      </c>
      <c r="G2115" s="5" t="s">
        <v>8544</v>
      </c>
      <c r="H2115" s="5" t="s">
        <v>8545</v>
      </c>
      <c r="I2115" s="5" t="s">
        <v>8546</v>
      </c>
      <c r="J2115" s="5" t="s">
        <v>8547</v>
      </c>
      <c r="K2115" s="5"/>
      <c r="L2115" s="17" t="s">
        <v>8</v>
      </c>
    </row>
    <row r="2116" spans="1:12" ht="15" customHeight="1" x14ac:dyDescent="0.25">
      <c r="A2116" s="9" t="s">
        <v>2590</v>
      </c>
      <c r="B2116">
        <v>11</v>
      </c>
      <c r="C2116" s="9" t="s">
        <v>3187</v>
      </c>
      <c r="D2116" s="22">
        <v>78</v>
      </c>
      <c r="E2116" s="9" t="s">
        <v>9003</v>
      </c>
      <c r="F2116" s="24">
        <v>35</v>
      </c>
      <c r="G2116" s="5" t="s">
        <v>8548</v>
      </c>
      <c r="H2116" s="5" t="s">
        <v>8549</v>
      </c>
      <c r="I2116" s="5" t="s">
        <v>8550</v>
      </c>
      <c r="J2116" s="5" t="s">
        <v>8551</v>
      </c>
      <c r="K2116" s="5"/>
      <c r="L2116" s="17" t="s">
        <v>9</v>
      </c>
    </row>
    <row r="2117" spans="1:12" ht="15" customHeight="1" x14ac:dyDescent="0.25">
      <c r="A2117" s="9" t="s">
        <v>2590</v>
      </c>
      <c r="B2117">
        <v>12</v>
      </c>
      <c r="C2117" s="9" t="s">
        <v>3352</v>
      </c>
      <c r="D2117" s="22">
        <v>78</v>
      </c>
      <c r="E2117" s="9" t="s">
        <v>9003</v>
      </c>
      <c r="F2117" s="24">
        <v>36</v>
      </c>
      <c r="G2117" s="5" t="s">
        <v>8552</v>
      </c>
      <c r="H2117" s="5" t="s">
        <v>8553</v>
      </c>
      <c r="I2117" s="5" t="s">
        <v>3620</v>
      </c>
      <c r="J2117" s="5" t="s">
        <v>3621</v>
      </c>
      <c r="K2117" s="5"/>
      <c r="L2117" s="17" t="s">
        <v>9</v>
      </c>
    </row>
    <row r="2118" spans="1:12" ht="15" customHeight="1" x14ac:dyDescent="0.25">
      <c r="A2118" s="9" t="s">
        <v>2590</v>
      </c>
      <c r="B2118">
        <v>12</v>
      </c>
      <c r="C2118" s="9" t="s">
        <v>3352</v>
      </c>
      <c r="D2118" s="22">
        <v>78</v>
      </c>
      <c r="E2118" s="9" t="s">
        <v>9003</v>
      </c>
      <c r="F2118" s="24">
        <v>37</v>
      </c>
      <c r="G2118" s="5" t="s">
        <v>8554</v>
      </c>
      <c r="H2118" s="5" t="s">
        <v>3623</v>
      </c>
      <c r="I2118" s="5" t="s">
        <v>3624</v>
      </c>
      <c r="J2118" s="5" t="s">
        <v>3625</v>
      </c>
      <c r="K2118" s="5"/>
      <c r="L2118" s="17" t="s">
        <v>9</v>
      </c>
    </row>
    <row r="2119" spans="1:12" ht="15" customHeight="1" x14ac:dyDescent="0.25">
      <c r="A2119" s="9" t="s">
        <v>2590</v>
      </c>
      <c r="B2119">
        <v>11</v>
      </c>
      <c r="C2119" s="9" t="s">
        <v>3187</v>
      </c>
      <c r="D2119" s="22">
        <v>78</v>
      </c>
      <c r="E2119" s="9" t="s">
        <v>9003</v>
      </c>
      <c r="F2119" s="24">
        <v>38</v>
      </c>
      <c r="G2119" s="5" t="s">
        <v>8555</v>
      </c>
      <c r="H2119" s="5" t="s">
        <v>130</v>
      </c>
      <c r="I2119" s="5" t="s">
        <v>8556</v>
      </c>
      <c r="J2119" s="5" t="s">
        <v>129</v>
      </c>
      <c r="K2119" s="5"/>
      <c r="L2119" s="17" t="s">
        <v>8</v>
      </c>
    </row>
    <row r="2120" spans="1:12" ht="15" customHeight="1" x14ac:dyDescent="0.25">
      <c r="A2120" s="9" t="s">
        <v>2590</v>
      </c>
      <c r="B2120">
        <v>11</v>
      </c>
      <c r="C2120" s="9" t="s">
        <v>3187</v>
      </c>
      <c r="D2120" s="22">
        <v>78</v>
      </c>
      <c r="E2120" s="9" t="s">
        <v>9003</v>
      </c>
      <c r="F2120" s="24">
        <v>39</v>
      </c>
      <c r="G2120" s="5" t="s">
        <v>8557</v>
      </c>
      <c r="H2120" s="5" t="s">
        <v>8558</v>
      </c>
      <c r="I2120" s="5" t="s">
        <v>8559</v>
      </c>
      <c r="J2120" s="5" t="s">
        <v>8560</v>
      </c>
      <c r="K2120" s="5"/>
      <c r="L2120" s="17" t="s">
        <v>7</v>
      </c>
    </row>
    <row r="2121" spans="1:12" ht="15" customHeight="1" x14ac:dyDescent="0.25">
      <c r="A2121" s="9" t="s">
        <v>2590</v>
      </c>
      <c r="B2121">
        <v>11</v>
      </c>
      <c r="C2121" s="9" t="s">
        <v>3187</v>
      </c>
      <c r="D2121" s="22">
        <v>78</v>
      </c>
      <c r="E2121" s="9" t="s">
        <v>9003</v>
      </c>
      <c r="F2121" s="24">
        <v>40</v>
      </c>
      <c r="G2121" s="5" t="s">
        <v>8561</v>
      </c>
      <c r="H2121" s="5" t="s">
        <v>8562</v>
      </c>
      <c r="I2121" s="5" t="s">
        <v>8563</v>
      </c>
      <c r="J2121" s="5" t="s">
        <v>8564</v>
      </c>
      <c r="K2121" s="5"/>
      <c r="L2121" s="17" t="s">
        <v>8</v>
      </c>
    </row>
    <row r="2122" spans="1:12" ht="15" customHeight="1" x14ac:dyDescent="0.25">
      <c r="A2122" s="9" t="s">
        <v>2590</v>
      </c>
      <c r="B2122">
        <v>11</v>
      </c>
      <c r="C2122" s="9" t="s">
        <v>3187</v>
      </c>
      <c r="D2122" s="22">
        <v>78</v>
      </c>
      <c r="E2122" s="9" t="s">
        <v>9003</v>
      </c>
      <c r="F2122" s="24">
        <v>41</v>
      </c>
      <c r="G2122" s="5" t="s">
        <v>8565</v>
      </c>
      <c r="H2122" s="5" t="s">
        <v>8566</v>
      </c>
      <c r="I2122" s="5" t="s">
        <v>8567</v>
      </c>
      <c r="J2122" s="5" t="s">
        <v>4184</v>
      </c>
      <c r="K2122" s="5"/>
      <c r="L2122" s="17" t="s">
        <v>8</v>
      </c>
    </row>
    <row r="2123" spans="1:12" ht="15" customHeight="1" x14ac:dyDescent="0.25">
      <c r="A2123" s="9" t="s">
        <v>2590</v>
      </c>
      <c r="B2123">
        <v>9</v>
      </c>
      <c r="C2123" s="9" t="s">
        <v>8378</v>
      </c>
      <c r="D2123" s="22">
        <v>78</v>
      </c>
      <c r="E2123" s="9" t="s">
        <v>9003</v>
      </c>
      <c r="F2123" s="24">
        <v>42</v>
      </c>
      <c r="G2123" s="5" t="s">
        <v>8568</v>
      </c>
      <c r="H2123" s="5" t="s">
        <v>6080</v>
      </c>
      <c r="I2123" s="5" t="s">
        <v>6081</v>
      </c>
      <c r="J2123" s="5" t="s">
        <v>8569</v>
      </c>
      <c r="K2123" s="5"/>
      <c r="L2123" s="17" t="s">
        <v>9</v>
      </c>
    </row>
    <row r="2124" spans="1:12" ht="15" customHeight="1" x14ac:dyDescent="0.25">
      <c r="A2124" s="9" t="s">
        <v>2590</v>
      </c>
      <c r="B2124">
        <v>9</v>
      </c>
      <c r="C2124" s="9" t="s">
        <v>8378</v>
      </c>
      <c r="D2124" s="22">
        <v>78</v>
      </c>
      <c r="E2124" s="9" t="s">
        <v>9003</v>
      </c>
      <c r="F2124" s="24">
        <v>43</v>
      </c>
      <c r="G2124" s="5" t="s">
        <v>8570</v>
      </c>
      <c r="H2124" s="5" t="s">
        <v>8571</v>
      </c>
      <c r="I2124" s="5" t="s">
        <v>8572</v>
      </c>
      <c r="J2124" s="5" t="s">
        <v>4184</v>
      </c>
      <c r="K2124" s="5"/>
      <c r="L2124" s="17" t="s">
        <v>7</v>
      </c>
    </row>
    <row r="2125" spans="1:12" ht="15" customHeight="1" x14ac:dyDescent="0.25">
      <c r="A2125" s="9" t="s">
        <v>2590</v>
      </c>
      <c r="B2125">
        <v>11</v>
      </c>
      <c r="C2125" s="9" t="s">
        <v>3187</v>
      </c>
      <c r="D2125" s="22">
        <v>78</v>
      </c>
      <c r="E2125" s="9" t="s">
        <v>9003</v>
      </c>
      <c r="F2125" s="24">
        <v>44</v>
      </c>
      <c r="G2125" s="5" t="s">
        <v>8573</v>
      </c>
      <c r="H2125" s="5" t="s">
        <v>8574</v>
      </c>
      <c r="I2125" s="5" t="s">
        <v>8575</v>
      </c>
      <c r="J2125" s="5" t="s">
        <v>8576</v>
      </c>
      <c r="K2125" s="5"/>
      <c r="L2125" s="17" t="s">
        <v>9</v>
      </c>
    </row>
    <row r="2126" spans="1:12" ht="15" customHeight="1" x14ac:dyDescent="0.25">
      <c r="A2126" s="9" t="s">
        <v>2590</v>
      </c>
      <c r="B2126">
        <v>9</v>
      </c>
      <c r="C2126" s="9" t="s">
        <v>8378</v>
      </c>
      <c r="D2126" s="22">
        <v>78</v>
      </c>
      <c r="E2126" s="9" t="s">
        <v>9003</v>
      </c>
      <c r="F2126" s="24">
        <v>45</v>
      </c>
      <c r="G2126" s="5" t="s">
        <v>8577</v>
      </c>
      <c r="H2126" s="5" t="s">
        <v>8578</v>
      </c>
      <c r="I2126" s="5" t="s">
        <v>8579</v>
      </c>
      <c r="J2126" s="5" t="s">
        <v>8580</v>
      </c>
      <c r="K2126" s="5"/>
      <c r="L2126" s="17" t="s">
        <v>8</v>
      </c>
    </row>
    <row r="2127" spans="1:12" ht="15" customHeight="1" x14ac:dyDescent="0.25">
      <c r="A2127" s="9" t="s">
        <v>2590</v>
      </c>
      <c r="B2127">
        <v>17</v>
      </c>
      <c r="C2127" s="9" t="s">
        <v>5255</v>
      </c>
      <c r="D2127" s="22">
        <v>78</v>
      </c>
      <c r="E2127" s="9" t="s">
        <v>9003</v>
      </c>
      <c r="F2127" s="24">
        <v>46</v>
      </c>
      <c r="G2127" s="5" t="s">
        <v>8581</v>
      </c>
      <c r="H2127" s="5" t="s">
        <v>8582</v>
      </c>
      <c r="I2127" s="5" t="s">
        <v>8583</v>
      </c>
      <c r="J2127" s="5" t="s">
        <v>8584</v>
      </c>
      <c r="K2127" s="5"/>
      <c r="L2127" s="17" t="s">
        <v>9</v>
      </c>
    </row>
    <row r="2128" spans="1:12" ht="15" customHeight="1" x14ac:dyDescent="0.25">
      <c r="A2128" s="9" t="s">
        <v>2590</v>
      </c>
      <c r="B2128">
        <v>17</v>
      </c>
      <c r="C2128" s="9" t="s">
        <v>5255</v>
      </c>
      <c r="D2128" s="22">
        <v>78</v>
      </c>
      <c r="E2128" s="9" t="s">
        <v>9003</v>
      </c>
      <c r="F2128" s="24">
        <v>47</v>
      </c>
      <c r="G2128" s="5" t="s">
        <v>8585</v>
      </c>
      <c r="H2128" s="5" t="s">
        <v>8586</v>
      </c>
      <c r="I2128" s="5" t="s">
        <v>8587</v>
      </c>
      <c r="J2128" s="5" t="s">
        <v>8588</v>
      </c>
      <c r="K2128" s="5"/>
      <c r="L2128" s="17" t="s">
        <v>8</v>
      </c>
    </row>
    <row r="2129" spans="1:12" ht="15" customHeight="1" x14ac:dyDescent="0.25">
      <c r="A2129" s="9" t="s">
        <v>2590</v>
      </c>
      <c r="B2129">
        <v>17</v>
      </c>
      <c r="C2129" s="9" t="s">
        <v>5255</v>
      </c>
      <c r="D2129" s="22">
        <v>78</v>
      </c>
      <c r="E2129" s="9" t="s">
        <v>9003</v>
      </c>
      <c r="F2129" s="24">
        <v>48</v>
      </c>
      <c r="G2129" s="5" t="s">
        <v>8589</v>
      </c>
      <c r="H2129" s="5" t="s">
        <v>8590</v>
      </c>
      <c r="I2129" s="5" t="s">
        <v>8591</v>
      </c>
      <c r="J2129" s="5" t="s">
        <v>8592</v>
      </c>
      <c r="K2129" s="5"/>
      <c r="L2129" s="17" t="s">
        <v>9</v>
      </c>
    </row>
    <row r="2130" spans="1:12" ht="15" customHeight="1" x14ac:dyDescent="0.25">
      <c r="A2130" s="9" t="s">
        <v>2590</v>
      </c>
      <c r="B2130">
        <v>17</v>
      </c>
      <c r="C2130" s="9" t="s">
        <v>5255</v>
      </c>
      <c r="D2130" s="22">
        <v>78</v>
      </c>
      <c r="E2130" s="9" t="s">
        <v>9003</v>
      </c>
      <c r="F2130" s="24">
        <v>49</v>
      </c>
      <c r="G2130" s="5" t="s">
        <v>8593</v>
      </c>
      <c r="H2130" s="5" t="s">
        <v>8594</v>
      </c>
      <c r="I2130" s="5" t="s">
        <v>8595</v>
      </c>
      <c r="J2130" s="5" t="s">
        <v>8596</v>
      </c>
      <c r="K2130" s="5"/>
      <c r="L2130" s="17" t="s">
        <v>7</v>
      </c>
    </row>
    <row r="2131" spans="1:12" ht="15" customHeight="1" x14ac:dyDescent="0.25">
      <c r="A2131" s="9" t="s">
        <v>2590</v>
      </c>
      <c r="B2131">
        <v>17</v>
      </c>
      <c r="C2131" s="9" t="s">
        <v>5255</v>
      </c>
      <c r="D2131" s="22">
        <v>78</v>
      </c>
      <c r="E2131" s="9" t="s">
        <v>9003</v>
      </c>
      <c r="F2131" s="24">
        <v>50</v>
      </c>
      <c r="G2131" s="5" t="s">
        <v>8597</v>
      </c>
      <c r="H2131" s="5" t="s">
        <v>8598</v>
      </c>
      <c r="I2131" s="5" t="s">
        <v>8599</v>
      </c>
      <c r="J2131" s="5" t="s">
        <v>8600</v>
      </c>
      <c r="K2131" s="5"/>
      <c r="L2131" s="17" t="s">
        <v>7</v>
      </c>
    </row>
    <row r="2132" spans="1:12" ht="15" customHeight="1" x14ac:dyDescent="0.25">
      <c r="A2132" s="9" t="s">
        <v>2590</v>
      </c>
      <c r="B2132">
        <v>17</v>
      </c>
      <c r="C2132" s="9" t="s">
        <v>5255</v>
      </c>
      <c r="D2132" s="22">
        <v>78</v>
      </c>
      <c r="E2132" s="9" t="s">
        <v>9003</v>
      </c>
      <c r="F2132" s="24">
        <v>51</v>
      </c>
      <c r="G2132" s="5" t="s">
        <v>8601</v>
      </c>
      <c r="H2132" s="5" t="s">
        <v>8602</v>
      </c>
      <c r="I2132" s="5" t="s">
        <v>8599</v>
      </c>
      <c r="J2132" s="5" t="s">
        <v>8600</v>
      </c>
      <c r="K2132" s="5"/>
      <c r="L2132" s="17" t="s">
        <v>8</v>
      </c>
    </row>
    <row r="2133" spans="1:12" ht="15" customHeight="1" x14ac:dyDescent="0.25">
      <c r="A2133" s="9" t="s">
        <v>2590</v>
      </c>
      <c r="B2133">
        <v>12</v>
      </c>
      <c r="C2133" s="9" t="s">
        <v>3352</v>
      </c>
      <c r="D2133" s="22">
        <v>78</v>
      </c>
      <c r="E2133" s="9" t="s">
        <v>9003</v>
      </c>
      <c r="F2133" s="24">
        <v>52</v>
      </c>
      <c r="G2133" s="5" t="s">
        <v>8603</v>
      </c>
      <c r="H2133" s="5" t="s">
        <v>8604</v>
      </c>
      <c r="I2133" s="5" t="s">
        <v>3627</v>
      </c>
      <c r="J2133" s="5" t="s">
        <v>3629</v>
      </c>
      <c r="K2133" s="5"/>
      <c r="L2133" s="17" t="s">
        <v>7</v>
      </c>
    </row>
    <row r="2134" spans="1:12" ht="15" customHeight="1" x14ac:dyDescent="0.25">
      <c r="A2134" s="9" t="s">
        <v>2590</v>
      </c>
      <c r="B2134">
        <v>14</v>
      </c>
      <c r="C2134" s="9" t="s">
        <v>4241</v>
      </c>
      <c r="D2134" s="22">
        <v>78</v>
      </c>
      <c r="E2134" s="9" t="s">
        <v>9003</v>
      </c>
      <c r="F2134" s="24">
        <v>54</v>
      </c>
      <c r="G2134" s="5" t="s">
        <v>8605</v>
      </c>
      <c r="H2134" s="5" t="s">
        <v>8606</v>
      </c>
      <c r="I2134" s="5" t="s">
        <v>8607</v>
      </c>
      <c r="J2134" s="5" t="s">
        <v>8608</v>
      </c>
      <c r="K2134" s="5"/>
      <c r="L2134" s="17" t="s">
        <v>9</v>
      </c>
    </row>
    <row r="2135" spans="1:12" ht="15" customHeight="1" x14ac:dyDescent="0.25">
      <c r="A2135" s="9" t="s">
        <v>2590</v>
      </c>
      <c r="B2135">
        <v>18</v>
      </c>
      <c r="C2135" s="9" t="s">
        <v>5448</v>
      </c>
      <c r="D2135" s="22">
        <v>78</v>
      </c>
      <c r="E2135" s="9" t="s">
        <v>9003</v>
      </c>
      <c r="F2135" s="24">
        <v>55</v>
      </c>
      <c r="G2135" s="5" t="s">
        <v>8609</v>
      </c>
      <c r="H2135" s="5" t="s">
        <v>8610</v>
      </c>
      <c r="I2135" s="5" t="s">
        <v>8611</v>
      </c>
      <c r="J2135" s="5" t="s">
        <v>8612</v>
      </c>
      <c r="K2135" s="5"/>
      <c r="L2135" s="17" t="s">
        <v>8</v>
      </c>
    </row>
    <row r="2136" spans="1:12" ht="15" customHeight="1" x14ac:dyDescent="0.25">
      <c r="A2136" s="9" t="s">
        <v>2590</v>
      </c>
      <c r="B2136">
        <v>18</v>
      </c>
      <c r="C2136" s="9" t="s">
        <v>5448</v>
      </c>
      <c r="D2136" s="22">
        <v>78</v>
      </c>
      <c r="E2136" s="9" t="s">
        <v>9003</v>
      </c>
      <c r="F2136" s="24">
        <v>57</v>
      </c>
      <c r="G2136" s="5" t="s">
        <v>8613</v>
      </c>
      <c r="H2136" s="5" t="s">
        <v>8614</v>
      </c>
      <c r="I2136" s="5" t="s">
        <v>8615</v>
      </c>
      <c r="J2136" s="5" t="s">
        <v>8616</v>
      </c>
      <c r="K2136" s="5"/>
      <c r="L2136" s="17" t="s">
        <v>7</v>
      </c>
    </row>
    <row r="2137" spans="1:12" ht="15" customHeight="1" x14ac:dyDescent="0.25">
      <c r="A2137" s="9" t="s">
        <v>2590</v>
      </c>
      <c r="B2137">
        <v>18</v>
      </c>
      <c r="C2137" s="9" t="s">
        <v>5448</v>
      </c>
      <c r="D2137" s="22">
        <v>78</v>
      </c>
      <c r="E2137" s="9" t="s">
        <v>9003</v>
      </c>
      <c r="F2137" s="24">
        <v>58</v>
      </c>
      <c r="G2137" s="5" t="s">
        <v>8617</v>
      </c>
      <c r="H2137" s="5" t="s">
        <v>8618</v>
      </c>
      <c r="I2137" s="5" t="s">
        <v>8619</v>
      </c>
      <c r="J2137" s="5" t="s">
        <v>8618</v>
      </c>
      <c r="K2137" s="5"/>
      <c r="L2137" s="17" t="s">
        <v>9</v>
      </c>
    </row>
    <row r="2138" spans="1:12" ht="15" customHeight="1" x14ac:dyDescent="0.25">
      <c r="A2138" s="9" t="s">
        <v>2590</v>
      </c>
      <c r="B2138">
        <v>18</v>
      </c>
      <c r="C2138" s="9" t="s">
        <v>5448</v>
      </c>
      <c r="D2138" s="22">
        <v>78</v>
      </c>
      <c r="E2138" s="9" t="s">
        <v>9003</v>
      </c>
      <c r="F2138" s="24">
        <v>59</v>
      </c>
      <c r="G2138" s="5" t="s">
        <v>8620</v>
      </c>
      <c r="H2138" s="5" t="s">
        <v>8621</v>
      </c>
      <c r="I2138" s="5" t="s">
        <v>8622</v>
      </c>
      <c r="J2138" s="5" t="s">
        <v>8623</v>
      </c>
      <c r="K2138" s="5"/>
      <c r="L2138" s="17" t="s">
        <v>9</v>
      </c>
    </row>
    <row r="2139" spans="1:12" ht="15" customHeight="1" x14ac:dyDescent="0.25">
      <c r="A2139" s="9" t="s">
        <v>2590</v>
      </c>
      <c r="B2139">
        <v>18</v>
      </c>
      <c r="C2139" s="9" t="s">
        <v>5448</v>
      </c>
      <c r="D2139" s="22">
        <v>78</v>
      </c>
      <c r="E2139" s="9" t="s">
        <v>9003</v>
      </c>
      <c r="F2139" s="24">
        <v>60</v>
      </c>
      <c r="G2139" s="5" t="s">
        <v>8624</v>
      </c>
      <c r="H2139" s="5" t="s">
        <v>8625</v>
      </c>
      <c r="I2139" s="5" t="s">
        <v>8626</v>
      </c>
      <c r="J2139" s="5" t="s">
        <v>8627</v>
      </c>
      <c r="K2139" s="5"/>
      <c r="L2139" s="17" t="s">
        <v>9</v>
      </c>
    </row>
    <row r="2140" spans="1:12" ht="15" customHeight="1" x14ac:dyDescent="0.25">
      <c r="A2140" s="9" t="s">
        <v>2590</v>
      </c>
      <c r="B2140">
        <v>18</v>
      </c>
      <c r="C2140" s="9" t="s">
        <v>5448</v>
      </c>
      <c r="D2140" s="22">
        <v>78</v>
      </c>
      <c r="E2140" s="9" t="s">
        <v>9003</v>
      </c>
      <c r="F2140" s="27">
        <v>61</v>
      </c>
      <c r="G2140" s="17" t="s">
        <v>8628</v>
      </c>
      <c r="H2140" s="17" t="s">
        <v>299</v>
      </c>
      <c r="I2140" s="17" t="s">
        <v>2320</v>
      </c>
      <c r="J2140" s="17" t="s">
        <v>8629</v>
      </c>
      <c r="K2140" s="17"/>
      <c r="L2140" s="17" t="s">
        <v>8</v>
      </c>
    </row>
    <row r="2141" spans="1:12" ht="15" customHeight="1" x14ac:dyDescent="0.25">
      <c r="A2141" s="9" t="s">
        <v>2590</v>
      </c>
      <c r="B2141">
        <v>10</v>
      </c>
      <c r="C2141" s="9" t="s">
        <v>2591</v>
      </c>
      <c r="D2141" s="22">
        <v>78</v>
      </c>
      <c r="E2141" s="9" t="s">
        <v>9003</v>
      </c>
      <c r="F2141" s="27">
        <v>63</v>
      </c>
      <c r="G2141" s="17" t="s">
        <v>8630</v>
      </c>
      <c r="H2141" s="17" t="s">
        <v>8631</v>
      </c>
      <c r="I2141" s="17" t="s">
        <v>8632</v>
      </c>
      <c r="J2141" s="17" t="s">
        <v>8633</v>
      </c>
      <c r="K2141" s="17"/>
      <c r="L2141" s="17" t="s">
        <v>8</v>
      </c>
    </row>
    <row r="2142" spans="1:12" ht="15" customHeight="1" x14ac:dyDescent="0.25">
      <c r="A2142" s="9" t="s">
        <v>2590</v>
      </c>
      <c r="C2142" s="18" t="s">
        <v>8988</v>
      </c>
      <c r="D2142" s="22">
        <v>78</v>
      </c>
      <c r="E2142" s="9" t="s">
        <v>9003</v>
      </c>
      <c r="F2142" s="27">
        <v>64</v>
      </c>
      <c r="G2142" s="17" t="s">
        <v>8634</v>
      </c>
      <c r="H2142" s="17" t="s">
        <v>8635</v>
      </c>
      <c r="I2142" s="17" t="s">
        <v>8636</v>
      </c>
      <c r="J2142" s="17" t="s">
        <v>8637</v>
      </c>
      <c r="K2142" s="17"/>
      <c r="L2142" s="17" t="s">
        <v>8</v>
      </c>
    </row>
    <row r="2143" spans="1:12" ht="15" customHeight="1" x14ac:dyDescent="0.25">
      <c r="A2143" s="9" t="s">
        <v>2590</v>
      </c>
      <c r="B2143">
        <f>_xlfn.XLOOKUP(C2143,Temas!C:C,Temas!B:B)</f>
        <v>25</v>
      </c>
      <c r="C2143" t="s">
        <v>9159</v>
      </c>
      <c r="D2143" s="22">
        <v>78</v>
      </c>
      <c r="E2143" s="9" t="s">
        <v>9003</v>
      </c>
      <c r="F2143" s="27">
        <v>65</v>
      </c>
      <c r="G2143" s="17" t="s">
        <v>8638</v>
      </c>
      <c r="H2143" s="17" t="s">
        <v>8639</v>
      </c>
      <c r="I2143" s="17" t="s">
        <v>8640</v>
      </c>
      <c r="J2143" s="17" t="s">
        <v>8641</v>
      </c>
      <c r="K2143" s="17"/>
      <c r="L2143" s="17" t="s">
        <v>9</v>
      </c>
    </row>
    <row r="2144" spans="1:12" ht="15" customHeight="1" x14ac:dyDescent="0.25">
      <c r="A2144" s="9" t="s">
        <v>2590</v>
      </c>
      <c r="B2144">
        <f>_xlfn.XLOOKUP(C2144,Temas!C:C,Temas!B:B)</f>
        <v>25</v>
      </c>
      <c r="C2144" t="s">
        <v>9159</v>
      </c>
      <c r="D2144" s="22">
        <v>78</v>
      </c>
      <c r="E2144" s="9" t="s">
        <v>9003</v>
      </c>
      <c r="F2144" s="27">
        <v>66</v>
      </c>
      <c r="G2144" s="17" t="s">
        <v>8642</v>
      </c>
      <c r="H2144" s="17" t="s">
        <v>8643</v>
      </c>
      <c r="I2144" s="17" t="s">
        <v>8644</v>
      </c>
      <c r="J2144" s="17" t="s">
        <v>8645</v>
      </c>
      <c r="K2144" s="17"/>
      <c r="L2144" s="17" t="s">
        <v>9</v>
      </c>
    </row>
    <row r="2145" spans="1:12" ht="15" customHeight="1" x14ac:dyDescent="0.25">
      <c r="A2145" s="9" t="s">
        <v>2590</v>
      </c>
      <c r="B2145">
        <f>_xlfn.XLOOKUP(C2145,Temas!C:C,Temas!B:B)</f>
        <v>25</v>
      </c>
      <c r="C2145" t="s">
        <v>9159</v>
      </c>
      <c r="D2145" s="22">
        <v>78</v>
      </c>
      <c r="E2145" s="9" t="s">
        <v>9003</v>
      </c>
      <c r="F2145" s="27">
        <v>67</v>
      </c>
      <c r="G2145" s="17" t="s">
        <v>8646</v>
      </c>
      <c r="H2145" s="17" t="s">
        <v>8647</v>
      </c>
      <c r="I2145" s="17" t="s">
        <v>8648</v>
      </c>
      <c r="J2145" s="17" t="s">
        <v>8649</v>
      </c>
      <c r="K2145" s="17"/>
      <c r="L2145" s="17" t="s">
        <v>9</v>
      </c>
    </row>
    <row r="2146" spans="1:12" ht="15" customHeight="1" x14ac:dyDescent="0.25">
      <c r="A2146" s="9" t="s">
        <v>2590</v>
      </c>
      <c r="B2146">
        <f>_xlfn.XLOOKUP(C2146,Temas!C:C,Temas!B:B)</f>
        <v>25</v>
      </c>
      <c r="C2146" t="s">
        <v>9159</v>
      </c>
      <c r="D2146" s="22">
        <v>78</v>
      </c>
      <c r="E2146" s="9" t="s">
        <v>9003</v>
      </c>
      <c r="F2146" s="27">
        <v>68</v>
      </c>
      <c r="G2146" s="17" t="s">
        <v>8650</v>
      </c>
      <c r="H2146" s="17" t="s">
        <v>8651</v>
      </c>
      <c r="I2146" s="17" t="s">
        <v>8652</v>
      </c>
      <c r="J2146" s="17" t="s">
        <v>8207</v>
      </c>
      <c r="K2146" s="17"/>
      <c r="L2146" s="17" t="s">
        <v>9</v>
      </c>
    </row>
    <row r="2147" spans="1:12" ht="15" customHeight="1" x14ac:dyDescent="0.25">
      <c r="A2147" s="9" t="s">
        <v>2590</v>
      </c>
      <c r="B2147">
        <f>_xlfn.XLOOKUP(C2147,Temas!C:C,Temas!B:B)</f>
        <v>25</v>
      </c>
      <c r="C2147" t="s">
        <v>9159</v>
      </c>
      <c r="D2147" s="22">
        <v>78</v>
      </c>
      <c r="E2147" s="9" t="s">
        <v>9003</v>
      </c>
      <c r="F2147" s="27">
        <v>69</v>
      </c>
      <c r="G2147" s="17" t="s">
        <v>8653</v>
      </c>
      <c r="H2147" s="17" t="s">
        <v>8654</v>
      </c>
      <c r="I2147" s="17" t="s">
        <v>8655</v>
      </c>
      <c r="J2147" s="17" t="s">
        <v>8207</v>
      </c>
      <c r="K2147" s="17"/>
      <c r="L2147" s="17" t="s">
        <v>9</v>
      </c>
    </row>
    <row r="2148" spans="1:12" ht="15" customHeight="1" x14ac:dyDescent="0.25">
      <c r="A2148" s="9" t="s">
        <v>2590</v>
      </c>
      <c r="B2148">
        <v>12</v>
      </c>
      <c r="C2148" s="9" t="s">
        <v>3352</v>
      </c>
      <c r="D2148" s="22">
        <v>78</v>
      </c>
      <c r="E2148" s="9" t="s">
        <v>9003</v>
      </c>
      <c r="F2148" s="27">
        <v>70</v>
      </c>
      <c r="G2148" s="17" t="s">
        <v>8656</v>
      </c>
      <c r="H2148" s="17" t="s">
        <v>8657</v>
      </c>
      <c r="I2148" s="17" t="s">
        <v>8658</v>
      </c>
      <c r="J2148" s="17" t="s">
        <v>3860</v>
      </c>
      <c r="K2148" s="17"/>
      <c r="L2148" s="17" t="s">
        <v>9</v>
      </c>
    </row>
    <row r="2149" spans="1:12" ht="15" customHeight="1" x14ac:dyDescent="0.25">
      <c r="A2149" s="9" t="s">
        <v>2590</v>
      </c>
      <c r="B2149">
        <f>_xlfn.XLOOKUP(C2149,Temas!C:C,Temas!B:B)</f>
        <v>25</v>
      </c>
      <c r="C2149" t="s">
        <v>9159</v>
      </c>
      <c r="D2149" s="22">
        <v>78</v>
      </c>
      <c r="E2149" s="9" t="s">
        <v>9003</v>
      </c>
      <c r="F2149" s="27">
        <v>71</v>
      </c>
      <c r="G2149" s="17" t="s">
        <v>8659</v>
      </c>
      <c r="H2149" s="17" t="s">
        <v>8660</v>
      </c>
      <c r="I2149" s="17" t="s">
        <v>8661</v>
      </c>
      <c r="J2149" s="17" t="s">
        <v>8662</v>
      </c>
      <c r="K2149" s="17"/>
      <c r="L2149" s="17" t="s">
        <v>9</v>
      </c>
    </row>
    <row r="2150" spans="1:12" ht="15" customHeight="1" x14ac:dyDescent="0.25">
      <c r="A2150" s="9" t="s">
        <v>2590</v>
      </c>
      <c r="B2150">
        <f>_xlfn.XLOOKUP(C2150,Temas!C:C,Temas!B:B)</f>
        <v>25</v>
      </c>
      <c r="C2150" t="s">
        <v>9159</v>
      </c>
      <c r="D2150" s="22">
        <v>78</v>
      </c>
      <c r="E2150" s="9" t="s">
        <v>9003</v>
      </c>
      <c r="F2150" s="27">
        <v>72</v>
      </c>
      <c r="G2150" s="17" t="s">
        <v>8663</v>
      </c>
      <c r="H2150" s="17" t="s">
        <v>8664</v>
      </c>
      <c r="I2150" s="17" t="s">
        <v>8661</v>
      </c>
      <c r="J2150" s="17" t="s">
        <v>8665</v>
      </c>
      <c r="K2150" s="17"/>
      <c r="L2150" s="17" t="s">
        <v>7</v>
      </c>
    </row>
    <row r="2151" spans="1:12" ht="15" customHeight="1" x14ac:dyDescent="0.25">
      <c r="A2151" s="9" t="s">
        <v>2590</v>
      </c>
      <c r="B2151">
        <v>21</v>
      </c>
      <c r="C2151" s="9" t="s">
        <v>6151</v>
      </c>
      <c r="D2151" s="22">
        <v>78</v>
      </c>
      <c r="E2151" s="9" t="s">
        <v>9003</v>
      </c>
      <c r="F2151" s="27">
        <v>74</v>
      </c>
      <c r="G2151" s="17" t="s">
        <v>8666</v>
      </c>
      <c r="H2151" s="17" t="s">
        <v>8667</v>
      </c>
      <c r="I2151" s="17" t="s">
        <v>8668</v>
      </c>
      <c r="J2151" s="17" t="s">
        <v>8669</v>
      </c>
      <c r="K2151" s="17"/>
      <c r="L2151" s="17" t="s">
        <v>8</v>
      </c>
    </row>
    <row r="2152" spans="1:12" ht="15" customHeight="1" x14ac:dyDescent="0.25">
      <c r="A2152" s="9" t="s">
        <v>2590</v>
      </c>
      <c r="B2152">
        <v>12</v>
      </c>
      <c r="C2152" s="9" t="s">
        <v>3352</v>
      </c>
      <c r="D2152" s="22">
        <v>78</v>
      </c>
      <c r="E2152" s="9" t="s">
        <v>9003</v>
      </c>
      <c r="F2152" s="27">
        <v>75</v>
      </c>
      <c r="G2152" s="17" t="s">
        <v>8670</v>
      </c>
      <c r="H2152" s="17" t="s">
        <v>8671</v>
      </c>
      <c r="I2152" s="17" t="s">
        <v>3651</v>
      </c>
      <c r="J2152" s="17" t="s">
        <v>8672</v>
      </c>
      <c r="K2152" s="17"/>
      <c r="L2152" s="17" t="s">
        <v>8</v>
      </c>
    </row>
    <row r="2153" spans="1:12" ht="15" customHeight="1" x14ac:dyDescent="0.25">
      <c r="A2153" s="9" t="s">
        <v>2590</v>
      </c>
      <c r="C2153" s="18" t="s">
        <v>8988</v>
      </c>
      <c r="D2153" s="22">
        <v>78</v>
      </c>
      <c r="E2153" s="9" t="s">
        <v>9003</v>
      </c>
      <c r="F2153" s="27">
        <v>77</v>
      </c>
      <c r="G2153" s="17" t="s">
        <v>8673</v>
      </c>
      <c r="H2153" s="17" t="s">
        <v>8674</v>
      </c>
      <c r="I2153" s="17" t="s">
        <v>8675</v>
      </c>
      <c r="J2153" s="17" t="s">
        <v>8676</v>
      </c>
      <c r="K2153" s="17"/>
      <c r="L2153" s="17" t="s">
        <v>7</v>
      </c>
    </row>
    <row r="2154" spans="1:12" ht="15" customHeight="1" x14ac:dyDescent="0.25">
      <c r="A2154" s="9" t="s">
        <v>2590</v>
      </c>
      <c r="C2154" s="18" t="s">
        <v>8988</v>
      </c>
      <c r="D2154" s="22">
        <v>78</v>
      </c>
      <c r="E2154" s="9" t="s">
        <v>9003</v>
      </c>
      <c r="F2154" s="27">
        <v>78</v>
      </c>
      <c r="G2154" s="17" t="s">
        <v>8677</v>
      </c>
      <c r="H2154" s="17" t="s">
        <v>8678</v>
      </c>
      <c r="I2154" s="17" t="s">
        <v>8679</v>
      </c>
      <c r="J2154" s="17" t="s">
        <v>8680</v>
      </c>
      <c r="K2154" s="17"/>
      <c r="L2154" s="17" t="s">
        <v>8</v>
      </c>
    </row>
    <row r="2155" spans="1:12" ht="15" customHeight="1" x14ac:dyDescent="0.25">
      <c r="A2155" s="9" t="s">
        <v>2590</v>
      </c>
      <c r="C2155" s="18" t="s">
        <v>8988</v>
      </c>
      <c r="D2155" s="22">
        <v>78</v>
      </c>
      <c r="E2155" s="9" t="s">
        <v>9003</v>
      </c>
      <c r="F2155" s="27">
        <v>79</v>
      </c>
      <c r="G2155" s="17" t="s">
        <v>8681</v>
      </c>
      <c r="H2155" s="17" t="s">
        <v>8682</v>
      </c>
      <c r="I2155" s="17" t="s">
        <v>8683</v>
      </c>
      <c r="J2155" s="17" t="s">
        <v>8684</v>
      </c>
      <c r="K2155" s="17"/>
      <c r="L2155" s="17" t="s">
        <v>8</v>
      </c>
    </row>
    <row r="2156" spans="1:12" ht="15" customHeight="1" x14ac:dyDescent="0.25">
      <c r="A2156" s="9" t="s">
        <v>2590</v>
      </c>
      <c r="C2156" s="18" t="s">
        <v>8988</v>
      </c>
      <c r="D2156" s="22">
        <v>78</v>
      </c>
      <c r="E2156" s="9" t="s">
        <v>9003</v>
      </c>
      <c r="F2156" s="27">
        <v>80</v>
      </c>
      <c r="G2156" s="17" t="s">
        <v>8685</v>
      </c>
      <c r="H2156" s="17" t="s">
        <v>8686</v>
      </c>
      <c r="I2156" s="17" t="s">
        <v>7717</v>
      </c>
      <c r="J2156" s="17" t="s">
        <v>8627</v>
      </c>
      <c r="K2156" s="17"/>
      <c r="L2156" s="17" t="s">
        <v>9</v>
      </c>
    </row>
    <row r="2157" spans="1:12" ht="15" customHeight="1" x14ac:dyDescent="0.25">
      <c r="A2157" s="9" t="s">
        <v>2590</v>
      </c>
      <c r="C2157" s="18" t="s">
        <v>8988</v>
      </c>
      <c r="D2157" s="22">
        <v>78</v>
      </c>
      <c r="E2157" s="9" t="s">
        <v>9003</v>
      </c>
      <c r="F2157" s="27">
        <v>81</v>
      </c>
      <c r="G2157" s="17" t="s">
        <v>8687</v>
      </c>
      <c r="H2157" s="17" t="s">
        <v>8688</v>
      </c>
      <c r="I2157" s="17" t="s">
        <v>8689</v>
      </c>
      <c r="J2157" s="17" t="s">
        <v>8690</v>
      </c>
      <c r="K2157" s="17"/>
      <c r="L2157" s="17" t="s">
        <v>8</v>
      </c>
    </row>
    <row r="2158" spans="1:12" ht="15" customHeight="1" x14ac:dyDescent="0.25">
      <c r="A2158" s="9" t="s">
        <v>2590</v>
      </c>
      <c r="B2158">
        <v>26</v>
      </c>
      <c r="C2158" s="18" t="s">
        <v>7671</v>
      </c>
      <c r="D2158" s="22">
        <v>78</v>
      </c>
      <c r="E2158" s="9" t="s">
        <v>9003</v>
      </c>
      <c r="F2158" s="27">
        <v>82</v>
      </c>
      <c r="G2158" s="17" t="s">
        <v>8691</v>
      </c>
      <c r="H2158" s="17" t="s">
        <v>8692</v>
      </c>
      <c r="I2158" s="17" t="s">
        <v>8693</v>
      </c>
      <c r="J2158" s="17" t="s">
        <v>8694</v>
      </c>
      <c r="K2158" s="17"/>
      <c r="L2158" s="17" t="s">
        <v>7</v>
      </c>
    </row>
    <row r="2159" spans="1:12" ht="15" customHeight="1" x14ac:dyDescent="0.25">
      <c r="A2159" s="9" t="s">
        <v>2590</v>
      </c>
      <c r="B2159">
        <v>26</v>
      </c>
      <c r="C2159" s="18" t="s">
        <v>7671</v>
      </c>
      <c r="D2159" s="22">
        <v>78</v>
      </c>
      <c r="E2159" s="9" t="s">
        <v>9003</v>
      </c>
      <c r="F2159" s="27">
        <v>83</v>
      </c>
      <c r="G2159" s="17" t="s">
        <v>8695</v>
      </c>
      <c r="H2159" s="17" t="s">
        <v>8696</v>
      </c>
      <c r="I2159" s="17" t="s">
        <v>8697</v>
      </c>
      <c r="J2159" s="17" t="s">
        <v>8698</v>
      </c>
      <c r="K2159" s="17"/>
      <c r="L2159" s="17" t="s">
        <v>8</v>
      </c>
    </row>
    <row r="2160" spans="1:12" ht="15" customHeight="1" x14ac:dyDescent="0.25">
      <c r="A2160" s="9" t="s">
        <v>2590</v>
      </c>
      <c r="B2160">
        <v>26</v>
      </c>
      <c r="C2160" s="18" t="s">
        <v>7671</v>
      </c>
      <c r="D2160" s="22">
        <v>78</v>
      </c>
      <c r="E2160" s="9" t="s">
        <v>9003</v>
      </c>
      <c r="F2160" s="27">
        <v>84</v>
      </c>
      <c r="G2160" s="17" t="s">
        <v>8699</v>
      </c>
      <c r="H2160" s="17" t="s">
        <v>8700</v>
      </c>
      <c r="I2160" s="17" t="s">
        <v>8701</v>
      </c>
      <c r="J2160" s="17" t="s">
        <v>8702</v>
      </c>
      <c r="K2160" s="17"/>
      <c r="L2160" s="17" t="s">
        <v>9</v>
      </c>
    </row>
    <row r="2161" spans="1:12" ht="15" customHeight="1" x14ac:dyDescent="0.25">
      <c r="A2161" s="9" t="s">
        <v>2590</v>
      </c>
      <c r="B2161">
        <v>26</v>
      </c>
      <c r="C2161" s="18" t="s">
        <v>7671</v>
      </c>
      <c r="D2161" s="22">
        <v>78</v>
      </c>
      <c r="E2161" s="9" t="s">
        <v>9003</v>
      </c>
      <c r="F2161" s="27">
        <v>85</v>
      </c>
      <c r="G2161" s="17" t="s">
        <v>8703</v>
      </c>
      <c r="H2161" s="17" t="s">
        <v>8704</v>
      </c>
      <c r="I2161" s="17" t="s">
        <v>8705</v>
      </c>
      <c r="J2161" s="17" t="s">
        <v>8706</v>
      </c>
      <c r="K2161" s="17"/>
      <c r="L2161" s="17" t="s">
        <v>8</v>
      </c>
    </row>
    <row r="2162" spans="1:12" ht="15" customHeight="1" x14ac:dyDescent="0.25">
      <c r="A2162" s="9" t="s">
        <v>2590</v>
      </c>
      <c r="B2162">
        <v>26</v>
      </c>
      <c r="C2162" s="18" t="s">
        <v>7671</v>
      </c>
      <c r="D2162" s="22">
        <v>78</v>
      </c>
      <c r="E2162" s="9" t="s">
        <v>9003</v>
      </c>
      <c r="F2162" s="27">
        <v>86</v>
      </c>
      <c r="G2162" s="17" t="s">
        <v>8707</v>
      </c>
      <c r="H2162" s="17" t="s">
        <v>8708</v>
      </c>
      <c r="I2162" s="17" t="s">
        <v>8709</v>
      </c>
      <c r="J2162" s="17" t="s">
        <v>8710</v>
      </c>
      <c r="K2162" s="17"/>
      <c r="L2162" s="17" t="s">
        <v>7</v>
      </c>
    </row>
    <row r="2163" spans="1:12" ht="15" customHeight="1" x14ac:dyDescent="0.25">
      <c r="A2163" s="9" t="s">
        <v>2590</v>
      </c>
      <c r="B2163">
        <v>26</v>
      </c>
      <c r="C2163" s="18" t="s">
        <v>7671</v>
      </c>
      <c r="D2163" s="22">
        <v>78</v>
      </c>
      <c r="E2163" s="9" t="s">
        <v>9003</v>
      </c>
      <c r="F2163" s="27">
        <v>87</v>
      </c>
      <c r="G2163" s="17" t="s">
        <v>8711</v>
      </c>
      <c r="H2163" s="17" t="s">
        <v>8712</v>
      </c>
      <c r="I2163" s="17" t="s">
        <v>8713</v>
      </c>
      <c r="J2163" s="17" t="s">
        <v>8714</v>
      </c>
      <c r="K2163" s="17"/>
      <c r="L2163" s="17" t="s">
        <v>7</v>
      </c>
    </row>
    <row r="2164" spans="1:12" ht="15" customHeight="1" x14ac:dyDescent="0.25">
      <c r="A2164" s="9" t="s">
        <v>2590</v>
      </c>
      <c r="B2164">
        <v>15</v>
      </c>
      <c r="C2164" s="18" t="s">
        <v>5066</v>
      </c>
      <c r="D2164" s="22">
        <v>78</v>
      </c>
      <c r="E2164" s="9" t="s">
        <v>9003</v>
      </c>
      <c r="F2164" s="27">
        <v>88</v>
      </c>
      <c r="G2164" s="17" t="s">
        <v>8715</v>
      </c>
      <c r="H2164" s="17" t="s">
        <v>8716</v>
      </c>
      <c r="I2164" s="17" t="s">
        <v>8717</v>
      </c>
      <c r="J2164" s="17" t="s">
        <v>8718</v>
      </c>
      <c r="K2164" s="17"/>
      <c r="L2164" s="17" t="s">
        <v>8</v>
      </c>
    </row>
    <row r="2165" spans="1:12" ht="15" customHeight="1" x14ac:dyDescent="0.25">
      <c r="A2165" s="9" t="s">
        <v>2590</v>
      </c>
      <c r="B2165">
        <v>26</v>
      </c>
      <c r="C2165" s="18" t="s">
        <v>7671</v>
      </c>
      <c r="D2165" s="22">
        <v>78</v>
      </c>
      <c r="E2165" s="9" t="s">
        <v>9003</v>
      </c>
      <c r="F2165" s="27">
        <v>89</v>
      </c>
      <c r="G2165" s="17" t="s">
        <v>8719</v>
      </c>
      <c r="H2165" s="17" t="s">
        <v>8720</v>
      </c>
      <c r="I2165" s="17" t="s">
        <v>8721</v>
      </c>
      <c r="J2165" s="17" t="s">
        <v>8722</v>
      </c>
      <c r="K2165" s="17"/>
      <c r="L2165" s="17" t="s">
        <v>9</v>
      </c>
    </row>
    <row r="2166" spans="1:12" ht="15" customHeight="1" x14ac:dyDescent="0.25">
      <c r="A2166" s="9" t="s">
        <v>2590</v>
      </c>
      <c r="B2166">
        <v>27</v>
      </c>
      <c r="C2166" s="18" t="s">
        <v>7706</v>
      </c>
      <c r="D2166" s="22">
        <v>78</v>
      </c>
      <c r="E2166" s="9" t="s">
        <v>9003</v>
      </c>
      <c r="F2166" s="27">
        <v>91</v>
      </c>
      <c r="G2166" s="17" t="s">
        <v>8723</v>
      </c>
      <c r="H2166" s="17" t="s">
        <v>8724</v>
      </c>
      <c r="I2166" s="17" t="s">
        <v>8725</v>
      </c>
      <c r="J2166" s="17" t="s">
        <v>789</v>
      </c>
      <c r="K2166" s="17"/>
      <c r="L2166" s="17" t="s">
        <v>7</v>
      </c>
    </row>
    <row r="2167" spans="1:12" ht="15" customHeight="1" x14ac:dyDescent="0.25">
      <c r="A2167" s="9" t="s">
        <v>2590</v>
      </c>
      <c r="B2167">
        <v>27</v>
      </c>
      <c r="C2167" s="18" t="s">
        <v>7706</v>
      </c>
      <c r="D2167" s="22">
        <v>78</v>
      </c>
      <c r="E2167" s="9" t="s">
        <v>9003</v>
      </c>
      <c r="F2167" s="27">
        <v>92</v>
      </c>
      <c r="G2167" s="17" t="s">
        <v>8726</v>
      </c>
      <c r="H2167" s="17" t="s">
        <v>8727</v>
      </c>
      <c r="I2167" s="17" t="s">
        <v>8728</v>
      </c>
      <c r="J2167" s="17" t="s">
        <v>789</v>
      </c>
      <c r="K2167" s="17"/>
      <c r="L2167" s="17" t="s">
        <v>9</v>
      </c>
    </row>
    <row r="2168" spans="1:12" ht="15" customHeight="1" x14ac:dyDescent="0.25">
      <c r="A2168" s="9" t="s">
        <v>2590</v>
      </c>
      <c r="B2168">
        <v>27</v>
      </c>
      <c r="C2168" s="18" t="s">
        <v>7706</v>
      </c>
      <c r="D2168" s="22">
        <v>78</v>
      </c>
      <c r="E2168" s="9" t="s">
        <v>9003</v>
      </c>
      <c r="F2168" s="27">
        <v>93</v>
      </c>
      <c r="G2168" s="17" t="s">
        <v>8729</v>
      </c>
      <c r="H2168" s="17" t="s">
        <v>8730</v>
      </c>
      <c r="I2168" s="17" t="s">
        <v>8731</v>
      </c>
      <c r="J2168" s="17" t="s">
        <v>8732</v>
      </c>
      <c r="K2168" s="17"/>
      <c r="L2168" s="17" t="s">
        <v>8</v>
      </c>
    </row>
    <row r="2169" spans="1:12" ht="15" customHeight="1" x14ac:dyDescent="0.25">
      <c r="A2169" s="9" t="s">
        <v>2590</v>
      </c>
      <c r="B2169">
        <v>27</v>
      </c>
      <c r="C2169" s="18" t="s">
        <v>7706</v>
      </c>
      <c r="D2169" s="22">
        <v>78</v>
      </c>
      <c r="E2169" s="9" t="s">
        <v>9003</v>
      </c>
      <c r="F2169" s="27">
        <v>94</v>
      </c>
      <c r="G2169" s="17" t="s">
        <v>8733</v>
      </c>
      <c r="H2169" s="17" t="s">
        <v>8734</v>
      </c>
      <c r="I2169" s="17" t="s">
        <v>8735</v>
      </c>
      <c r="J2169" s="17" t="s">
        <v>8736</v>
      </c>
      <c r="K2169" s="17"/>
      <c r="L2169" s="17" t="s">
        <v>8</v>
      </c>
    </row>
    <row r="2170" spans="1:12" ht="15" customHeight="1" x14ac:dyDescent="0.25">
      <c r="A2170" s="9" t="s">
        <v>2590</v>
      </c>
      <c r="B2170">
        <v>27</v>
      </c>
      <c r="C2170" s="18" t="s">
        <v>7706</v>
      </c>
      <c r="D2170" s="22">
        <v>78</v>
      </c>
      <c r="E2170" s="9" t="s">
        <v>9003</v>
      </c>
      <c r="F2170" s="27">
        <v>95</v>
      </c>
      <c r="G2170" s="17" t="s">
        <v>8737</v>
      </c>
      <c r="H2170" s="17" t="s">
        <v>8738</v>
      </c>
      <c r="I2170" s="17" t="s">
        <v>8739</v>
      </c>
      <c r="J2170" s="17" t="s">
        <v>8740</v>
      </c>
      <c r="K2170" s="17"/>
      <c r="L2170" s="17" t="s">
        <v>9</v>
      </c>
    </row>
    <row r="2171" spans="1:12" ht="15" customHeight="1" x14ac:dyDescent="0.25">
      <c r="A2171" s="9" t="s">
        <v>2590</v>
      </c>
      <c r="B2171">
        <v>12</v>
      </c>
      <c r="C2171" s="18" t="s">
        <v>3352</v>
      </c>
      <c r="D2171" s="22">
        <v>78</v>
      </c>
      <c r="E2171" s="9" t="s">
        <v>9003</v>
      </c>
      <c r="F2171" s="27">
        <v>96</v>
      </c>
      <c r="G2171" s="17" t="s">
        <v>8741</v>
      </c>
      <c r="H2171" s="17" t="s">
        <v>8742</v>
      </c>
      <c r="I2171" s="17" t="s">
        <v>8743</v>
      </c>
      <c r="J2171" s="17" t="s">
        <v>8744</v>
      </c>
      <c r="K2171" s="17"/>
      <c r="L2171" s="17" t="s">
        <v>8</v>
      </c>
    </row>
    <row r="2172" spans="1:12" ht="15" customHeight="1" x14ac:dyDescent="0.25">
      <c r="A2172" s="9" t="s">
        <v>2590</v>
      </c>
      <c r="B2172">
        <v>10</v>
      </c>
      <c r="C2172" s="18" t="s">
        <v>2591</v>
      </c>
      <c r="D2172" s="22">
        <v>78</v>
      </c>
      <c r="E2172" s="9" t="s">
        <v>9003</v>
      </c>
      <c r="F2172" s="27">
        <v>98</v>
      </c>
      <c r="G2172" s="17" t="s">
        <v>8745</v>
      </c>
      <c r="H2172" s="17" t="s">
        <v>8746</v>
      </c>
      <c r="I2172" s="17" t="s">
        <v>8747</v>
      </c>
      <c r="J2172" s="17" t="s">
        <v>8748</v>
      </c>
      <c r="K2172" s="17"/>
      <c r="L2172" s="17" t="s">
        <v>8</v>
      </c>
    </row>
    <row r="2173" spans="1:12" ht="15" customHeight="1" x14ac:dyDescent="0.25">
      <c r="A2173" s="9" t="s">
        <v>2590</v>
      </c>
      <c r="B2173">
        <v>12</v>
      </c>
      <c r="C2173" s="18" t="s">
        <v>3352</v>
      </c>
      <c r="D2173" s="22">
        <v>78</v>
      </c>
      <c r="E2173" s="9" t="s">
        <v>9003</v>
      </c>
      <c r="F2173" s="27">
        <v>99</v>
      </c>
      <c r="G2173" s="17" t="s">
        <v>8749</v>
      </c>
      <c r="H2173" s="17" t="s">
        <v>8750</v>
      </c>
      <c r="I2173" s="17" t="s">
        <v>8751</v>
      </c>
      <c r="J2173" s="17" t="s">
        <v>8752</v>
      </c>
      <c r="K2173" s="17"/>
      <c r="L2173" s="17" t="s">
        <v>8</v>
      </c>
    </row>
    <row r="2174" spans="1:12" ht="15" customHeight="1" x14ac:dyDescent="0.25">
      <c r="A2174" s="9" t="s">
        <v>2590</v>
      </c>
      <c r="B2174">
        <v>10</v>
      </c>
      <c r="C2174" s="18" t="s">
        <v>2591</v>
      </c>
      <c r="D2174" s="22">
        <v>78</v>
      </c>
      <c r="E2174" s="9" t="s">
        <v>9003</v>
      </c>
      <c r="F2174" s="27">
        <v>100</v>
      </c>
      <c r="G2174" s="17" t="s">
        <v>8753</v>
      </c>
      <c r="H2174" s="17" t="s">
        <v>8754</v>
      </c>
      <c r="I2174" s="17" t="s">
        <v>8755</v>
      </c>
      <c r="J2174" s="17" t="s">
        <v>8756</v>
      </c>
      <c r="K2174" s="17"/>
      <c r="L2174" s="17" t="s">
        <v>7</v>
      </c>
    </row>
    <row r="2175" spans="1:12" ht="15" customHeight="1" x14ac:dyDescent="0.25">
      <c r="A2175" s="9" t="s">
        <v>2590</v>
      </c>
      <c r="C2175" s="18" t="s">
        <v>8988</v>
      </c>
      <c r="D2175" s="22">
        <v>78</v>
      </c>
      <c r="E2175" s="9" t="s">
        <v>9003</v>
      </c>
      <c r="F2175" s="27" t="s">
        <v>8232</v>
      </c>
      <c r="G2175" s="17" t="s">
        <v>8757</v>
      </c>
      <c r="H2175" s="17" t="s">
        <v>8758</v>
      </c>
      <c r="I2175" s="17" t="s">
        <v>8759</v>
      </c>
      <c r="J2175" s="17" t="s">
        <v>8760</v>
      </c>
      <c r="K2175" s="17"/>
      <c r="L2175" s="17" t="s">
        <v>7</v>
      </c>
    </row>
    <row r="2176" spans="1:12" ht="15" customHeight="1" x14ac:dyDescent="0.25">
      <c r="A2176" s="9" t="s">
        <v>2590</v>
      </c>
      <c r="B2176">
        <f>_xlfn.XLOOKUP(C2176,Temas!C:C,Temas!B:B)</f>
        <v>25</v>
      </c>
      <c r="C2176" t="s">
        <v>9159</v>
      </c>
      <c r="D2176" s="22">
        <v>78</v>
      </c>
      <c r="E2176" s="9" t="s">
        <v>9003</v>
      </c>
      <c r="F2176" s="27" t="s">
        <v>8058</v>
      </c>
      <c r="G2176" s="17" t="s">
        <v>8761</v>
      </c>
      <c r="H2176" s="17" t="s">
        <v>8762</v>
      </c>
      <c r="I2176" s="17" t="s">
        <v>8763</v>
      </c>
      <c r="J2176" s="17" t="s">
        <v>8764</v>
      </c>
      <c r="K2176" s="17"/>
      <c r="L2176" s="17" t="s">
        <v>9</v>
      </c>
    </row>
    <row r="2177" spans="1:12" ht="15" customHeight="1" x14ac:dyDescent="0.25">
      <c r="A2177" s="9" t="s">
        <v>2590</v>
      </c>
      <c r="B2177">
        <v>10</v>
      </c>
      <c r="C2177" s="18" t="s">
        <v>2591</v>
      </c>
      <c r="D2177" s="22">
        <v>78</v>
      </c>
      <c r="E2177" s="9" t="s">
        <v>9003</v>
      </c>
      <c r="F2177" s="27" t="s">
        <v>8060</v>
      </c>
      <c r="G2177" s="17" t="s">
        <v>8765</v>
      </c>
      <c r="H2177" s="17" t="s">
        <v>8766</v>
      </c>
      <c r="I2177" s="17" t="s">
        <v>8767</v>
      </c>
      <c r="J2177" s="17" t="s">
        <v>8768</v>
      </c>
      <c r="K2177" s="17"/>
      <c r="L2177" s="17" t="s">
        <v>8</v>
      </c>
    </row>
    <row r="2178" spans="1:12" ht="15" customHeight="1" x14ac:dyDescent="0.25">
      <c r="A2178" s="9" t="s">
        <v>2590</v>
      </c>
      <c r="B2178">
        <v>10</v>
      </c>
      <c r="C2178" s="18" t="s">
        <v>2591</v>
      </c>
      <c r="D2178" s="22">
        <v>78</v>
      </c>
      <c r="E2178" s="9" t="s">
        <v>9003</v>
      </c>
      <c r="F2178" s="27" t="s">
        <v>8485</v>
      </c>
      <c r="G2178" s="17" t="s">
        <v>8769</v>
      </c>
      <c r="H2178" s="17" t="s">
        <v>8770</v>
      </c>
      <c r="I2178" s="17" t="s">
        <v>8771</v>
      </c>
      <c r="J2178" s="17" t="s">
        <v>8772</v>
      </c>
      <c r="K2178" s="17"/>
      <c r="L2178" s="17" t="s">
        <v>9</v>
      </c>
    </row>
    <row r="2179" spans="1:12" ht="15" customHeight="1" x14ac:dyDescent="0.25">
      <c r="A2179" s="9" t="s">
        <v>2590</v>
      </c>
      <c r="B2179">
        <v>17</v>
      </c>
      <c r="C2179" s="18" t="s">
        <v>5255</v>
      </c>
      <c r="D2179" s="22">
        <v>79</v>
      </c>
      <c r="E2179" s="9" t="s">
        <v>9004</v>
      </c>
      <c r="F2179" s="25">
        <v>21</v>
      </c>
      <c r="G2179" s="17" t="s">
        <v>8773</v>
      </c>
      <c r="H2179" s="17" t="s">
        <v>8774</v>
      </c>
      <c r="I2179" s="17" t="s">
        <v>8775</v>
      </c>
      <c r="J2179" s="17" t="s">
        <v>8776</v>
      </c>
      <c r="K2179" s="17"/>
      <c r="L2179" s="17" t="s">
        <v>8</v>
      </c>
    </row>
    <row r="2180" spans="1:12" ht="15" customHeight="1" x14ac:dyDescent="0.25">
      <c r="A2180" s="9" t="s">
        <v>2590</v>
      </c>
      <c r="B2180">
        <v>17</v>
      </c>
      <c r="C2180" s="18" t="s">
        <v>5255</v>
      </c>
      <c r="D2180" s="22">
        <v>79</v>
      </c>
      <c r="E2180" s="9" t="s">
        <v>9004</v>
      </c>
      <c r="F2180" s="25">
        <v>22</v>
      </c>
      <c r="G2180" s="17" t="s">
        <v>8777</v>
      </c>
      <c r="H2180" s="17" t="s">
        <v>8778</v>
      </c>
      <c r="I2180" s="17" t="s">
        <v>8779</v>
      </c>
      <c r="J2180" s="17" t="s">
        <v>8780</v>
      </c>
      <c r="K2180" s="17"/>
      <c r="L2180" s="17" t="s">
        <v>8</v>
      </c>
    </row>
    <row r="2181" spans="1:12" ht="15" customHeight="1" x14ac:dyDescent="0.25">
      <c r="A2181" s="9" t="s">
        <v>2590</v>
      </c>
      <c r="B2181">
        <v>17</v>
      </c>
      <c r="C2181" s="18" t="s">
        <v>5255</v>
      </c>
      <c r="D2181" s="22">
        <v>79</v>
      </c>
      <c r="E2181" s="9" t="s">
        <v>9004</v>
      </c>
      <c r="F2181" s="25">
        <v>23</v>
      </c>
      <c r="G2181" s="17" t="s">
        <v>8781</v>
      </c>
      <c r="H2181" s="17" t="s">
        <v>6615</v>
      </c>
      <c r="I2181" s="17" t="s">
        <v>8782</v>
      </c>
      <c r="J2181" s="17" t="s">
        <v>6614</v>
      </c>
      <c r="K2181" s="17"/>
      <c r="L2181" s="17" t="s">
        <v>8</v>
      </c>
    </row>
    <row r="2182" spans="1:12" ht="15" customHeight="1" x14ac:dyDescent="0.25">
      <c r="A2182" s="9" t="s">
        <v>2590</v>
      </c>
      <c r="B2182">
        <v>17</v>
      </c>
      <c r="C2182" s="18" t="s">
        <v>5255</v>
      </c>
      <c r="D2182" s="22">
        <v>79</v>
      </c>
      <c r="E2182" s="9" t="s">
        <v>9004</v>
      </c>
      <c r="F2182" s="25">
        <v>24</v>
      </c>
      <c r="G2182" s="17" t="s">
        <v>8783</v>
      </c>
      <c r="H2182" s="17" t="s">
        <v>8784</v>
      </c>
      <c r="I2182" s="17" t="s">
        <v>8785</v>
      </c>
      <c r="J2182" s="17" t="s">
        <v>8786</v>
      </c>
      <c r="K2182" s="17"/>
      <c r="L2182" s="17" t="s">
        <v>7</v>
      </c>
    </row>
    <row r="2183" spans="1:12" ht="15" customHeight="1" x14ac:dyDescent="0.25">
      <c r="A2183" s="9" t="s">
        <v>2590</v>
      </c>
      <c r="C2183" s="18" t="s">
        <v>8988</v>
      </c>
      <c r="D2183" s="22">
        <v>79</v>
      </c>
      <c r="E2183" s="9" t="s">
        <v>9004</v>
      </c>
      <c r="F2183" s="25">
        <v>25</v>
      </c>
      <c r="G2183" s="17" t="s">
        <v>8787</v>
      </c>
      <c r="H2183" s="17" t="s">
        <v>8788</v>
      </c>
      <c r="I2183" s="17" t="s">
        <v>8789</v>
      </c>
      <c r="J2183" s="17" t="s">
        <v>8790</v>
      </c>
      <c r="K2183" s="17"/>
      <c r="L2183" s="17" t="s">
        <v>9</v>
      </c>
    </row>
    <row r="2184" spans="1:12" ht="15" customHeight="1" x14ac:dyDescent="0.25">
      <c r="A2184" s="9" t="s">
        <v>2590</v>
      </c>
      <c r="B2184">
        <f>_xlfn.XLOOKUP(C2184,Temas!C:C,Temas!B:B)</f>
        <v>25</v>
      </c>
      <c r="C2184" t="s">
        <v>9159</v>
      </c>
      <c r="D2184" s="22">
        <v>79</v>
      </c>
      <c r="E2184" s="9" t="s">
        <v>9004</v>
      </c>
      <c r="F2184" s="25">
        <v>26</v>
      </c>
      <c r="G2184" s="17" t="s">
        <v>8791</v>
      </c>
      <c r="H2184" s="17" t="s">
        <v>8792</v>
      </c>
      <c r="I2184" s="17" t="s">
        <v>8793</v>
      </c>
      <c r="J2184" s="17" t="s">
        <v>8794</v>
      </c>
      <c r="K2184" s="17"/>
      <c r="L2184" s="17" t="s">
        <v>7</v>
      </c>
    </row>
    <row r="2185" spans="1:12" ht="15" customHeight="1" x14ac:dyDescent="0.25">
      <c r="A2185" s="9" t="s">
        <v>2590</v>
      </c>
      <c r="B2185">
        <f>_xlfn.XLOOKUP(C2185,Temas!C:C,Temas!B:B)</f>
        <v>25</v>
      </c>
      <c r="C2185" t="s">
        <v>9159</v>
      </c>
      <c r="D2185" s="22">
        <v>79</v>
      </c>
      <c r="E2185" s="9" t="s">
        <v>9004</v>
      </c>
      <c r="F2185" s="25">
        <v>27</v>
      </c>
      <c r="G2185" s="17" t="s">
        <v>8795</v>
      </c>
      <c r="H2185" s="17" t="s">
        <v>8796</v>
      </c>
      <c r="I2185" s="17" t="s">
        <v>8797</v>
      </c>
      <c r="J2185" s="17" t="s">
        <v>8798</v>
      </c>
      <c r="K2185" s="17"/>
      <c r="L2185" s="17" t="s">
        <v>8</v>
      </c>
    </row>
    <row r="2186" spans="1:12" ht="15" customHeight="1" x14ac:dyDescent="0.25">
      <c r="A2186" s="9" t="s">
        <v>2590</v>
      </c>
      <c r="B2186">
        <f>_xlfn.XLOOKUP(C2186,Temas!C:C,Temas!B:B)</f>
        <v>25</v>
      </c>
      <c r="C2186" t="s">
        <v>9159</v>
      </c>
      <c r="D2186" s="22">
        <v>79</v>
      </c>
      <c r="E2186" s="9" t="s">
        <v>9004</v>
      </c>
      <c r="F2186" s="25">
        <v>28</v>
      </c>
      <c r="G2186" s="17" t="s">
        <v>8799</v>
      </c>
      <c r="H2186" s="17" t="s">
        <v>8800</v>
      </c>
      <c r="I2186" s="17" t="s">
        <v>8801</v>
      </c>
      <c r="J2186" s="17" t="s">
        <v>8802</v>
      </c>
      <c r="K2186" s="17"/>
      <c r="L2186" s="17" t="s">
        <v>8</v>
      </c>
    </row>
    <row r="2187" spans="1:12" ht="15" customHeight="1" x14ac:dyDescent="0.25">
      <c r="A2187" s="9" t="s">
        <v>2590</v>
      </c>
      <c r="B2187">
        <f>_xlfn.XLOOKUP(C2187,Temas!C:C,Temas!B:B)</f>
        <v>25</v>
      </c>
      <c r="C2187" t="s">
        <v>9159</v>
      </c>
      <c r="D2187" s="22">
        <v>79</v>
      </c>
      <c r="E2187" s="9" t="s">
        <v>9004</v>
      </c>
      <c r="F2187" s="25">
        <v>29</v>
      </c>
      <c r="G2187" s="17" t="s">
        <v>8803</v>
      </c>
      <c r="H2187" s="17" t="s">
        <v>8804</v>
      </c>
      <c r="I2187" s="17" t="s">
        <v>8805</v>
      </c>
      <c r="J2187" s="17" t="s">
        <v>8806</v>
      </c>
      <c r="K2187" s="17"/>
      <c r="L2187" s="17" t="s">
        <v>9</v>
      </c>
    </row>
    <row r="2188" spans="1:12" ht="15" customHeight="1" x14ac:dyDescent="0.25">
      <c r="A2188" s="9" t="s">
        <v>2590</v>
      </c>
      <c r="B2188">
        <f>_xlfn.XLOOKUP(C2188,Temas!C:C,Temas!B:B)</f>
        <v>25</v>
      </c>
      <c r="C2188" t="s">
        <v>9159</v>
      </c>
      <c r="D2188" s="22">
        <v>79</v>
      </c>
      <c r="E2188" s="9" t="s">
        <v>9004</v>
      </c>
      <c r="F2188" s="25">
        <v>30</v>
      </c>
      <c r="G2188" s="17" t="s">
        <v>8807</v>
      </c>
      <c r="H2188" s="17" t="s">
        <v>8808</v>
      </c>
      <c r="I2188" s="17" t="s">
        <v>8809</v>
      </c>
      <c r="J2188" s="17" t="s">
        <v>8810</v>
      </c>
      <c r="K2188" s="17"/>
      <c r="L2188" s="17" t="s">
        <v>7</v>
      </c>
    </row>
    <row r="2189" spans="1:12" ht="15" customHeight="1" x14ac:dyDescent="0.25">
      <c r="A2189" s="9" t="s">
        <v>2590</v>
      </c>
      <c r="B2189">
        <f>_xlfn.XLOOKUP(C2189,Temas!C:C,Temas!B:B)</f>
        <v>25</v>
      </c>
      <c r="C2189" t="s">
        <v>9159</v>
      </c>
      <c r="D2189" s="22">
        <v>79</v>
      </c>
      <c r="E2189" s="9" t="s">
        <v>9004</v>
      </c>
      <c r="F2189" s="25">
        <v>31</v>
      </c>
      <c r="G2189" s="5" t="s">
        <v>8811</v>
      </c>
      <c r="H2189" s="5" t="s">
        <v>8812</v>
      </c>
      <c r="I2189" s="5" t="s">
        <v>8813</v>
      </c>
      <c r="J2189" s="5" t="s">
        <v>8814</v>
      </c>
      <c r="K2189" s="5"/>
      <c r="L2189" s="17" t="s">
        <v>9</v>
      </c>
    </row>
    <row r="2190" spans="1:12" ht="15" customHeight="1" x14ac:dyDescent="0.25">
      <c r="A2190" s="9" t="s">
        <v>2590</v>
      </c>
      <c r="B2190">
        <v>9</v>
      </c>
      <c r="C2190" s="18" t="s">
        <v>8378</v>
      </c>
      <c r="D2190" s="22">
        <v>79</v>
      </c>
      <c r="E2190" s="9" t="s">
        <v>9004</v>
      </c>
      <c r="F2190" s="25">
        <v>32</v>
      </c>
      <c r="G2190" s="5" t="s">
        <v>8815</v>
      </c>
      <c r="H2190" s="5" t="s">
        <v>8816</v>
      </c>
      <c r="I2190" s="5" t="s">
        <v>8817</v>
      </c>
      <c r="J2190" s="5" t="s">
        <v>8627</v>
      </c>
      <c r="K2190" s="5"/>
      <c r="L2190" s="17" t="s">
        <v>8</v>
      </c>
    </row>
    <row r="2191" spans="1:12" ht="15" customHeight="1" x14ac:dyDescent="0.25">
      <c r="A2191" s="9" t="s">
        <v>2590</v>
      </c>
      <c r="B2191">
        <v>9</v>
      </c>
      <c r="C2191" s="18" t="s">
        <v>8378</v>
      </c>
      <c r="D2191" s="22">
        <v>79</v>
      </c>
      <c r="E2191" s="9" t="s">
        <v>9004</v>
      </c>
      <c r="F2191" s="25">
        <v>33</v>
      </c>
      <c r="G2191" s="5" t="s">
        <v>8818</v>
      </c>
      <c r="H2191" s="5" t="s">
        <v>8819</v>
      </c>
      <c r="I2191" s="5" t="s">
        <v>8820</v>
      </c>
      <c r="J2191" s="5" t="s">
        <v>8821</v>
      </c>
      <c r="K2191" s="5"/>
      <c r="L2191" s="17" t="s">
        <v>8</v>
      </c>
    </row>
    <row r="2192" spans="1:12" ht="15" customHeight="1" x14ac:dyDescent="0.25">
      <c r="A2192" s="9" t="s">
        <v>2590</v>
      </c>
      <c r="B2192">
        <v>9</v>
      </c>
      <c r="C2192" s="18" t="s">
        <v>8378</v>
      </c>
      <c r="D2192" s="22">
        <v>79</v>
      </c>
      <c r="E2192" s="9" t="s">
        <v>9004</v>
      </c>
      <c r="F2192" s="25">
        <v>34</v>
      </c>
      <c r="G2192" s="5" t="s">
        <v>8822</v>
      </c>
      <c r="H2192" s="5" t="s">
        <v>8823</v>
      </c>
      <c r="I2192" s="5" t="s">
        <v>8824</v>
      </c>
      <c r="J2192" s="5" t="s">
        <v>8984</v>
      </c>
      <c r="K2192" s="5"/>
      <c r="L2192" s="17" t="s">
        <v>8</v>
      </c>
    </row>
    <row r="2193" spans="1:12" ht="15" customHeight="1" x14ac:dyDescent="0.25">
      <c r="A2193" s="9" t="s">
        <v>2590</v>
      </c>
      <c r="B2193">
        <v>10</v>
      </c>
      <c r="C2193" s="18" t="s">
        <v>2591</v>
      </c>
      <c r="D2193" s="22">
        <v>79</v>
      </c>
      <c r="E2193" s="9" t="s">
        <v>9004</v>
      </c>
      <c r="F2193" s="25">
        <v>35</v>
      </c>
      <c r="G2193" s="5" t="s">
        <v>8825</v>
      </c>
      <c r="H2193" s="5" t="s">
        <v>8985</v>
      </c>
      <c r="I2193" s="5" t="s">
        <v>8986</v>
      </c>
      <c r="J2193" s="5" t="s">
        <v>8987</v>
      </c>
      <c r="K2193" s="5"/>
      <c r="L2193" s="17" t="s">
        <v>8</v>
      </c>
    </row>
    <row r="2194" spans="1:12" ht="15" customHeight="1" x14ac:dyDescent="0.25">
      <c r="A2194" s="9" t="s">
        <v>2590</v>
      </c>
      <c r="B2194">
        <v>9</v>
      </c>
      <c r="C2194" s="18" t="s">
        <v>8378</v>
      </c>
      <c r="D2194" s="22">
        <v>79</v>
      </c>
      <c r="E2194" s="9" t="s">
        <v>9004</v>
      </c>
      <c r="F2194" s="25">
        <v>36</v>
      </c>
      <c r="G2194" s="5" t="s">
        <v>8826</v>
      </c>
      <c r="H2194" s="5" t="s">
        <v>7200</v>
      </c>
      <c r="I2194" s="5" t="s">
        <v>8827</v>
      </c>
      <c r="J2194" s="5" t="s">
        <v>8828</v>
      </c>
      <c r="K2194" s="5"/>
      <c r="L2194" s="17" t="s">
        <v>7</v>
      </c>
    </row>
    <row r="2195" spans="1:12" ht="15" customHeight="1" x14ac:dyDescent="0.25">
      <c r="A2195" s="9" t="s">
        <v>2590</v>
      </c>
      <c r="B2195">
        <v>9</v>
      </c>
      <c r="C2195" s="18" t="s">
        <v>8378</v>
      </c>
      <c r="D2195" s="22">
        <v>79</v>
      </c>
      <c r="E2195" s="9" t="s">
        <v>9004</v>
      </c>
      <c r="F2195" s="25">
        <v>37</v>
      </c>
      <c r="G2195" s="5" t="s">
        <v>8829</v>
      </c>
      <c r="H2195" s="5" t="s">
        <v>8830</v>
      </c>
      <c r="I2195" s="5" t="s">
        <v>8831</v>
      </c>
      <c r="J2195" s="5" t="s">
        <v>8832</v>
      </c>
      <c r="K2195" s="5"/>
      <c r="L2195" s="17" t="s">
        <v>8</v>
      </c>
    </row>
    <row r="2196" spans="1:12" ht="15" customHeight="1" x14ac:dyDescent="0.25">
      <c r="A2196" s="9" t="s">
        <v>2590</v>
      </c>
      <c r="B2196">
        <v>9</v>
      </c>
      <c r="C2196" s="18" t="s">
        <v>8378</v>
      </c>
      <c r="D2196" s="22">
        <v>79</v>
      </c>
      <c r="E2196" s="9" t="s">
        <v>9004</v>
      </c>
      <c r="F2196" s="25">
        <v>38</v>
      </c>
      <c r="G2196" s="5" t="s">
        <v>8833</v>
      </c>
      <c r="H2196" s="5" t="s">
        <v>8834</v>
      </c>
      <c r="I2196" s="5" t="s">
        <v>8835</v>
      </c>
      <c r="J2196" s="5" t="s">
        <v>8836</v>
      </c>
      <c r="K2196" s="5"/>
      <c r="L2196" s="17" t="s">
        <v>7</v>
      </c>
    </row>
    <row r="2197" spans="1:12" ht="15" customHeight="1" x14ac:dyDescent="0.25">
      <c r="A2197" s="9" t="s">
        <v>2590</v>
      </c>
      <c r="B2197">
        <v>9</v>
      </c>
      <c r="C2197" s="18" t="s">
        <v>8378</v>
      </c>
      <c r="D2197" s="22">
        <v>79</v>
      </c>
      <c r="E2197" s="9" t="s">
        <v>9004</v>
      </c>
      <c r="F2197" s="25">
        <v>39</v>
      </c>
      <c r="G2197" s="5" t="s">
        <v>8837</v>
      </c>
      <c r="H2197" s="5" t="s">
        <v>8838</v>
      </c>
      <c r="I2197" s="5" t="s">
        <v>8839</v>
      </c>
      <c r="J2197" s="5" t="s">
        <v>8840</v>
      </c>
      <c r="K2197" s="5"/>
      <c r="L2197" s="17" t="s">
        <v>7</v>
      </c>
    </row>
    <row r="2198" spans="1:12" ht="15" customHeight="1" x14ac:dyDescent="0.25">
      <c r="A2198" s="9" t="s">
        <v>2590</v>
      </c>
      <c r="B2198">
        <v>9</v>
      </c>
      <c r="C2198" s="18" t="s">
        <v>8378</v>
      </c>
      <c r="D2198" s="22">
        <v>79</v>
      </c>
      <c r="E2198" s="9" t="s">
        <v>9004</v>
      </c>
      <c r="F2198" s="25">
        <v>40</v>
      </c>
      <c r="G2198" s="5" t="s">
        <v>8841</v>
      </c>
      <c r="H2198" s="5" t="s">
        <v>8842</v>
      </c>
      <c r="I2198" s="5" t="s">
        <v>8843</v>
      </c>
      <c r="J2198" s="5" t="s">
        <v>8844</v>
      </c>
      <c r="K2198" s="5"/>
      <c r="L2198" s="17" t="s">
        <v>8</v>
      </c>
    </row>
    <row r="2199" spans="1:12" ht="15" customHeight="1" x14ac:dyDescent="0.25">
      <c r="A2199" s="9" t="s">
        <v>2590</v>
      </c>
      <c r="B2199">
        <v>9</v>
      </c>
      <c r="C2199" s="18" t="s">
        <v>8378</v>
      </c>
      <c r="D2199" s="22">
        <v>79</v>
      </c>
      <c r="E2199" s="9" t="s">
        <v>9004</v>
      </c>
      <c r="F2199" s="25">
        <v>41</v>
      </c>
      <c r="G2199" s="5" t="s">
        <v>8845</v>
      </c>
      <c r="H2199" s="5" t="s">
        <v>8846</v>
      </c>
      <c r="I2199" s="5" t="s">
        <v>8847</v>
      </c>
      <c r="J2199" s="5" t="s">
        <v>8848</v>
      </c>
      <c r="K2199" s="5"/>
      <c r="L2199" s="17" t="s">
        <v>8</v>
      </c>
    </row>
    <row r="2200" spans="1:12" ht="15" customHeight="1" x14ac:dyDescent="0.25">
      <c r="A2200" s="9" t="s">
        <v>2590</v>
      </c>
      <c r="B2200">
        <v>9</v>
      </c>
      <c r="C2200" s="18" t="s">
        <v>8378</v>
      </c>
      <c r="D2200" s="22">
        <v>79</v>
      </c>
      <c r="E2200" s="9" t="s">
        <v>9004</v>
      </c>
      <c r="F2200" s="25">
        <v>42</v>
      </c>
      <c r="G2200" s="5" t="s">
        <v>8849</v>
      </c>
      <c r="H2200" s="5" t="s">
        <v>8850</v>
      </c>
      <c r="I2200" s="5" t="s">
        <v>8851</v>
      </c>
      <c r="J2200" s="5" t="s">
        <v>2663</v>
      </c>
      <c r="K2200" s="5"/>
      <c r="L2200" s="17" t="s">
        <v>9</v>
      </c>
    </row>
    <row r="2201" spans="1:12" ht="15" customHeight="1" x14ac:dyDescent="0.25">
      <c r="A2201" s="9" t="s">
        <v>2590</v>
      </c>
      <c r="B2201">
        <v>9</v>
      </c>
      <c r="C2201" s="18" t="s">
        <v>8378</v>
      </c>
      <c r="D2201" s="22">
        <v>79</v>
      </c>
      <c r="E2201" s="9" t="s">
        <v>9004</v>
      </c>
      <c r="F2201" s="25">
        <v>43</v>
      </c>
      <c r="G2201" s="5" t="s">
        <v>8852</v>
      </c>
      <c r="H2201" s="5" t="s">
        <v>8853</v>
      </c>
      <c r="I2201" s="5" t="s">
        <v>8854</v>
      </c>
      <c r="J2201" s="5" t="s">
        <v>8855</v>
      </c>
      <c r="K2201" s="5"/>
      <c r="L2201" s="17" t="s">
        <v>7</v>
      </c>
    </row>
    <row r="2202" spans="1:12" ht="15" customHeight="1" x14ac:dyDescent="0.25">
      <c r="A2202" s="9" t="s">
        <v>2590</v>
      </c>
      <c r="B2202">
        <v>9</v>
      </c>
      <c r="C2202" s="18" t="s">
        <v>8378</v>
      </c>
      <c r="D2202" s="22">
        <v>79</v>
      </c>
      <c r="E2202" s="9" t="s">
        <v>9004</v>
      </c>
      <c r="F2202" s="25">
        <v>44</v>
      </c>
      <c r="G2202" s="5" t="s">
        <v>8856</v>
      </c>
      <c r="H2202" s="5" t="s">
        <v>8857</v>
      </c>
      <c r="I2202" s="5" t="s">
        <v>8858</v>
      </c>
      <c r="J2202" s="5" t="s">
        <v>8859</v>
      </c>
      <c r="K2202" s="5"/>
      <c r="L2202" s="17" t="s">
        <v>7</v>
      </c>
    </row>
    <row r="2203" spans="1:12" ht="15" customHeight="1" x14ac:dyDescent="0.25">
      <c r="A2203" s="9" t="s">
        <v>2590</v>
      </c>
      <c r="B2203">
        <v>9</v>
      </c>
      <c r="C2203" s="18" t="s">
        <v>8378</v>
      </c>
      <c r="D2203" s="22">
        <v>79</v>
      </c>
      <c r="E2203" s="9" t="s">
        <v>9004</v>
      </c>
      <c r="F2203" s="25">
        <v>45</v>
      </c>
      <c r="G2203" s="5" t="s">
        <v>8860</v>
      </c>
      <c r="H2203" s="5" t="s">
        <v>8861</v>
      </c>
      <c r="I2203" s="5" t="s">
        <v>8862</v>
      </c>
      <c r="J2203" s="5" t="s">
        <v>8863</v>
      </c>
      <c r="K2203" s="5"/>
      <c r="L2203" s="17" t="s">
        <v>7</v>
      </c>
    </row>
    <row r="2204" spans="1:12" ht="15" customHeight="1" x14ac:dyDescent="0.25">
      <c r="A2204" s="9" t="s">
        <v>2590</v>
      </c>
      <c r="B2204">
        <v>9</v>
      </c>
      <c r="C2204" s="18" t="s">
        <v>8378</v>
      </c>
      <c r="D2204" s="22">
        <v>79</v>
      </c>
      <c r="E2204" s="9" t="s">
        <v>9004</v>
      </c>
      <c r="F2204" s="25">
        <v>46</v>
      </c>
      <c r="G2204" s="5" t="s">
        <v>8864</v>
      </c>
      <c r="H2204" s="5" t="s">
        <v>8865</v>
      </c>
      <c r="I2204" s="5" t="s">
        <v>8866</v>
      </c>
      <c r="J2204" s="5" t="s">
        <v>8867</v>
      </c>
      <c r="K2204" s="5"/>
      <c r="L2204" s="17" t="s">
        <v>7</v>
      </c>
    </row>
    <row r="2205" spans="1:12" ht="15" customHeight="1" x14ac:dyDescent="0.25">
      <c r="A2205" s="9" t="s">
        <v>2590</v>
      </c>
      <c r="B2205">
        <v>9</v>
      </c>
      <c r="C2205" s="18" t="s">
        <v>8378</v>
      </c>
      <c r="D2205" s="22">
        <v>79</v>
      </c>
      <c r="E2205" s="9" t="s">
        <v>9004</v>
      </c>
      <c r="F2205" s="25">
        <v>47</v>
      </c>
      <c r="G2205" s="5" t="s">
        <v>8868</v>
      </c>
      <c r="H2205" s="5" t="s">
        <v>8869</v>
      </c>
      <c r="I2205" s="5" t="s">
        <v>8870</v>
      </c>
      <c r="J2205" s="5" t="s">
        <v>8871</v>
      </c>
      <c r="K2205" s="5"/>
      <c r="L2205" s="17" t="s">
        <v>7</v>
      </c>
    </row>
    <row r="2206" spans="1:12" ht="15" customHeight="1" x14ac:dyDescent="0.25">
      <c r="A2206" s="9" t="s">
        <v>2590</v>
      </c>
      <c r="B2206">
        <v>11</v>
      </c>
      <c r="C2206" s="18" t="s">
        <v>3187</v>
      </c>
      <c r="D2206" s="22">
        <v>79</v>
      </c>
      <c r="E2206" s="9" t="s">
        <v>9004</v>
      </c>
      <c r="F2206" s="25">
        <v>48</v>
      </c>
      <c r="G2206" s="5" t="s">
        <v>8872</v>
      </c>
      <c r="H2206" s="5" t="s">
        <v>8873</v>
      </c>
      <c r="I2206" s="5" t="s">
        <v>8874</v>
      </c>
      <c r="J2206" s="5" t="s">
        <v>8875</v>
      </c>
      <c r="K2206" s="5"/>
      <c r="L2206" s="17" t="s">
        <v>7</v>
      </c>
    </row>
    <row r="2207" spans="1:12" ht="15" customHeight="1" x14ac:dyDescent="0.25">
      <c r="A2207" s="9" t="s">
        <v>2590</v>
      </c>
      <c r="B2207">
        <v>11</v>
      </c>
      <c r="C2207" s="18" t="s">
        <v>3187</v>
      </c>
      <c r="D2207" s="22">
        <v>79</v>
      </c>
      <c r="E2207" s="9" t="s">
        <v>9004</v>
      </c>
      <c r="F2207" s="25">
        <v>49</v>
      </c>
      <c r="G2207" s="5" t="s">
        <v>8876</v>
      </c>
      <c r="H2207" s="5" t="s">
        <v>8877</v>
      </c>
      <c r="I2207" s="5" t="s">
        <v>8878</v>
      </c>
      <c r="J2207" s="5" t="s">
        <v>8879</v>
      </c>
      <c r="K2207" s="5"/>
      <c r="L2207" s="17" t="s">
        <v>7</v>
      </c>
    </row>
    <row r="2208" spans="1:12" ht="15" customHeight="1" x14ac:dyDescent="0.25">
      <c r="A2208" s="9" t="s">
        <v>2590</v>
      </c>
      <c r="B2208">
        <v>11</v>
      </c>
      <c r="C2208" s="18" t="s">
        <v>3187</v>
      </c>
      <c r="D2208" s="22">
        <v>79</v>
      </c>
      <c r="E2208" s="9" t="s">
        <v>9004</v>
      </c>
      <c r="F2208" s="25">
        <v>50</v>
      </c>
      <c r="G2208" s="5" t="s">
        <v>8880</v>
      </c>
      <c r="H2208" s="5" t="s">
        <v>8881</v>
      </c>
      <c r="I2208" s="5" t="s">
        <v>8882</v>
      </c>
      <c r="J2208" s="5" t="s">
        <v>8883</v>
      </c>
      <c r="K2208" s="5"/>
      <c r="L2208" s="17" t="s">
        <v>9</v>
      </c>
    </row>
    <row r="2209" spans="1:12" ht="15" customHeight="1" x14ac:dyDescent="0.25">
      <c r="A2209" s="9" t="s">
        <v>2590</v>
      </c>
      <c r="B2209">
        <v>11</v>
      </c>
      <c r="C2209" s="18" t="s">
        <v>3187</v>
      </c>
      <c r="D2209" s="22">
        <v>79</v>
      </c>
      <c r="E2209" s="9" t="s">
        <v>9004</v>
      </c>
      <c r="F2209" s="25">
        <v>51</v>
      </c>
      <c r="G2209" s="5" t="s">
        <v>8884</v>
      </c>
      <c r="H2209" s="5" t="s">
        <v>8885</v>
      </c>
      <c r="I2209" s="5" t="s">
        <v>8886</v>
      </c>
      <c r="J2209" s="5" t="s">
        <v>8887</v>
      </c>
      <c r="K2209" s="5"/>
      <c r="L2209" s="17" t="s">
        <v>8</v>
      </c>
    </row>
    <row r="2210" spans="1:12" ht="15" customHeight="1" x14ac:dyDescent="0.25">
      <c r="A2210" s="9" t="s">
        <v>2590</v>
      </c>
      <c r="B2210">
        <v>11</v>
      </c>
      <c r="C2210" s="18" t="s">
        <v>3187</v>
      </c>
      <c r="D2210" s="22">
        <v>79</v>
      </c>
      <c r="E2210" s="9" t="s">
        <v>9004</v>
      </c>
      <c r="F2210" s="25">
        <v>52</v>
      </c>
      <c r="G2210" s="5" t="s">
        <v>8888</v>
      </c>
      <c r="H2210" s="5" t="s">
        <v>8889</v>
      </c>
      <c r="I2210" s="5" t="s">
        <v>8890</v>
      </c>
      <c r="J2210" s="5" t="s">
        <v>8891</v>
      </c>
      <c r="K2210" s="5"/>
      <c r="L2210" s="17" t="s">
        <v>8</v>
      </c>
    </row>
    <row r="2211" spans="1:12" ht="15" customHeight="1" x14ac:dyDescent="0.25">
      <c r="A2211" s="9" t="s">
        <v>2590</v>
      </c>
      <c r="B2211">
        <v>11</v>
      </c>
      <c r="C2211" s="18" t="s">
        <v>3187</v>
      </c>
      <c r="D2211" s="22">
        <v>79</v>
      </c>
      <c r="E2211" s="9" t="s">
        <v>9004</v>
      </c>
      <c r="F2211" s="25">
        <v>53</v>
      </c>
      <c r="G2211" s="5" t="s">
        <v>8892</v>
      </c>
      <c r="H2211" s="5" t="s">
        <v>8893</v>
      </c>
      <c r="I2211" s="5" t="s">
        <v>8894</v>
      </c>
      <c r="J2211" s="5" t="s">
        <v>7483</v>
      </c>
      <c r="K2211" s="5"/>
      <c r="L2211" s="17" t="s">
        <v>8</v>
      </c>
    </row>
    <row r="2212" spans="1:12" ht="15" customHeight="1" x14ac:dyDescent="0.25">
      <c r="A2212" s="9" t="s">
        <v>2590</v>
      </c>
      <c r="B2212">
        <v>11</v>
      </c>
      <c r="C2212" s="18" t="s">
        <v>3187</v>
      </c>
      <c r="D2212" s="22">
        <v>79</v>
      </c>
      <c r="E2212" s="9" t="s">
        <v>9004</v>
      </c>
      <c r="F2212" s="25">
        <v>54</v>
      </c>
      <c r="G2212" s="5" t="s">
        <v>8895</v>
      </c>
      <c r="H2212" s="5" t="s">
        <v>8896</v>
      </c>
      <c r="I2212" s="5" t="s">
        <v>8897</v>
      </c>
      <c r="J2212" s="5" t="s">
        <v>8898</v>
      </c>
      <c r="K2212" s="5"/>
      <c r="L2212" s="17" t="s">
        <v>9</v>
      </c>
    </row>
    <row r="2213" spans="1:12" ht="15" customHeight="1" x14ac:dyDescent="0.25">
      <c r="A2213" s="9" t="s">
        <v>2590</v>
      </c>
      <c r="B2213">
        <v>11</v>
      </c>
      <c r="C2213" s="18" t="s">
        <v>3187</v>
      </c>
      <c r="D2213" s="22">
        <v>79</v>
      </c>
      <c r="E2213" s="9" t="s">
        <v>9004</v>
      </c>
      <c r="F2213" s="25">
        <v>55</v>
      </c>
      <c r="G2213" s="5" t="s">
        <v>8899</v>
      </c>
      <c r="H2213" s="5" t="s">
        <v>8900</v>
      </c>
      <c r="I2213" s="5" t="s">
        <v>8901</v>
      </c>
      <c r="J2213" s="5" t="s">
        <v>8902</v>
      </c>
      <c r="K2213" s="5"/>
      <c r="L2213" s="17" t="s">
        <v>7</v>
      </c>
    </row>
    <row r="2214" spans="1:12" ht="15" customHeight="1" x14ac:dyDescent="0.25">
      <c r="A2214" s="9" t="s">
        <v>2590</v>
      </c>
      <c r="B2214">
        <v>11</v>
      </c>
      <c r="C2214" s="18" t="s">
        <v>3187</v>
      </c>
      <c r="D2214" s="22">
        <v>79</v>
      </c>
      <c r="E2214" s="9" t="s">
        <v>9004</v>
      </c>
      <c r="F2214" s="25">
        <v>56</v>
      </c>
      <c r="G2214" s="5" t="s">
        <v>8903</v>
      </c>
      <c r="H2214" s="5" t="s">
        <v>8904</v>
      </c>
      <c r="I2214" s="5" t="s">
        <v>8905</v>
      </c>
      <c r="J2214" s="5" t="s">
        <v>8906</v>
      </c>
      <c r="K2214" s="5"/>
      <c r="L2214" s="17" t="s">
        <v>9</v>
      </c>
    </row>
    <row r="2215" spans="1:12" ht="15" customHeight="1" x14ac:dyDescent="0.25">
      <c r="A2215" s="9" t="s">
        <v>2590</v>
      </c>
      <c r="B2215">
        <f>_xlfn.XLOOKUP(C2215,Temas!C:C,Temas!B:B)</f>
        <v>25</v>
      </c>
      <c r="C2215" t="s">
        <v>9159</v>
      </c>
      <c r="D2215" s="22">
        <v>79</v>
      </c>
      <c r="E2215" s="9" t="s">
        <v>9004</v>
      </c>
      <c r="F2215" s="25">
        <v>57</v>
      </c>
      <c r="G2215" s="5" t="s">
        <v>8907</v>
      </c>
      <c r="H2215" s="5" t="s">
        <v>8908</v>
      </c>
      <c r="I2215" s="5" t="s">
        <v>8661</v>
      </c>
      <c r="J2215" s="5" t="s">
        <v>8909</v>
      </c>
      <c r="K2215" s="5"/>
      <c r="L2215" s="17" t="s">
        <v>7</v>
      </c>
    </row>
    <row r="2216" spans="1:12" ht="15" customHeight="1" x14ac:dyDescent="0.25">
      <c r="A2216" s="9" t="s">
        <v>2590</v>
      </c>
      <c r="B2216">
        <f>_xlfn.XLOOKUP(C2216,Temas!C:C,Temas!B:B)</f>
        <v>25</v>
      </c>
      <c r="C2216" t="s">
        <v>9159</v>
      </c>
      <c r="D2216" s="22">
        <v>79</v>
      </c>
      <c r="E2216" s="9" t="s">
        <v>9004</v>
      </c>
      <c r="F2216" s="25">
        <v>58</v>
      </c>
      <c r="G2216" s="5" t="s">
        <v>8910</v>
      </c>
      <c r="H2216" s="5" t="s">
        <v>8911</v>
      </c>
      <c r="I2216" s="5" t="s">
        <v>8912</v>
      </c>
      <c r="J2216" s="5" t="s">
        <v>8913</v>
      </c>
      <c r="K2216" s="5"/>
      <c r="L2216" s="17" t="s">
        <v>8</v>
      </c>
    </row>
    <row r="2217" spans="1:12" ht="15" customHeight="1" x14ac:dyDescent="0.25">
      <c r="A2217" s="9" t="s">
        <v>2590</v>
      </c>
      <c r="B2217">
        <f>_xlfn.XLOOKUP(C2217,Temas!C:C,Temas!B:B)</f>
        <v>25</v>
      </c>
      <c r="C2217" t="s">
        <v>9159</v>
      </c>
      <c r="D2217" s="22">
        <v>79</v>
      </c>
      <c r="E2217" s="9" t="s">
        <v>9004</v>
      </c>
      <c r="F2217" s="25">
        <v>59</v>
      </c>
      <c r="G2217" s="5" t="s">
        <v>8914</v>
      </c>
      <c r="H2217" s="5" t="s">
        <v>8915</v>
      </c>
      <c r="I2217" s="5" t="s">
        <v>8916</v>
      </c>
      <c r="J2217" s="5" t="s">
        <v>8917</v>
      </c>
      <c r="K2217" s="5"/>
      <c r="L2217" s="17" t="s">
        <v>9</v>
      </c>
    </row>
    <row r="2218" spans="1:12" ht="15" customHeight="1" x14ac:dyDescent="0.25">
      <c r="A2218" s="9" t="s">
        <v>2590</v>
      </c>
      <c r="B2218">
        <f>_xlfn.XLOOKUP(C2218,Temas!C:C,Temas!B:B)</f>
        <v>25</v>
      </c>
      <c r="C2218" t="s">
        <v>9159</v>
      </c>
      <c r="D2218" s="22">
        <v>79</v>
      </c>
      <c r="E2218" s="9" t="s">
        <v>9004</v>
      </c>
      <c r="F2218" s="25">
        <v>60</v>
      </c>
      <c r="G2218" s="5" t="s">
        <v>8918</v>
      </c>
      <c r="H2218" s="5" t="s">
        <v>8919</v>
      </c>
      <c r="I2218" s="5" t="s">
        <v>8920</v>
      </c>
      <c r="J2218" s="5" t="s">
        <v>8921</v>
      </c>
      <c r="K2218" s="5"/>
      <c r="L2218" s="17" t="s">
        <v>9</v>
      </c>
    </row>
    <row r="2219" spans="1:12" ht="15" customHeight="1" x14ac:dyDescent="0.25">
      <c r="A2219" s="9" t="s">
        <v>2590</v>
      </c>
      <c r="B2219">
        <f>_xlfn.XLOOKUP(C2219,Temas!C:C,Temas!B:B)</f>
        <v>25</v>
      </c>
      <c r="C2219" t="s">
        <v>9159</v>
      </c>
      <c r="D2219" s="22">
        <v>79</v>
      </c>
      <c r="E2219" s="9" t="s">
        <v>9004</v>
      </c>
      <c r="F2219" s="25">
        <v>61</v>
      </c>
      <c r="G2219" s="5" t="s">
        <v>8922</v>
      </c>
      <c r="H2219" s="5" t="s">
        <v>8923</v>
      </c>
      <c r="I2219" s="5" t="s">
        <v>8924</v>
      </c>
      <c r="J2219" s="5" t="s">
        <v>8925</v>
      </c>
      <c r="K2219" s="5"/>
      <c r="L2219" s="17" t="s">
        <v>8</v>
      </c>
    </row>
    <row r="2220" spans="1:12" ht="15" customHeight="1" x14ac:dyDescent="0.25">
      <c r="A2220" s="9" t="s">
        <v>2590</v>
      </c>
      <c r="B2220">
        <f>_xlfn.XLOOKUP(C2220,Temas!C:C,Temas!B:B)</f>
        <v>25</v>
      </c>
      <c r="C2220" t="s">
        <v>9159</v>
      </c>
      <c r="D2220" s="22">
        <v>79</v>
      </c>
      <c r="E2220" s="9" t="s">
        <v>9004</v>
      </c>
      <c r="F2220" s="25">
        <v>62</v>
      </c>
      <c r="G2220" s="5" t="s">
        <v>8926</v>
      </c>
      <c r="H2220" s="5" t="s">
        <v>8927</v>
      </c>
      <c r="I2220" s="5" t="s">
        <v>8928</v>
      </c>
      <c r="J2220" s="5" t="s">
        <v>8929</v>
      </c>
      <c r="K2220" s="5"/>
      <c r="L2220" s="17" t="s">
        <v>7</v>
      </c>
    </row>
    <row r="2221" spans="1:12" ht="15" customHeight="1" x14ac:dyDescent="0.25">
      <c r="A2221" s="9" t="s">
        <v>2590</v>
      </c>
      <c r="B2221">
        <f>_xlfn.XLOOKUP(C2221,Temas!C:C,Temas!B:B)</f>
        <v>25</v>
      </c>
      <c r="C2221" t="s">
        <v>9159</v>
      </c>
      <c r="D2221" s="22">
        <v>79</v>
      </c>
      <c r="E2221" s="9" t="s">
        <v>9004</v>
      </c>
      <c r="F2221" s="25">
        <v>63</v>
      </c>
      <c r="G2221" s="5" t="s">
        <v>8930</v>
      </c>
      <c r="H2221" s="5" t="s">
        <v>8931</v>
      </c>
      <c r="I2221" s="5" t="s">
        <v>8932</v>
      </c>
      <c r="J2221" s="5" t="s">
        <v>739</v>
      </c>
      <c r="K2221" s="5"/>
      <c r="L2221" s="17" t="s">
        <v>8</v>
      </c>
    </row>
    <row r="2222" spans="1:12" ht="15" customHeight="1" x14ac:dyDescent="0.25">
      <c r="A2222" s="9" t="s">
        <v>2590</v>
      </c>
      <c r="B2222">
        <f>_xlfn.XLOOKUP(C2222,Temas!C:C,Temas!B:B)</f>
        <v>25</v>
      </c>
      <c r="C2222" t="s">
        <v>9159</v>
      </c>
      <c r="D2222" s="22">
        <v>79</v>
      </c>
      <c r="E2222" s="9" t="s">
        <v>9004</v>
      </c>
      <c r="F2222" s="25">
        <v>64</v>
      </c>
      <c r="G2222" s="5" t="s">
        <v>8933</v>
      </c>
      <c r="H2222" s="5" t="s">
        <v>8934</v>
      </c>
      <c r="I2222" s="5" t="s">
        <v>8935</v>
      </c>
      <c r="J2222" s="5" t="s">
        <v>8936</v>
      </c>
      <c r="K2222" s="5"/>
      <c r="L2222" s="17" t="s">
        <v>7</v>
      </c>
    </row>
    <row r="2223" spans="1:12" ht="15" customHeight="1" x14ac:dyDescent="0.25">
      <c r="A2223" s="9" t="s">
        <v>2590</v>
      </c>
      <c r="B2223">
        <f>_xlfn.XLOOKUP(C2223,Temas!C:C,Temas!B:B)</f>
        <v>25</v>
      </c>
      <c r="C2223" t="s">
        <v>9159</v>
      </c>
      <c r="D2223" s="22">
        <v>79</v>
      </c>
      <c r="E2223" s="9" t="s">
        <v>9004</v>
      </c>
      <c r="F2223" s="25">
        <v>65</v>
      </c>
      <c r="G2223" s="5" t="s">
        <v>8937</v>
      </c>
      <c r="H2223" s="5" t="s">
        <v>8938</v>
      </c>
      <c r="I2223" s="5" t="s">
        <v>8939</v>
      </c>
      <c r="J2223" s="5" t="s">
        <v>8940</v>
      </c>
      <c r="K2223" s="5"/>
      <c r="L2223" s="17" t="s">
        <v>7</v>
      </c>
    </row>
    <row r="2224" spans="1:12" ht="15" customHeight="1" x14ac:dyDescent="0.25">
      <c r="A2224" s="9" t="s">
        <v>2590</v>
      </c>
      <c r="B2224">
        <v>27</v>
      </c>
      <c r="C2224" s="18" t="s">
        <v>7706</v>
      </c>
      <c r="D2224" s="22">
        <v>79</v>
      </c>
      <c r="E2224" s="9" t="s">
        <v>9004</v>
      </c>
      <c r="F2224" s="25">
        <v>66</v>
      </c>
      <c r="G2224" s="5" t="s">
        <v>8941</v>
      </c>
      <c r="H2224" s="5" t="s">
        <v>8942</v>
      </c>
      <c r="I2224" s="5" t="s">
        <v>8943</v>
      </c>
      <c r="J2224" s="5" t="s">
        <v>8944</v>
      </c>
      <c r="K2224" s="5"/>
      <c r="L2224" s="17" t="s">
        <v>7</v>
      </c>
    </row>
    <row r="2225" spans="1:12" ht="15" customHeight="1" x14ac:dyDescent="0.25">
      <c r="A2225" s="9" t="s">
        <v>2590</v>
      </c>
      <c r="B2225">
        <v>27</v>
      </c>
      <c r="C2225" s="18" t="s">
        <v>7706</v>
      </c>
      <c r="D2225" s="22">
        <v>79</v>
      </c>
      <c r="E2225" s="9" t="s">
        <v>9004</v>
      </c>
      <c r="F2225" s="25">
        <v>67</v>
      </c>
      <c r="G2225" s="5" t="s">
        <v>8945</v>
      </c>
      <c r="H2225" s="5" t="s">
        <v>8946</v>
      </c>
      <c r="I2225" s="5" t="s">
        <v>8947</v>
      </c>
      <c r="J2225" s="5" t="s">
        <v>8948</v>
      </c>
      <c r="K2225" s="5"/>
      <c r="L2225" s="17" t="s">
        <v>7</v>
      </c>
    </row>
    <row r="2226" spans="1:12" ht="15" customHeight="1" x14ac:dyDescent="0.25">
      <c r="A2226" s="9" t="s">
        <v>2590</v>
      </c>
      <c r="B2226">
        <v>27</v>
      </c>
      <c r="C2226" s="18" t="s">
        <v>7706</v>
      </c>
      <c r="D2226" s="22">
        <v>79</v>
      </c>
      <c r="E2226" s="9" t="s">
        <v>9004</v>
      </c>
      <c r="F2226" s="25">
        <v>68</v>
      </c>
      <c r="G2226" s="5" t="s">
        <v>8949</v>
      </c>
      <c r="H2226" s="5" t="s">
        <v>8950</v>
      </c>
      <c r="I2226" s="5" t="s">
        <v>8951</v>
      </c>
      <c r="J2226" s="5" t="s">
        <v>8952</v>
      </c>
      <c r="K2226" s="5"/>
      <c r="L2226" s="17" t="s">
        <v>9</v>
      </c>
    </row>
    <row r="2227" spans="1:12" ht="15" customHeight="1" x14ac:dyDescent="0.25">
      <c r="A2227" s="9" t="s">
        <v>2590</v>
      </c>
      <c r="B2227">
        <v>25</v>
      </c>
      <c r="C2227" t="s">
        <v>9159</v>
      </c>
      <c r="D2227" s="22">
        <v>79</v>
      </c>
      <c r="E2227" s="9" t="s">
        <v>9004</v>
      </c>
      <c r="F2227" s="25">
        <v>69</v>
      </c>
      <c r="G2227" s="5" t="s">
        <v>8953</v>
      </c>
      <c r="H2227" s="5" t="s">
        <v>8661</v>
      </c>
      <c r="I2227" s="5" t="s">
        <v>8664</v>
      </c>
      <c r="J2227" s="5" t="s">
        <v>8954</v>
      </c>
      <c r="K2227" s="5"/>
      <c r="L2227" s="17" t="s">
        <v>7</v>
      </c>
    </row>
    <row r="2228" spans="1:12" ht="15" customHeight="1" x14ac:dyDescent="0.25">
      <c r="A2228" s="9" t="s">
        <v>2590</v>
      </c>
      <c r="B2228">
        <v>27</v>
      </c>
      <c r="C2228" s="18" t="s">
        <v>7706</v>
      </c>
      <c r="D2228" s="22">
        <v>79</v>
      </c>
      <c r="E2228" s="9" t="s">
        <v>9004</v>
      </c>
      <c r="F2228" s="25">
        <v>70</v>
      </c>
      <c r="G2228" s="5" t="s">
        <v>8955</v>
      </c>
      <c r="H2228" s="5" t="s">
        <v>8956</v>
      </c>
      <c r="I2228" s="5" t="s">
        <v>8957</v>
      </c>
      <c r="J2228" s="5" t="s">
        <v>8958</v>
      </c>
      <c r="K2228" s="5"/>
      <c r="L2228" s="17" t="s">
        <v>9</v>
      </c>
    </row>
    <row r="2229" spans="1:12" ht="15" customHeight="1" x14ac:dyDescent="0.25">
      <c r="A2229" s="9" t="s">
        <v>2590</v>
      </c>
      <c r="B2229">
        <v>27</v>
      </c>
      <c r="C2229" s="18" t="s">
        <v>7706</v>
      </c>
      <c r="D2229" s="22">
        <v>79</v>
      </c>
      <c r="E2229" s="9" t="s">
        <v>9004</v>
      </c>
      <c r="F2229" s="25">
        <v>71</v>
      </c>
      <c r="G2229" s="5" t="s">
        <v>8959</v>
      </c>
      <c r="H2229" s="5" t="s">
        <v>8960</v>
      </c>
      <c r="I2229" s="5" t="s">
        <v>8961</v>
      </c>
      <c r="J2229" s="5" t="s">
        <v>8962</v>
      </c>
      <c r="K2229" s="5"/>
      <c r="L2229" s="17" t="s">
        <v>8</v>
      </c>
    </row>
    <row r="2230" spans="1:12" ht="15" customHeight="1" x14ac:dyDescent="0.25">
      <c r="A2230" s="9" t="s">
        <v>2590</v>
      </c>
      <c r="B2230">
        <v>27</v>
      </c>
      <c r="C2230" s="18" t="s">
        <v>7706</v>
      </c>
      <c r="D2230" s="22">
        <v>79</v>
      </c>
      <c r="E2230" s="9" t="s">
        <v>9004</v>
      </c>
      <c r="F2230" s="25">
        <v>72</v>
      </c>
      <c r="G2230" s="5" t="s">
        <v>8963</v>
      </c>
      <c r="H2230" s="5" t="s">
        <v>8964</v>
      </c>
      <c r="I2230" s="5" t="s">
        <v>8965</v>
      </c>
      <c r="J2230" s="5" t="s">
        <v>6817</v>
      </c>
      <c r="K2230" s="5"/>
      <c r="L2230" s="17" t="s">
        <v>8</v>
      </c>
    </row>
    <row r="2231" spans="1:12" ht="15" customHeight="1" x14ac:dyDescent="0.25">
      <c r="A2231" s="9" t="s">
        <v>2590</v>
      </c>
      <c r="B2231">
        <v>10</v>
      </c>
      <c r="C2231" s="18" t="s">
        <v>2591</v>
      </c>
      <c r="D2231" s="22">
        <v>79</v>
      </c>
      <c r="E2231" s="9" t="s">
        <v>9004</v>
      </c>
      <c r="F2231" s="25">
        <v>74</v>
      </c>
      <c r="G2231" s="5" t="s">
        <v>8966</v>
      </c>
      <c r="H2231" s="5" t="s">
        <v>8967</v>
      </c>
      <c r="I2231" s="5" t="s">
        <v>8968</v>
      </c>
      <c r="J2231" s="5" t="s">
        <v>8969</v>
      </c>
      <c r="K2231" s="5"/>
      <c r="L2231" s="17" t="s">
        <v>9</v>
      </c>
    </row>
    <row r="2232" spans="1:12" ht="15" customHeight="1" x14ac:dyDescent="0.25">
      <c r="A2232" s="9" t="s">
        <v>2590</v>
      </c>
      <c r="B2232">
        <v>10</v>
      </c>
      <c r="C2232" s="18" t="s">
        <v>2591</v>
      </c>
      <c r="D2232" s="22">
        <v>79</v>
      </c>
      <c r="E2232" s="9" t="s">
        <v>9004</v>
      </c>
      <c r="F2232" s="25">
        <v>79</v>
      </c>
      <c r="G2232" s="5" t="s">
        <v>8970</v>
      </c>
      <c r="H2232" s="5" t="s">
        <v>8971</v>
      </c>
      <c r="I2232" s="5" t="s">
        <v>8972</v>
      </c>
      <c r="J2232" s="5" t="s">
        <v>8973</v>
      </c>
      <c r="K2232" s="5"/>
      <c r="L2232" s="17" t="s">
        <v>9</v>
      </c>
    </row>
    <row r="2233" spans="1:12" ht="15" customHeight="1" x14ac:dyDescent="0.25">
      <c r="A2233" s="9" t="s">
        <v>2590</v>
      </c>
      <c r="B2233">
        <v>12</v>
      </c>
      <c r="C2233" s="18" t="s">
        <v>3352</v>
      </c>
      <c r="D2233" s="22">
        <v>79</v>
      </c>
      <c r="E2233" s="9" t="s">
        <v>9004</v>
      </c>
      <c r="F2233" s="25">
        <v>82</v>
      </c>
      <c r="G2233" s="5" t="s">
        <v>8974</v>
      </c>
      <c r="H2233" s="5" t="s">
        <v>8975</v>
      </c>
      <c r="I2233" s="5" t="s">
        <v>3679</v>
      </c>
      <c r="J2233" s="5" t="s">
        <v>8744</v>
      </c>
      <c r="K2233" s="5"/>
      <c r="L2233" s="17" t="s">
        <v>8</v>
      </c>
    </row>
    <row r="2234" spans="1:12" ht="15" customHeight="1" x14ac:dyDescent="0.25">
      <c r="A2234" s="9" t="s">
        <v>2590</v>
      </c>
      <c r="B2234">
        <v>14</v>
      </c>
      <c r="C2234" s="18" t="s">
        <v>4241</v>
      </c>
      <c r="D2234" s="22">
        <v>79</v>
      </c>
      <c r="E2234" s="9" t="s">
        <v>9004</v>
      </c>
      <c r="F2234" s="25">
        <v>89</v>
      </c>
      <c r="G2234" s="5" t="s">
        <v>8976</v>
      </c>
      <c r="H2234" s="5" t="s">
        <v>8977</v>
      </c>
      <c r="I2234" s="5" t="s">
        <v>8978</v>
      </c>
      <c r="J2234" s="5" t="s">
        <v>8979</v>
      </c>
      <c r="K2234" s="5"/>
      <c r="L2234" s="17" t="s">
        <v>9</v>
      </c>
    </row>
    <row r="2235" spans="1:12" ht="15" customHeight="1" x14ac:dyDescent="0.25">
      <c r="A2235" s="9" t="s">
        <v>2590</v>
      </c>
      <c r="B2235">
        <v>13</v>
      </c>
      <c r="C2235" s="18" t="s">
        <v>4093</v>
      </c>
      <c r="D2235" s="22">
        <v>79</v>
      </c>
      <c r="E2235" s="9" t="s">
        <v>9004</v>
      </c>
      <c r="F2235" s="25">
        <v>90</v>
      </c>
      <c r="G2235" s="5" t="s">
        <v>8980</v>
      </c>
      <c r="H2235" s="5" t="s">
        <v>8981</v>
      </c>
      <c r="I2235" s="5" t="s">
        <v>8982</v>
      </c>
      <c r="J2235" s="5" t="s">
        <v>8983</v>
      </c>
      <c r="K2235" s="5"/>
      <c r="L2235" s="17" t="s">
        <v>8</v>
      </c>
    </row>
    <row r="2236" spans="1:12" ht="15" customHeight="1" x14ac:dyDescent="0.25">
      <c r="A2236" s="9" t="s">
        <v>12</v>
      </c>
      <c r="B2236">
        <f>_xlfn.XLOOKUP(C2236,Temas!C:C,Temas!B:B)</f>
        <v>6</v>
      </c>
      <c r="C2236" s="1" t="s">
        <v>8374</v>
      </c>
      <c r="D2236" s="22">
        <v>80</v>
      </c>
      <c r="E2236" s="9" t="s">
        <v>9090</v>
      </c>
      <c r="F2236" s="28">
        <v>1</v>
      </c>
      <c r="G2236" s="28" t="s">
        <v>9005</v>
      </c>
      <c r="H2236" s="28" t="s">
        <v>2201</v>
      </c>
      <c r="I2236" s="28" t="s">
        <v>9006</v>
      </c>
      <c r="J2236" s="28" t="s">
        <v>9007</v>
      </c>
      <c r="K2236" s="28"/>
      <c r="L2236" s="28" t="s">
        <v>8</v>
      </c>
    </row>
    <row r="2237" spans="1:12" ht="15" customHeight="1" x14ac:dyDescent="0.25">
      <c r="A2237" s="9" t="s">
        <v>12</v>
      </c>
      <c r="B2237">
        <f>_xlfn.XLOOKUP(C2237,Temas!C:C,Temas!B:B)</f>
        <v>6</v>
      </c>
      <c r="C2237" s="1" t="s">
        <v>8374</v>
      </c>
      <c r="D2237" s="22">
        <v>80</v>
      </c>
      <c r="E2237" s="9" t="s">
        <v>9090</v>
      </c>
      <c r="F2237" s="28">
        <v>2</v>
      </c>
      <c r="G2237" s="28" t="s">
        <v>9008</v>
      </c>
      <c r="H2237" s="28" t="s">
        <v>9009</v>
      </c>
      <c r="I2237" s="28" t="s">
        <v>9010</v>
      </c>
      <c r="J2237" s="28" t="s">
        <v>2132</v>
      </c>
      <c r="K2237" s="28"/>
      <c r="L2237" s="28" t="s">
        <v>7</v>
      </c>
    </row>
    <row r="2238" spans="1:12" ht="15" customHeight="1" x14ac:dyDescent="0.25">
      <c r="A2238" s="9" t="s">
        <v>12</v>
      </c>
      <c r="B2238">
        <f>_xlfn.XLOOKUP(C2238,Temas!C:C,Temas!B:B)</f>
        <v>6</v>
      </c>
      <c r="C2238" s="1" t="s">
        <v>8374</v>
      </c>
      <c r="D2238" s="22">
        <v>80</v>
      </c>
      <c r="E2238" s="9" t="s">
        <v>9090</v>
      </c>
      <c r="F2238" s="28">
        <v>3</v>
      </c>
      <c r="G2238" s="28" t="s">
        <v>9011</v>
      </c>
      <c r="H2238" s="28" t="s">
        <v>9012</v>
      </c>
      <c r="I2238" s="34" t="s">
        <v>9831</v>
      </c>
      <c r="J2238" s="34" t="s">
        <v>9832</v>
      </c>
      <c r="K2238" s="28"/>
      <c r="L2238" s="28" t="s">
        <v>8</v>
      </c>
    </row>
    <row r="2239" spans="1:12" ht="15" customHeight="1" x14ac:dyDescent="0.25">
      <c r="A2239" s="9" t="s">
        <v>12</v>
      </c>
      <c r="B2239">
        <f>_xlfn.XLOOKUP(C2239,Temas!C:C,Temas!B:B)</f>
        <v>8</v>
      </c>
      <c r="C2239" s="9" t="s">
        <v>8066</v>
      </c>
      <c r="D2239" s="22">
        <v>80</v>
      </c>
      <c r="E2239" s="9" t="s">
        <v>9090</v>
      </c>
      <c r="F2239" s="28">
        <v>4</v>
      </c>
      <c r="G2239" s="28" t="s">
        <v>9013</v>
      </c>
      <c r="H2239" s="28" t="s">
        <v>2552</v>
      </c>
      <c r="I2239" s="28" t="s">
        <v>2553</v>
      </c>
      <c r="J2239" s="28" t="s">
        <v>9014</v>
      </c>
      <c r="K2239" s="28"/>
      <c r="L2239" s="28" t="s">
        <v>8</v>
      </c>
    </row>
    <row r="2240" spans="1:12" ht="15" customHeight="1" x14ac:dyDescent="0.25">
      <c r="A2240" s="9" t="s">
        <v>12</v>
      </c>
      <c r="B2240">
        <f>_xlfn.XLOOKUP(C2240,Temas!C:C,Temas!B:B)</f>
        <v>8</v>
      </c>
      <c r="C2240" s="9" t="s">
        <v>8066</v>
      </c>
      <c r="D2240" s="22">
        <v>80</v>
      </c>
      <c r="E2240" s="9" t="s">
        <v>9090</v>
      </c>
      <c r="F2240" s="28">
        <v>5</v>
      </c>
      <c r="G2240" s="28" t="s">
        <v>9015</v>
      </c>
      <c r="H2240" s="28" t="s">
        <v>2552</v>
      </c>
      <c r="I2240" s="28" t="s">
        <v>2553</v>
      </c>
      <c r="J2240" s="28" t="s">
        <v>9014</v>
      </c>
      <c r="K2240" s="28"/>
      <c r="L2240" s="28" t="s">
        <v>7</v>
      </c>
    </row>
    <row r="2241" spans="1:12" ht="15" customHeight="1" x14ac:dyDescent="0.25">
      <c r="A2241" s="9" t="s">
        <v>12</v>
      </c>
      <c r="B2241">
        <f>_xlfn.XLOOKUP(C2241,Temas!C:C,Temas!B:B)</f>
        <v>8</v>
      </c>
      <c r="C2241" s="9" t="s">
        <v>8066</v>
      </c>
      <c r="D2241" s="22">
        <v>80</v>
      </c>
      <c r="E2241" s="9" t="s">
        <v>9090</v>
      </c>
      <c r="F2241" s="5">
        <v>6</v>
      </c>
      <c r="G2241" s="5" t="s">
        <v>9016</v>
      </c>
      <c r="H2241" s="5" t="s">
        <v>2552</v>
      </c>
      <c r="I2241" s="5" t="s">
        <v>2553</v>
      </c>
      <c r="J2241" s="5" t="s">
        <v>2554</v>
      </c>
      <c r="K2241" s="5"/>
      <c r="L2241" s="5" t="s">
        <v>9</v>
      </c>
    </row>
    <row r="2242" spans="1:12" ht="15" customHeight="1" x14ac:dyDescent="0.25">
      <c r="A2242" s="9" t="s">
        <v>2590</v>
      </c>
      <c r="B2242">
        <f>_xlfn.XLOOKUP(C2242,Temas!C:C,Temas!B:B)</f>
        <v>25</v>
      </c>
      <c r="C2242" t="s">
        <v>9159</v>
      </c>
      <c r="D2242" s="22">
        <v>80</v>
      </c>
      <c r="E2242" s="9" t="s">
        <v>9090</v>
      </c>
      <c r="F2242" s="5">
        <v>7</v>
      </c>
      <c r="G2242" s="5" t="s">
        <v>9017</v>
      </c>
      <c r="H2242" s="5" t="s">
        <v>9018</v>
      </c>
      <c r="I2242" s="5" t="s">
        <v>9019</v>
      </c>
      <c r="J2242" s="5" t="s">
        <v>2239</v>
      </c>
      <c r="K2242" s="5"/>
      <c r="L2242" s="5" t="s">
        <v>9</v>
      </c>
    </row>
    <row r="2243" spans="1:12" ht="15" customHeight="1" x14ac:dyDescent="0.25">
      <c r="A2243" s="9" t="s">
        <v>2590</v>
      </c>
      <c r="B2243">
        <f>_xlfn.XLOOKUP(C2243,Temas!C:C,Temas!B:B)</f>
        <v>25</v>
      </c>
      <c r="C2243" t="s">
        <v>9159</v>
      </c>
      <c r="D2243" s="22">
        <v>80</v>
      </c>
      <c r="E2243" s="9" t="s">
        <v>9090</v>
      </c>
      <c r="F2243" s="5">
        <v>8</v>
      </c>
      <c r="G2243" s="5" t="s">
        <v>9020</v>
      </c>
      <c r="H2243" s="5" t="s">
        <v>9021</v>
      </c>
      <c r="I2243" s="5" t="s">
        <v>9022</v>
      </c>
      <c r="J2243" s="5" t="s">
        <v>9023</v>
      </c>
      <c r="K2243" s="5"/>
      <c r="L2243" s="5" t="s">
        <v>8</v>
      </c>
    </row>
    <row r="2244" spans="1:12" ht="15" customHeight="1" x14ac:dyDescent="0.25">
      <c r="A2244" s="9" t="s">
        <v>2590</v>
      </c>
      <c r="B2244">
        <f>_xlfn.XLOOKUP(C2244,Temas!C:C,Temas!B:B)</f>
        <v>25</v>
      </c>
      <c r="C2244" t="s">
        <v>9159</v>
      </c>
      <c r="D2244" s="22">
        <v>80</v>
      </c>
      <c r="E2244" s="9" t="s">
        <v>9090</v>
      </c>
      <c r="F2244" s="5">
        <v>9</v>
      </c>
      <c r="G2244" s="5" t="s">
        <v>9024</v>
      </c>
      <c r="H2244" s="5" t="s">
        <v>9025</v>
      </c>
      <c r="I2244" s="5" t="s">
        <v>9026</v>
      </c>
      <c r="J2244" s="5" t="s">
        <v>9027</v>
      </c>
      <c r="K2244" s="5"/>
      <c r="L2244" s="5" t="s">
        <v>8</v>
      </c>
    </row>
    <row r="2245" spans="1:12" ht="15" customHeight="1" x14ac:dyDescent="0.25">
      <c r="A2245" s="9" t="s">
        <v>2590</v>
      </c>
      <c r="B2245">
        <f>_xlfn.XLOOKUP(C2245,Temas!C:C,Temas!B:B)</f>
        <v>25</v>
      </c>
      <c r="C2245" t="s">
        <v>9159</v>
      </c>
      <c r="D2245" s="22">
        <v>80</v>
      </c>
      <c r="E2245" s="9" t="s">
        <v>9090</v>
      </c>
      <c r="F2245" s="5">
        <v>10</v>
      </c>
      <c r="G2245" s="5" t="s">
        <v>9028</v>
      </c>
      <c r="H2245" s="5" t="s">
        <v>9029</v>
      </c>
      <c r="I2245" s="5" t="s">
        <v>9030</v>
      </c>
      <c r="J2245" s="5" t="s">
        <v>9031</v>
      </c>
      <c r="K2245" s="5"/>
      <c r="L2245" s="5" t="s">
        <v>7</v>
      </c>
    </row>
    <row r="2246" spans="1:12" ht="15" customHeight="1" x14ac:dyDescent="0.25">
      <c r="A2246" s="9" t="s">
        <v>2590</v>
      </c>
      <c r="B2246">
        <f>_xlfn.XLOOKUP(C2246,Temas!C:C,Temas!B:B)</f>
        <v>10</v>
      </c>
      <c r="C2246" t="s">
        <v>2591</v>
      </c>
      <c r="D2246" s="22">
        <v>80</v>
      </c>
      <c r="E2246" s="9" t="s">
        <v>9090</v>
      </c>
      <c r="F2246" s="5">
        <v>11</v>
      </c>
      <c r="G2246" s="5" t="s">
        <v>9032</v>
      </c>
      <c r="H2246" s="5" t="s">
        <v>9033</v>
      </c>
      <c r="I2246" s="5" t="s">
        <v>9034</v>
      </c>
      <c r="J2246" s="5" t="s">
        <v>9035</v>
      </c>
      <c r="K2246" s="5"/>
      <c r="L2246" s="5" t="s">
        <v>9</v>
      </c>
    </row>
    <row r="2247" spans="1:12" ht="15" customHeight="1" x14ac:dyDescent="0.25">
      <c r="A2247" s="9" t="s">
        <v>2590</v>
      </c>
      <c r="B2247">
        <f>_xlfn.XLOOKUP(C2247,Temas!C:C,Temas!B:B)</f>
        <v>10</v>
      </c>
      <c r="C2247" t="s">
        <v>2591</v>
      </c>
      <c r="D2247" s="22">
        <v>80</v>
      </c>
      <c r="E2247" s="9" t="s">
        <v>9090</v>
      </c>
      <c r="F2247" s="5">
        <v>12</v>
      </c>
      <c r="G2247" s="5" t="s">
        <v>9036</v>
      </c>
      <c r="H2247" s="5" t="s">
        <v>9037</v>
      </c>
      <c r="I2247" s="5" t="s">
        <v>9038</v>
      </c>
      <c r="J2247" s="5" t="s">
        <v>7293</v>
      </c>
      <c r="K2247" s="5"/>
      <c r="L2247" s="5" t="s">
        <v>9</v>
      </c>
    </row>
    <row r="2248" spans="1:12" ht="15" customHeight="1" x14ac:dyDescent="0.25">
      <c r="A2248" s="9" t="s">
        <v>2590</v>
      </c>
      <c r="B2248">
        <f>_xlfn.XLOOKUP(C2248,Temas!C:C,Temas!B:B)</f>
        <v>10</v>
      </c>
      <c r="C2248" t="s">
        <v>2591</v>
      </c>
      <c r="D2248" s="22">
        <v>80</v>
      </c>
      <c r="E2248" s="9" t="s">
        <v>9090</v>
      </c>
      <c r="F2248" s="5">
        <v>13</v>
      </c>
      <c r="G2248" s="5" t="s">
        <v>9039</v>
      </c>
      <c r="H2248" s="5" t="s">
        <v>9040</v>
      </c>
      <c r="I2248" s="5" t="s">
        <v>9041</v>
      </c>
      <c r="J2248" s="5" t="s">
        <v>9042</v>
      </c>
      <c r="K2248" s="5"/>
      <c r="L2248" s="5" t="s">
        <v>7</v>
      </c>
    </row>
    <row r="2249" spans="1:12" ht="15" customHeight="1" x14ac:dyDescent="0.25">
      <c r="A2249" s="9" t="s">
        <v>2590</v>
      </c>
      <c r="B2249">
        <f>_xlfn.XLOOKUP(C2249,Temas!C:C,Temas!B:B)</f>
        <v>10</v>
      </c>
      <c r="C2249" t="s">
        <v>2591</v>
      </c>
      <c r="D2249" s="22">
        <v>80</v>
      </c>
      <c r="E2249" s="9" t="s">
        <v>9090</v>
      </c>
      <c r="F2249" s="5">
        <v>14</v>
      </c>
      <c r="G2249" s="5" t="s">
        <v>9043</v>
      </c>
      <c r="H2249" s="5" t="s">
        <v>9044</v>
      </c>
      <c r="I2249" s="5" t="s">
        <v>9045</v>
      </c>
      <c r="J2249" s="5" t="s">
        <v>9046</v>
      </c>
      <c r="K2249" s="5"/>
      <c r="L2249" s="5" t="s">
        <v>7</v>
      </c>
    </row>
    <row r="2250" spans="1:12" ht="15" customHeight="1" x14ac:dyDescent="0.25">
      <c r="A2250" s="9" t="s">
        <v>2590</v>
      </c>
      <c r="B2250">
        <f>_xlfn.XLOOKUP(C2250,Temas!C:C,Temas!B:B)</f>
        <v>10</v>
      </c>
      <c r="C2250" t="s">
        <v>2591</v>
      </c>
      <c r="D2250" s="22">
        <v>80</v>
      </c>
      <c r="E2250" s="9" t="s">
        <v>9090</v>
      </c>
      <c r="F2250" s="5">
        <v>15</v>
      </c>
      <c r="G2250" s="5" t="s">
        <v>9047</v>
      </c>
      <c r="H2250" s="5" t="s">
        <v>9048</v>
      </c>
      <c r="I2250" s="5" t="s">
        <v>9049</v>
      </c>
      <c r="J2250" s="5" t="s">
        <v>9050</v>
      </c>
      <c r="K2250" s="5"/>
      <c r="L2250" s="5" t="s">
        <v>9</v>
      </c>
    </row>
    <row r="2251" spans="1:12" ht="15" customHeight="1" x14ac:dyDescent="0.25">
      <c r="A2251" s="9" t="s">
        <v>2590</v>
      </c>
      <c r="B2251">
        <f>_xlfn.XLOOKUP(C2251,Temas!C:C,Temas!B:B)</f>
        <v>10</v>
      </c>
      <c r="C2251" t="s">
        <v>2591</v>
      </c>
      <c r="D2251" s="22">
        <v>80</v>
      </c>
      <c r="E2251" s="9" t="s">
        <v>9090</v>
      </c>
      <c r="F2251" s="5">
        <v>16</v>
      </c>
      <c r="G2251" s="5" t="s">
        <v>9051</v>
      </c>
      <c r="H2251" s="5" t="s">
        <v>9052</v>
      </c>
      <c r="I2251" s="5" t="s">
        <v>9053</v>
      </c>
      <c r="J2251" s="5" t="s">
        <v>9054</v>
      </c>
      <c r="K2251" s="5"/>
      <c r="L2251" s="5" t="s">
        <v>8</v>
      </c>
    </row>
    <row r="2252" spans="1:12" ht="15" customHeight="1" x14ac:dyDescent="0.25">
      <c r="A2252" s="9" t="s">
        <v>2590</v>
      </c>
      <c r="B2252">
        <f>_xlfn.XLOOKUP(C2252,Temas!C:C,Temas!B:B)</f>
        <v>10</v>
      </c>
      <c r="C2252" t="s">
        <v>2591</v>
      </c>
      <c r="D2252" s="22">
        <v>80</v>
      </c>
      <c r="E2252" s="9" t="s">
        <v>9090</v>
      </c>
      <c r="F2252" s="5">
        <v>17</v>
      </c>
      <c r="G2252" s="5" t="s">
        <v>9055</v>
      </c>
      <c r="H2252" s="5" t="s">
        <v>9056</v>
      </c>
      <c r="I2252" s="5" t="s">
        <v>9057</v>
      </c>
      <c r="J2252" s="5" t="s">
        <v>9058</v>
      </c>
      <c r="K2252" s="5"/>
      <c r="L2252" s="5" t="s">
        <v>9</v>
      </c>
    </row>
    <row r="2253" spans="1:12" ht="15" customHeight="1" x14ac:dyDescent="0.25">
      <c r="A2253" s="9" t="s">
        <v>2590</v>
      </c>
      <c r="B2253">
        <f>_xlfn.XLOOKUP(C2253,Temas!C:C,Temas!B:B)</f>
        <v>10</v>
      </c>
      <c r="C2253" t="s">
        <v>2591</v>
      </c>
      <c r="D2253" s="22">
        <v>80</v>
      </c>
      <c r="E2253" s="9" t="s">
        <v>9090</v>
      </c>
      <c r="F2253" s="5">
        <v>18</v>
      </c>
      <c r="G2253" s="5" t="s">
        <v>9059</v>
      </c>
      <c r="H2253" s="5" t="s">
        <v>9060</v>
      </c>
      <c r="I2253" s="5" t="s">
        <v>9061</v>
      </c>
      <c r="J2253" s="5" t="s">
        <v>9062</v>
      </c>
      <c r="K2253" s="5"/>
      <c r="L2253" s="5" t="s">
        <v>8</v>
      </c>
    </row>
    <row r="2254" spans="1:12" ht="15" customHeight="1" x14ac:dyDescent="0.25">
      <c r="A2254" s="9" t="s">
        <v>2590</v>
      </c>
      <c r="B2254">
        <f>_xlfn.XLOOKUP(C2254,Temas!C:C,Temas!B:B)</f>
        <v>11</v>
      </c>
      <c r="C2254" t="s">
        <v>3187</v>
      </c>
      <c r="D2254" s="22">
        <v>80</v>
      </c>
      <c r="E2254" s="9" t="s">
        <v>9090</v>
      </c>
      <c r="F2254" s="5">
        <v>19</v>
      </c>
      <c r="G2254" s="5" t="s">
        <v>9063</v>
      </c>
      <c r="H2254" s="5" t="s">
        <v>9064</v>
      </c>
      <c r="I2254" s="5" t="s">
        <v>9065</v>
      </c>
      <c r="J2254" s="5" t="s">
        <v>9066</v>
      </c>
      <c r="K2254" s="5"/>
      <c r="L2254" s="5" t="s">
        <v>8</v>
      </c>
    </row>
    <row r="2255" spans="1:12" ht="15" customHeight="1" x14ac:dyDescent="0.25">
      <c r="A2255" s="9" t="s">
        <v>2590</v>
      </c>
      <c r="B2255">
        <f>_xlfn.XLOOKUP(C2255,Temas!C:C,Temas!B:B)</f>
        <v>11</v>
      </c>
      <c r="C2255" t="s">
        <v>3187</v>
      </c>
      <c r="D2255" s="22">
        <v>80</v>
      </c>
      <c r="E2255" s="9" t="s">
        <v>9090</v>
      </c>
      <c r="F2255" s="5">
        <v>20</v>
      </c>
      <c r="G2255" s="5" t="s">
        <v>9067</v>
      </c>
      <c r="H2255" s="5" t="s">
        <v>9068</v>
      </c>
      <c r="I2255" s="5" t="s">
        <v>9069</v>
      </c>
      <c r="J2255" s="5" t="s">
        <v>2663</v>
      </c>
      <c r="K2255" s="5"/>
      <c r="L2255" s="5" t="s">
        <v>9</v>
      </c>
    </row>
    <row r="2256" spans="1:12" ht="15" customHeight="1" x14ac:dyDescent="0.25">
      <c r="A2256" s="9" t="s">
        <v>2590</v>
      </c>
      <c r="B2256">
        <f>_xlfn.XLOOKUP(C2256,Temas!C:C,Temas!B:B)</f>
        <v>11</v>
      </c>
      <c r="C2256" t="s">
        <v>3187</v>
      </c>
      <c r="D2256" s="22">
        <v>80</v>
      </c>
      <c r="E2256" s="9" t="s">
        <v>9090</v>
      </c>
      <c r="F2256" s="5">
        <v>21</v>
      </c>
      <c r="G2256" s="5" t="s">
        <v>9070</v>
      </c>
      <c r="H2256" s="5" t="s">
        <v>9071</v>
      </c>
      <c r="I2256" s="5" t="s">
        <v>9072</v>
      </c>
      <c r="J2256" s="5" t="s">
        <v>9073</v>
      </c>
      <c r="K2256" s="5"/>
      <c r="L2256" s="5" t="s">
        <v>8</v>
      </c>
    </row>
    <row r="2257" spans="1:12" ht="15" customHeight="1" x14ac:dyDescent="0.25">
      <c r="A2257" s="9" t="s">
        <v>2590</v>
      </c>
      <c r="B2257">
        <f>_xlfn.XLOOKUP(C2257,Temas!C:C,Temas!B:B)</f>
        <v>11</v>
      </c>
      <c r="C2257" t="s">
        <v>3187</v>
      </c>
      <c r="D2257" s="22">
        <v>80</v>
      </c>
      <c r="E2257" s="9" t="s">
        <v>9090</v>
      </c>
      <c r="F2257" s="5">
        <v>22</v>
      </c>
      <c r="G2257" s="5" t="s">
        <v>9074</v>
      </c>
      <c r="H2257" s="5" t="s">
        <v>9075</v>
      </c>
      <c r="I2257" s="5" t="s">
        <v>9076</v>
      </c>
      <c r="J2257" s="5" t="s">
        <v>9077</v>
      </c>
      <c r="K2257" s="5"/>
      <c r="L2257" s="5" t="s">
        <v>7</v>
      </c>
    </row>
    <row r="2258" spans="1:12" ht="15" customHeight="1" x14ac:dyDescent="0.25">
      <c r="A2258" s="9" t="s">
        <v>2590</v>
      </c>
      <c r="B2258">
        <f>_xlfn.XLOOKUP(C2258,Temas!C:C,Temas!B:B)</f>
        <v>11</v>
      </c>
      <c r="C2258" t="s">
        <v>3187</v>
      </c>
      <c r="D2258" s="22">
        <v>80</v>
      </c>
      <c r="E2258" s="9" t="s">
        <v>9090</v>
      </c>
      <c r="F2258" s="5">
        <v>23</v>
      </c>
      <c r="G2258" s="5" t="s">
        <v>9078</v>
      </c>
      <c r="H2258" s="5" t="s">
        <v>9079</v>
      </c>
      <c r="I2258" s="5" t="s">
        <v>9080</v>
      </c>
      <c r="J2258" s="5" t="s">
        <v>9081</v>
      </c>
      <c r="K2258" s="5"/>
      <c r="L2258" s="5" t="s">
        <v>7</v>
      </c>
    </row>
    <row r="2259" spans="1:12" ht="15" customHeight="1" x14ac:dyDescent="0.25">
      <c r="A2259" s="9" t="s">
        <v>2590</v>
      </c>
      <c r="B2259">
        <f>_xlfn.XLOOKUP(C2259,Temas!C:C,Temas!B:B)</f>
        <v>18</v>
      </c>
      <c r="C2259" t="s">
        <v>5448</v>
      </c>
      <c r="D2259" s="22">
        <v>80</v>
      </c>
      <c r="E2259" s="9" t="s">
        <v>9090</v>
      </c>
      <c r="F2259" s="5">
        <v>24</v>
      </c>
      <c r="G2259" s="5" t="s">
        <v>9082</v>
      </c>
      <c r="H2259" s="5" t="s">
        <v>9083</v>
      </c>
      <c r="I2259" s="5" t="s">
        <v>9084</v>
      </c>
      <c r="J2259" s="5" t="s">
        <v>9085</v>
      </c>
      <c r="K2259" s="5"/>
      <c r="L2259" s="5" t="s">
        <v>9</v>
      </c>
    </row>
    <row r="2260" spans="1:12" ht="15" customHeight="1" x14ac:dyDescent="0.25">
      <c r="A2260" s="9" t="s">
        <v>2590</v>
      </c>
      <c r="B2260">
        <f>_xlfn.XLOOKUP(C2260,Temas!C:C,Temas!B:B)</f>
        <v>18</v>
      </c>
      <c r="C2260" t="s">
        <v>5448</v>
      </c>
      <c r="D2260" s="22">
        <v>80</v>
      </c>
      <c r="E2260" s="9" t="s">
        <v>9090</v>
      </c>
      <c r="F2260" s="5">
        <v>25</v>
      </c>
      <c r="G2260" s="5" t="s">
        <v>9086</v>
      </c>
      <c r="H2260" s="5" t="s">
        <v>9087</v>
      </c>
      <c r="I2260" s="5" t="s">
        <v>9088</v>
      </c>
      <c r="J2260" s="5" t="s">
        <v>9089</v>
      </c>
      <c r="K2260" s="5"/>
      <c r="L2260" s="5" t="s">
        <v>8</v>
      </c>
    </row>
    <row r="2261" spans="1:12" ht="15" customHeight="1" x14ac:dyDescent="0.25">
      <c r="A2261" s="9" t="s">
        <v>2590</v>
      </c>
      <c r="B2261">
        <f>_xlfn.XLOOKUP(C2261,Temas!C:C,Temas!B:B)</f>
        <v>18</v>
      </c>
      <c r="C2261" t="s">
        <v>5448</v>
      </c>
      <c r="D2261" s="22">
        <v>80</v>
      </c>
      <c r="E2261" s="9" t="s">
        <v>9090</v>
      </c>
      <c r="F2261" s="5">
        <v>26</v>
      </c>
      <c r="G2261" s="5" t="s">
        <v>9091</v>
      </c>
      <c r="H2261" s="5" t="s">
        <v>9092</v>
      </c>
      <c r="I2261" s="5" t="s">
        <v>9093</v>
      </c>
      <c r="J2261" s="5" t="s">
        <v>9094</v>
      </c>
      <c r="K2261" s="5"/>
      <c r="L2261" s="5" t="s">
        <v>7</v>
      </c>
    </row>
    <row r="2262" spans="1:12" ht="15" customHeight="1" x14ac:dyDescent="0.25">
      <c r="A2262" s="9" t="s">
        <v>2590</v>
      </c>
      <c r="B2262">
        <f>_xlfn.XLOOKUP(C2262,Temas!C:C,Temas!B:B)</f>
        <v>27</v>
      </c>
      <c r="C2262" t="s">
        <v>7706</v>
      </c>
      <c r="D2262" s="22">
        <v>80</v>
      </c>
      <c r="E2262" s="9" t="s">
        <v>9090</v>
      </c>
      <c r="F2262" s="5">
        <v>27</v>
      </c>
      <c r="G2262" s="5" t="s">
        <v>9095</v>
      </c>
      <c r="H2262" s="5" t="s">
        <v>6754</v>
      </c>
      <c r="I2262" s="5" t="s">
        <v>9096</v>
      </c>
      <c r="J2262" s="5" t="s">
        <v>9097</v>
      </c>
      <c r="K2262" s="5"/>
      <c r="L2262" s="5" t="s">
        <v>7</v>
      </c>
    </row>
    <row r="2263" spans="1:12" ht="15" customHeight="1" x14ac:dyDescent="0.25">
      <c r="A2263" s="9" t="s">
        <v>2590</v>
      </c>
      <c r="B2263">
        <f>_xlfn.XLOOKUP(C2263,Temas!C:C,Temas!B:B)</f>
        <v>9</v>
      </c>
      <c r="C2263" t="s">
        <v>8378</v>
      </c>
      <c r="D2263" s="22">
        <v>80</v>
      </c>
      <c r="E2263" s="9" t="s">
        <v>9090</v>
      </c>
      <c r="F2263" s="5">
        <v>28</v>
      </c>
      <c r="G2263" s="5" t="s">
        <v>9098</v>
      </c>
      <c r="H2263" s="5" t="s">
        <v>9099</v>
      </c>
      <c r="I2263" s="5" t="s">
        <v>9100</v>
      </c>
      <c r="J2263" s="5" t="s">
        <v>9101</v>
      </c>
      <c r="K2263" s="5"/>
      <c r="L2263" s="5" t="s">
        <v>8</v>
      </c>
    </row>
    <row r="2264" spans="1:12" ht="15" customHeight="1" x14ac:dyDescent="0.25">
      <c r="A2264" s="9" t="s">
        <v>2590</v>
      </c>
      <c r="B2264">
        <f>_xlfn.XLOOKUP(C2264,Temas!C:C,Temas!B:B)</f>
        <v>9</v>
      </c>
      <c r="C2264" t="s">
        <v>8378</v>
      </c>
      <c r="D2264" s="22">
        <v>80</v>
      </c>
      <c r="E2264" s="9" t="s">
        <v>9090</v>
      </c>
      <c r="F2264" s="5">
        <v>29</v>
      </c>
      <c r="G2264" s="5" t="s">
        <v>9102</v>
      </c>
      <c r="H2264" s="5" t="s">
        <v>9103</v>
      </c>
      <c r="I2264" s="5" t="s">
        <v>9104</v>
      </c>
      <c r="J2264" s="5" t="s">
        <v>9105</v>
      </c>
      <c r="K2264" s="5"/>
      <c r="L2264" s="5" t="s">
        <v>7</v>
      </c>
    </row>
    <row r="2265" spans="1:12" ht="15" customHeight="1" x14ac:dyDescent="0.25">
      <c r="A2265" s="9" t="s">
        <v>2590</v>
      </c>
      <c r="B2265">
        <f>_xlfn.XLOOKUP(C2265,Temas!C:C,Temas!B:B)</f>
        <v>9</v>
      </c>
      <c r="C2265" t="s">
        <v>8378</v>
      </c>
      <c r="D2265" s="22">
        <v>80</v>
      </c>
      <c r="E2265" s="9" t="s">
        <v>9090</v>
      </c>
      <c r="F2265" s="5">
        <v>30</v>
      </c>
      <c r="G2265" s="5" t="s">
        <v>9106</v>
      </c>
      <c r="H2265" s="5" t="s">
        <v>6762</v>
      </c>
      <c r="I2265" s="5" t="s">
        <v>6763</v>
      </c>
      <c r="J2265" s="5" t="s">
        <v>6764</v>
      </c>
      <c r="K2265" s="5"/>
      <c r="L2265" s="5" t="s">
        <v>7</v>
      </c>
    </row>
    <row r="2266" spans="1:12" ht="15" customHeight="1" x14ac:dyDescent="0.25">
      <c r="A2266" s="9" t="s">
        <v>2590</v>
      </c>
      <c r="B2266">
        <f>_xlfn.XLOOKUP(C2266,Temas!C:C,Temas!B:B)</f>
        <v>9</v>
      </c>
      <c r="C2266" t="s">
        <v>8378</v>
      </c>
      <c r="D2266" s="22">
        <v>80</v>
      </c>
      <c r="E2266" s="9" t="s">
        <v>9090</v>
      </c>
      <c r="F2266" s="5">
        <v>31</v>
      </c>
      <c r="G2266" s="5" t="s">
        <v>9107</v>
      </c>
      <c r="H2266" s="5" t="s">
        <v>6766</v>
      </c>
      <c r="I2266" s="5" t="s">
        <v>6767</v>
      </c>
      <c r="J2266" s="5" t="s">
        <v>9108</v>
      </c>
      <c r="K2266" s="5"/>
      <c r="L2266" s="5" t="s">
        <v>9</v>
      </c>
    </row>
    <row r="2267" spans="1:12" ht="15" customHeight="1" x14ac:dyDescent="0.25">
      <c r="A2267" s="9" t="s">
        <v>2590</v>
      </c>
      <c r="B2267">
        <f>_xlfn.XLOOKUP(C2267,Temas!C:C,Temas!B:B)</f>
        <v>9</v>
      </c>
      <c r="C2267" t="s">
        <v>8378</v>
      </c>
      <c r="D2267" s="22">
        <v>80</v>
      </c>
      <c r="E2267" s="9" t="s">
        <v>9090</v>
      </c>
      <c r="F2267" s="5">
        <v>32</v>
      </c>
      <c r="G2267" s="5" t="s">
        <v>9109</v>
      </c>
      <c r="H2267" s="5" t="s">
        <v>9110</v>
      </c>
      <c r="I2267" s="5" t="s">
        <v>9111</v>
      </c>
      <c r="J2267" s="5" t="s">
        <v>9112</v>
      </c>
      <c r="K2267" s="5"/>
      <c r="L2267" s="5" t="s">
        <v>7</v>
      </c>
    </row>
    <row r="2268" spans="1:12" ht="15" customHeight="1" x14ac:dyDescent="0.25">
      <c r="A2268" s="9" t="s">
        <v>2590</v>
      </c>
      <c r="B2268">
        <f>_xlfn.XLOOKUP(C2268,Temas!C:C,Temas!B:B)</f>
        <v>17</v>
      </c>
      <c r="C2268" t="s">
        <v>5255</v>
      </c>
      <c r="D2268" s="22">
        <v>80</v>
      </c>
      <c r="E2268" s="9" t="s">
        <v>9090</v>
      </c>
      <c r="F2268" s="5">
        <v>33</v>
      </c>
      <c r="G2268" s="5" t="s">
        <v>9113</v>
      </c>
      <c r="H2268" s="5" t="s">
        <v>2320</v>
      </c>
      <c r="I2268" s="5" t="s">
        <v>9114</v>
      </c>
      <c r="J2268" s="5" t="s">
        <v>9115</v>
      </c>
      <c r="K2268" s="5"/>
      <c r="L2268" s="5" t="s">
        <v>7</v>
      </c>
    </row>
    <row r="2269" spans="1:12" ht="15" customHeight="1" x14ac:dyDescent="0.25">
      <c r="A2269" s="9" t="s">
        <v>2590</v>
      </c>
      <c r="B2269">
        <f>_xlfn.XLOOKUP(C2269,Temas!C:C,Temas!B:B)</f>
        <v>12</v>
      </c>
      <c r="C2269" t="s">
        <v>3352</v>
      </c>
      <c r="D2269" s="22">
        <v>80</v>
      </c>
      <c r="E2269" s="9" t="s">
        <v>9090</v>
      </c>
      <c r="F2269" s="5">
        <v>34</v>
      </c>
      <c r="G2269" s="5" t="s">
        <v>9116</v>
      </c>
      <c r="H2269" s="5" t="s">
        <v>9117</v>
      </c>
      <c r="I2269" s="5" t="s">
        <v>9118</v>
      </c>
      <c r="J2269" s="5" t="s">
        <v>9119</v>
      </c>
      <c r="K2269" s="5"/>
      <c r="L2269" s="5" t="s">
        <v>9</v>
      </c>
    </row>
    <row r="2270" spans="1:12" ht="15" customHeight="1" x14ac:dyDescent="0.25">
      <c r="A2270" s="9" t="s">
        <v>2590</v>
      </c>
      <c r="B2270">
        <f>_xlfn.XLOOKUP(C2270,Temas!C:C,Temas!B:B)</f>
        <v>12</v>
      </c>
      <c r="C2270" t="s">
        <v>3352</v>
      </c>
      <c r="D2270" s="22">
        <v>80</v>
      </c>
      <c r="E2270" s="9" t="s">
        <v>9090</v>
      </c>
      <c r="F2270" s="5">
        <v>35</v>
      </c>
      <c r="G2270" s="5" t="s">
        <v>9120</v>
      </c>
      <c r="H2270" s="5" t="s">
        <v>9121</v>
      </c>
      <c r="I2270" s="5" t="s">
        <v>9122</v>
      </c>
      <c r="J2270" s="5" t="s">
        <v>9123</v>
      </c>
      <c r="K2270" s="5"/>
      <c r="L2270" s="5" t="s">
        <v>7</v>
      </c>
    </row>
    <row r="2271" spans="1:12" ht="15" customHeight="1" x14ac:dyDescent="0.25">
      <c r="A2271" s="9" t="s">
        <v>2590</v>
      </c>
      <c r="B2271">
        <f>_xlfn.XLOOKUP(C2271,Temas!C:C,Temas!B:B)</f>
        <v>12</v>
      </c>
      <c r="C2271" t="s">
        <v>3352</v>
      </c>
      <c r="D2271" s="22">
        <v>80</v>
      </c>
      <c r="E2271" s="9" t="s">
        <v>9090</v>
      </c>
      <c r="F2271" s="5">
        <v>36</v>
      </c>
      <c r="G2271" s="5" t="s">
        <v>9124</v>
      </c>
      <c r="H2271" s="5" t="s">
        <v>9125</v>
      </c>
      <c r="I2271" s="5" t="s">
        <v>9126</v>
      </c>
      <c r="J2271" s="5" t="s">
        <v>9127</v>
      </c>
      <c r="K2271" s="5"/>
      <c r="L2271" s="5" t="s">
        <v>8</v>
      </c>
    </row>
    <row r="2272" spans="1:12" ht="15" customHeight="1" x14ac:dyDescent="0.25">
      <c r="A2272" s="9" t="s">
        <v>2590</v>
      </c>
      <c r="B2272">
        <f>_xlfn.XLOOKUP(C2272,Temas!C:C,Temas!B:B)</f>
        <v>12</v>
      </c>
      <c r="C2272" t="s">
        <v>3352</v>
      </c>
      <c r="D2272" s="22">
        <v>80</v>
      </c>
      <c r="E2272" s="9" t="s">
        <v>9090</v>
      </c>
      <c r="F2272" s="5">
        <v>37</v>
      </c>
      <c r="G2272" s="5" t="s">
        <v>9128</v>
      </c>
      <c r="H2272" s="5" t="s">
        <v>9129</v>
      </c>
      <c r="I2272" s="5" t="s">
        <v>9130</v>
      </c>
      <c r="J2272" s="5" t="s">
        <v>9131</v>
      </c>
      <c r="K2272" s="5"/>
      <c r="L2272" s="5" t="s">
        <v>9</v>
      </c>
    </row>
    <row r="2273" spans="1:12" ht="15" customHeight="1" x14ac:dyDescent="0.25">
      <c r="A2273" s="9" t="s">
        <v>2590</v>
      </c>
      <c r="B2273">
        <f>_xlfn.XLOOKUP(C2273,Temas!C:C,Temas!B:B)</f>
        <v>12</v>
      </c>
      <c r="C2273" t="s">
        <v>3352</v>
      </c>
      <c r="D2273" s="22">
        <v>80</v>
      </c>
      <c r="E2273" s="9" t="s">
        <v>9090</v>
      </c>
      <c r="F2273" s="5">
        <v>38</v>
      </c>
      <c r="G2273" s="5" t="s">
        <v>9132</v>
      </c>
      <c r="H2273" s="5" t="s">
        <v>9133</v>
      </c>
      <c r="I2273" s="5" t="s">
        <v>9134</v>
      </c>
      <c r="J2273" s="5" t="s">
        <v>9135</v>
      </c>
      <c r="K2273" s="5"/>
      <c r="L2273" s="5" t="s">
        <v>7</v>
      </c>
    </row>
    <row r="2274" spans="1:12" ht="15" customHeight="1" x14ac:dyDescent="0.25">
      <c r="A2274" s="9" t="s">
        <v>2590</v>
      </c>
      <c r="B2274">
        <f>_xlfn.XLOOKUP(C2274,Temas!C:C,Temas!B:B)</f>
        <v>12</v>
      </c>
      <c r="C2274" t="s">
        <v>3352</v>
      </c>
      <c r="D2274" s="22">
        <v>80</v>
      </c>
      <c r="E2274" s="9" t="s">
        <v>9090</v>
      </c>
      <c r="F2274" s="5">
        <v>39</v>
      </c>
      <c r="G2274" s="5" t="s">
        <v>9136</v>
      </c>
      <c r="H2274" s="5" t="s">
        <v>9137</v>
      </c>
      <c r="I2274" s="5" t="s">
        <v>9138</v>
      </c>
      <c r="J2274" s="5" t="s">
        <v>9139</v>
      </c>
      <c r="K2274" s="5"/>
      <c r="L2274" s="5" t="s">
        <v>8</v>
      </c>
    </row>
    <row r="2275" spans="1:12" ht="15" customHeight="1" x14ac:dyDescent="0.25">
      <c r="A2275" s="9" t="s">
        <v>2590</v>
      </c>
      <c r="B2275">
        <f>_xlfn.XLOOKUP(C2275,Temas!C:C,Temas!B:B)</f>
        <v>13</v>
      </c>
      <c r="C2275" t="s">
        <v>4093</v>
      </c>
      <c r="D2275" s="22">
        <v>80</v>
      </c>
      <c r="E2275" s="9" t="s">
        <v>9090</v>
      </c>
      <c r="F2275" s="5">
        <v>40</v>
      </c>
      <c r="G2275" s="5" t="s">
        <v>9140</v>
      </c>
      <c r="H2275" s="5" t="s">
        <v>6804</v>
      </c>
      <c r="I2275" s="5" t="s">
        <v>9141</v>
      </c>
      <c r="J2275" s="5" t="s">
        <v>6805</v>
      </c>
      <c r="K2275" s="5"/>
      <c r="L2275" s="5" t="s">
        <v>9</v>
      </c>
    </row>
    <row r="2276" spans="1:12" ht="15" customHeight="1" x14ac:dyDescent="0.25">
      <c r="A2276" s="9" t="s">
        <v>2590</v>
      </c>
      <c r="B2276">
        <f>_xlfn.XLOOKUP(C2276,Temas!C:C,Temas!B:B)</f>
        <v>10</v>
      </c>
      <c r="C2276" t="s">
        <v>2591</v>
      </c>
      <c r="D2276" s="22">
        <v>80</v>
      </c>
      <c r="E2276" s="9" t="s">
        <v>9090</v>
      </c>
      <c r="F2276" s="5" t="s">
        <v>8464</v>
      </c>
      <c r="G2276" s="5" t="s">
        <v>9142</v>
      </c>
      <c r="H2276" s="5" t="s">
        <v>9143</v>
      </c>
      <c r="I2276" s="5" t="s">
        <v>9144</v>
      </c>
      <c r="J2276" s="5" t="s">
        <v>9145</v>
      </c>
      <c r="K2276" s="5"/>
      <c r="L2276" s="5" t="s">
        <v>7</v>
      </c>
    </row>
    <row r="2277" spans="1:12" ht="15" customHeight="1" x14ac:dyDescent="0.25">
      <c r="A2277" s="9" t="s">
        <v>2590</v>
      </c>
      <c r="B2277">
        <f>_xlfn.XLOOKUP(C2277,Temas!C:C,Temas!B:B)</f>
        <v>17</v>
      </c>
      <c r="C2277" t="s">
        <v>5255</v>
      </c>
      <c r="D2277" s="22">
        <v>80</v>
      </c>
      <c r="E2277" s="9" t="s">
        <v>9090</v>
      </c>
      <c r="F2277" s="5" t="s">
        <v>8231</v>
      </c>
      <c r="G2277" s="5" t="s">
        <v>9146</v>
      </c>
      <c r="H2277" s="5" t="s">
        <v>9147</v>
      </c>
      <c r="I2277" s="5" t="s">
        <v>9148</v>
      </c>
      <c r="J2277" s="5" t="s">
        <v>2506</v>
      </c>
      <c r="K2277" s="5"/>
      <c r="L2277" s="5" t="s">
        <v>8</v>
      </c>
    </row>
    <row r="2278" spans="1:12" ht="15" customHeight="1" x14ac:dyDescent="0.25">
      <c r="A2278" s="9" t="s">
        <v>2590</v>
      </c>
      <c r="B2278">
        <f>_xlfn.XLOOKUP(C2278,Temas!C:C,Temas!B:B)</f>
        <v>10</v>
      </c>
      <c r="C2278" t="s">
        <v>2591</v>
      </c>
      <c r="D2278" s="22">
        <v>80</v>
      </c>
      <c r="E2278" s="9" t="s">
        <v>9090</v>
      </c>
      <c r="F2278" s="5" t="s">
        <v>8232</v>
      </c>
      <c r="G2278" s="5" t="s">
        <v>9149</v>
      </c>
      <c r="H2278" s="5" t="s">
        <v>9150</v>
      </c>
      <c r="I2278" s="5" t="s">
        <v>9151</v>
      </c>
      <c r="J2278" s="5" t="s">
        <v>9152</v>
      </c>
      <c r="K2278" s="5"/>
      <c r="L2278" s="5" t="s">
        <v>7</v>
      </c>
    </row>
    <row r="2279" spans="1:12" ht="15" customHeight="1" x14ac:dyDescent="0.25">
      <c r="A2279" s="9" t="s">
        <v>2590</v>
      </c>
      <c r="B2279">
        <f>_xlfn.XLOOKUP(C2279,Temas!C:C,Temas!B:B)</f>
        <v>27</v>
      </c>
      <c r="C2279" t="s">
        <v>7706</v>
      </c>
      <c r="D2279" s="22">
        <v>80</v>
      </c>
      <c r="E2279" s="9" t="s">
        <v>9090</v>
      </c>
      <c r="F2279" s="5" t="s">
        <v>8058</v>
      </c>
      <c r="G2279" s="5" t="s">
        <v>9153</v>
      </c>
      <c r="H2279" s="5" t="s">
        <v>9154</v>
      </c>
      <c r="I2279" s="5" t="s">
        <v>9155</v>
      </c>
      <c r="J2279" s="5" t="s">
        <v>766</v>
      </c>
      <c r="K2279" s="5"/>
      <c r="L2279" s="5" t="s">
        <v>7</v>
      </c>
    </row>
    <row r="2280" spans="1:12" ht="15" customHeight="1" x14ac:dyDescent="0.25">
      <c r="A2280" s="9" t="s">
        <v>2590</v>
      </c>
      <c r="B2280">
        <f>_xlfn.XLOOKUP(C2280,Temas!C:C,Temas!B:B)</f>
        <v>27</v>
      </c>
      <c r="C2280" t="s">
        <v>7706</v>
      </c>
      <c r="D2280" s="22">
        <v>80</v>
      </c>
      <c r="E2280" s="9" t="s">
        <v>9090</v>
      </c>
      <c r="F2280" s="5" t="s">
        <v>8060</v>
      </c>
      <c r="G2280" s="5" t="s">
        <v>9156</v>
      </c>
      <c r="H2280" s="5" t="s">
        <v>9157</v>
      </c>
      <c r="I2280" s="5" t="s">
        <v>9158</v>
      </c>
      <c r="J2280" s="5" t="s">
        <v>2132</v>
      </c>
      <c r="K2280" s="5"/>
      <c r="L2280" s="5" t="s">
        <v>9</v>
      </c>
    </row>
    <row r="2281" spans="1:12" ht="15" customHeight="1" x14ac:dyDescent="0.25">
      <c r="A2281" s="9" t="s">
        <v>2590</v>
      </c>
      <c r="B2281">
        <v>0</v>
      </c>
      <c r="C2281" t="s">
        <v>9235</v>
      </c>
      <c r="D2281" s="22">
        <v>81</v>
      </c>
      <c r="E2281" s="9" t="s">
        <v>9234</v>
      </c>
      <c r="F2281" s="28">
        <v>1</v>
      </c>
      <c r="G2281" s="28" t="s">
        <v>9160</v>
      </c>
      <c r="H2281" s="28" t="s">
        <v>9161</v>
      </c>
      <c r="I2281" s="28" t="s">
        <v>9162</v>
      </c>
      <c r="J2281" s="28" t="s">
        <v>9163</v>
      </c>
      <c r="K2281" s="28" t="s">
        <v>9164</v>
      </c>
      <c r="L2281" s="28" t="s">
        <v>8</v>
      </c>
    </row>
    <row r="2282" spans="1:12" ht="15" customHeight="1" x14ac:dyDescent="0.25">
      <c r="A2282" s="9" t="s">
        <v>2590</v>
      </c>
      <c r="B2282">
        <v>0</v>
      </c>
      <c r="C2282" t="s">
        <v>9235</v>
      </c>
      <c r="D2282" s="22">
        <v>81</v>
      </c>
      <c r="E2282" s="9" t="s">
        <v>9234</v>
      </c>
      <c r="F2282" s="28">
        <v>2</v>
      </c>
      <c r="G2282" s="28" t="s">
        <v>9165</v>
      </c>
      <c r="H2282" s="28" t="s">
        <v>9166</v>
      </c>
      <c r="I2282" s="28" t="s">
        <v>9167</v>
      </c>
      <c r="J2282" s="28" t="s">
        <v>9168</v>
      </c>
      <c r="K2282" s="28" t="s">
        <v>9169</v>
      </c>
      <c r="L2282" s="28" t="s">
        <v>7</v>
      </c>
    </row>
    <row r="2283" spans="1:12" ht="15" customHeight="1" x14ac:dyDescent="0.25">
      <c r="A2283" s="9" t="s">
        <v>2590</v>
      </c>
      <c r="B2283">
        <v>0</v>
      </c>
      <c r="C2283" t="s">
        <v>9235</v>
      </c>
      <c r="D2283" s="22">
        <v>81</v>
      </c>
      <c r="E2283" s="9" t="s">
        <v>9234</v>
      </c>
      <c r="F2283" s="28">
        <v>3</v>
      </c>
      <c r="G2283" s="28" t="s">
        <v>9170</v>
      </c>
      <c r="H2283" s="28" t="s">
        <v>9166</v>
      </c>
      <c r="I2283" s="28" t="s">
        <v>9167</v>
      </c>
      <c r="J2283" s="28" t="s">
        <v>9168</v>
      </c>
      <c r="K2283" s="28" t="s">
        <v>9169</v>
      </c>
      <c r="L2283" s="28" t="s">
        <v>8</v>
      </c>
    </row>
    <row r="2284" spans="1:12" ht="15" customHeight="1" x14ac:dyDescent="0.25">
      <c r="A2284" s="9" t="s">
        <v>2590</v>
      </c>
      <c r="B2284">
        <v>0</v>
      </c>
      <c r="C2284" t="s">
        <v>9235</v>
      </c>
      <c r="D2284" s="22">
        <v>81</v>
      </c>
      <c r="E2284" s="9" t="s">
        <v>9234</v>
      </c>
      <c r="F2284" s="28">
        <v>4</v>
      </c>
      <c r="G2284" s="28" t="s">
        <v>9171</v>
      </c>
      <c r="H2284" s="28" t="s">
        <v>9166</v>
      </c>
      <c r="I2284" s="28" t="s">
        <v>9172</v>
      </c>
      <c r="J2284" s="28" t="s">
        <v>9173</v>
      </c>
      <c r="K2284" s="28" t="s">
        <v>9174</v>
      </c>
      <c r="L2284" s="28" t="s">
        <v>10</v>
      </c>
    </row>
    <row r="2285" spans="1:12" ht="15" customHeight="1" x14ac:dyDescent="0.25">
      <c r="A2285" s="9" t="s">
        <v>2590</v>
      </c>
      <c r="B2285">
        <v>0</v>
      </c>
      <c r="C2285" t="s">
        <v>9235</v>
      </c>
      <c r="D2285" s="22">
        <v>81</v>
      </c>
      <c r="E2285" s="9" t="s">
        <v>9234</v>
      </c>
      <c r="F2285" s="28">
        <v>8</v>
      </c>
      <c r="G2285" s="28" t="s">
        <v>9175</v>
      </c>
      <c r="H2285" s="28" t="s">
        <v>9176</v>
      </c>
      <c r="I2285" s="28" t="s">
        <v>7641</v>
      </c>
      <c r="J2285" s="28" t="s">
        <v>9177</v>
      </c>
      <c r="K2285" s="28" t="s">
        <v>7038</v>
      </c>
      <c r="L2285" s="28" t="s">
        <v>10</v>
      </c>
    </row>
    <row r="2286" spans="1:12" ht="15" customHeight="1" x14ac:dyDescent="0.25">
      <c r="A2286" s="9" t="s">
        <v>2590</v>
      </c>
      <c r="B2286">
        <v>0</v>
      </c>
      <c r="C2286" t="s">
        <v>9235</v>
      </c>
      <c r="D2286" s="22">
        <v>81</v>
      </c>
      <c r="E2286" s="9" t="s">
        <v>9234</v>
      </c>
      <c r="F2286" s="28">
        <v>9</v>
      </c>
      <c r="G2286" s="28" t="s">
        <v>9178</v>
      </c>
      <c r="H2286" s="28" t="s">
        <v>9179</v>
      </c>
      <c r="I2286" s="28" t="s">
        <v>9180</v>
      </c>
      <c r="J2286" s="28" t="s">
        <v>9181</v>
      </c>
      <c r="K2286" s="28" t="s">
        <v>9182</v>
      </c>
      <c r="L2286" s="28" t="s">
        <v>7</v>
      </c>
    </row>
    <row r="2287" spans="1:12" ht="15" customHeight="1" x14ac:dyDescent="0.25">
      <c r="A2287" s="9" t="s">
        <v>2590</v>
      </c>
      <c r="B2287">
        <v>0</v>
      </c>
      <c r="C2287" t="s">
        <v>9235</v>
      </c>
      <c r="D2287" s="22">
        <v>81</v>
      </c>
      <c r="E2287" s="9" t="s">
        <v>9234</v>
      </c>
      <c r="F2287" s="28">
        <v>10</v>
      </c>
      <c r="G2287" s="28" t="s">
        <v>9183</v>
      </c>
      <c r="H2287" s="28" t="s">
        <v>9184</v>
      </c>
      <c r="I2287" s="28" t="s">
        <v>9177</v>
      </c>
      <c r="J2287" s="28" t="s">
        <v>9181</v>
      </c>
      <c r="K2287" s="28" t="s">
        <v>9185</v>
      </c>
      <c r="L2287" s="28" t="s">
        <v>8</v>
      </c>
    </row>
    <row r="2288" spans="1:12" ht="15" customHeight="1" x14ac:dyDescent="0.25">
      <c r="A2288" s="9" t="s">
        <v>2590</v>
      </c>
      <c r="B2288">
        <v>0</v>
      </c>
      <c r="C2288" t="s">
        <v>9235</v>
      </c>
      <c r="D2288" s="22">
        <v>81</v>
      </c>
      <c r="E2288" s="9" t="s">
        <v>9234</v>
      </c>
      <c r="F2288" s="28">
        <v>23</v>
      </c>
      <c r="G2288" s="28" t="s">
        <v>9186</v>
      </c>
      <c r="H2288" s="28" t="s">
        <v>9187</v>
      </c>
      <c r="I2288" s="28" t="s">
        <v>9188</v>
      </c>
      <c r="J2288" s="28" t="s">
        <v>9189</v>
      </c>
      <c r="K2288" s="28" t="s">
        <v>9190</v>
      </c>
      <c r="L2288" s="28" t="s">
        <v>9</v>
      </c>
    </row>
    <row r="2289" spans="1:12" ht="15" customHeight="1" x14ac:dyDescent="0.25">
      <c r="A2289" s="9" t="s">
        <v>2590</v>
      </c>
      <c r="B2289">
        <v>0</v>
      </c>
      <c r="C2289" t="s">
        <v>9235</v>
      </c>
      <c r="D2289" s="22">
        <v>81</v>
      </c>
      <c r="E2289" s="9" t="s">
        <v>9234</v>
      </c>
      <c r="F2289" s="5">
        <v>31</v>
      </c>
      <c r="G2289" s="5" t="s">
        <v>9191</v>
      </c>
      <c r="H2289" s="5" t="s">
        <v>9192</v>
      </c>
      <c r="I2289" s="5" t="s">
        <v>9193</v>
      </c>
      <c r="J2289" s="5" t="s">
        <v>9194</v>
      </c>
      <c r="K2289" s="5" t="s">
        <v>9195</v>
      </c>
      <c r="L2289" s="5" t="s">
        <v>8</v>
      </c>
    </row>
    <row r="2290" spans="1:12" ht="15" customHeight="1" x14ac:dyDescent="0.25">
      <c r="A2290" s="9" t="s">
        <v>2590</v>
      </c>
      <c r="B2290">
        <v>0</v>
      </c>
      <c r="C2290" t="s">
        <v>9235</v>
      </c>
      <c r="D2290" s="22">
        <v>81</v>
      </c>
      <c r="E2290" s="9" t="s">
        <v>9234</v>
      </c>
      <c r="F2290" s="5">
        <v>32</v>
      </c>
      <c r="G2290" s="5" t="s">
        <v>9196</v>
      </c>
      <c r="H2290" s="5" t="s">
        <v>9194</v>
      </c>
      <c r="I2290" s="5" t="s">
        <v>9197</v>
      </c>
      <c r="J2290" s="5" t="s">
        <v>9192</v>
      </c>
      <c r="K2290" s="5" t="s">
        <v>9193</v>
      </c>
      <c r="L2290" s="5" t="s">
        <v>9</v>
      </c>
    </row>
    <row r="2291" spans="1:12" ht="15" customHeight="1" x14ac:dyDescent="0.25">
      <c r="A2291" s="9" t="s">
        <v>2590</v>
      </c>
      <c r="B2291">
        <v>0</v>
      </c>
      <c r="C2291" t="s">
        <v>9235</v>
      </c>
      <c r="D2291" s="22">
        <v>81</v>
      </c>
      <c r="E2291" s="9" t="s">
        <v>9234</v>
      </c>
      <c r="F2291" s="5">
        <v>33</v>
      </c>
      <c r="G2291" s="5" t="s">
        <v>9198</v>
      </c>
      <c r="H2291" s="5" t="s">
        <v>9199</v>
      </c>
      <c r="I2291" s="5" t="s">
        <v>9200</v>
      </c>
      <c r="J2291" s="5" t="s">
        <v>9201</v>
      </c>
      <c r="K2291" s="5" t="s">
        <v>9195</v>
      </c>
      <c r="L2291" s="5" t="s">
        <v>7</v>
      </c>
    </row>
    <row r="2292" spans="1:12" ht="15" customHeight="1" x14ac:dyDescent="0.25">
      <c r="A2292" s="9" t="s">
        <v>2590</v>
      </c>
      <c r="B2292">
        <v>0</v>
      </c>
      <c r="C2292" t="s">
        <v>9235</v>
      </c>
      <c r="D2292" s="22">
        <v>81</v>
      </c>
      <c r="E2292" s="9" t="s">
        <v>9234</v>
      </c>
      <c r="F2292" s="5">
        <v>34</v>
      </c>
      <c r="G2292" s="5" t="s">
        <v>9202</v>
      </c>
      <c r="H2292" s="5" t="s">
        <v>9203</v>
      </c>
      <c r="I2292" s="5" t="s">
        <v>9204</v>
      </c>
      <c r="J2292" s="5" t="s">
        <v>9205</v>
      </c>
      <c r="K2292" s="5" t="s">
        <v>9195</v>
      </c>
      <c r="L2292" s="5" t="s">
        <v>10</v>
      </c>
    </row>
    <row r="2293" spans="1:12" ht="15" customHeight="1" x14ac:dyDescent="0.25">
      <c r="A2293" s="9" t="s">
        <v>2590</v>
      </c>
      <c r="B2293">
        <v>0</v>
      </c>
      <c r="C2293" t="s">
        <v>9235</v>
      </c>
      <c r="D2293" s="22">
        <v>81</v>
      </c>
      <c r="E2293" s="9" t="s">
        <v>9234</v>
      </c>
      <c r="F2293" s="5">
        <v>35</v>
      </c>
      <c r="G2293" s="5" t="s">
        <v>9206</v>
      </c>
      <c r="H2293" s="5" t="s">
        <v>9207</v>
      </c>
      <c r="I2293" s="5" t="s">
        <v>9208</v>
      </c>
      <c r="J2293" s="5" t="s">
        <v>9209</v>
      </c>
      <c r="K2293" s="5" t="s">
        <v>9195</v>
      </c>
      <c r="L2293" s="5" t="s">
        <v>7</v>
      </c>
    </row>
    <row r="2294" spans="1:12" ht="15" customHeight="1" x14ac:dyDescent="0.25">
      <c r="A2294" s="9" t="s">
        <v>2590</v>
      </c>
      <c r="B2294">
        <v>0</v>
      </c>
      <c r="C2294" t="s">
        <v>9235</v>
      </c>
      <c r="D2294" s="22">
        <v>81</v>
      </c>
      <c r="E2294" s="9" t="s">
        <v>9234</v>
      </c>
      <c r="F2294" s="5">
        <v>36</v>
      </c>
      <c r="G2294" s="5" t="s">
        <v>9210</v>
      </c>
      <c r="H2294" s="5" t="s">
        <v>9211</v>
      </c>
      <c r="I2294" s="5" t="s">
        <v>9212</v>
      </c>
      <c r="J2294" s="5" t="s">
        <v>9213</v>
      </c>
      <c r="K2294" s="5" t="s">
        <v>9214</v>
      </c>
      <c r="L2294" s="5" t="s">
        <v>9</v>
      </c>
    </row>
    <row r="2295" spans="1:12" ht="15" customHeight="1" x14ac:dyDescent="0.25">
      <c r="A2295" s="9" t="s">
        <v>2590</v>
      </c>
      <c r="B2295">
        <v>0</v>
      </c>
      <c r="C2295" t="s">
        <v>9235</v>
      </c>
      <c r="D2295" s="22">
        <v>81</v>
      </c>
      <c r="E2295" s="9" t="s">
        <v>9234</v>
      </c>
      <c r="F2295" s="5">
        <v>37</v>
      </c>
      <c r="G2295" s="5" t="s">
        <v>9215</v>
      </c>
      <c r="H2295" s="5" t="s">
        <v>9216</v>
      </c>
      <c r="I2295" s="5" t="s">
        <v>9217</v>
      </c>
      <c r="J2295" s="5" t="s">
        <v>9218</v>
      </c>
      <c r="K2295" s="5" t="s">
        <v>9219</v>
      </c>
      <c r="L2295" s="5" t="s">
        <v>10</v>
      </c>
    </row>
    <row r="2296" spans="1:12" ht="15" customHeight="1" x14ac:dyDescent="0.25">
      <c r="A2296" s="9" t="s">
        <v>2590</v>
      </c>
      <c r="B2296">
        <v>0</v>
      </c>
      <c r="C2296" t="s">
        <v>9235</v>
      </c>
      <c r="D2296" s="22">
        <v>81</v>
      </c>
      <c r="E2296" s="9" t="s">
        <v>9234</v>
      </c>
      <c r="F2296" s="5">
        <v>38</v>
      </c>
      <c r="G2296" s="5" t="s">
        <v>9220</v>
      </c>
      <c r="H2296" s="5" t="s">
        <v>9221</v>
      </c>
      <c r="I2296" s="5" t="s">
        <v>9222</v>
      </c>
      <c r="J2296" s="5" t="s">
        <v>9223</v>
      </c>
      <c r="K2296" s="5" t="s">
        <v>9224</v>
      </c>
      <c r="L2296" s="5" t="s">
        <v>8</v>
      </c>
    </row>
    <row r="2297" spans="1:12" ht="15" customHeight="1" x14ac:dyDescent="0.25">
      <c r="A2297" s="9" t="s">
        <v>2590</v>
      </c>
      <c r="B2297">
        <v>0</v>
      </c>
      <c r="C2297" t="s">
        <v>9235</v>
      </c>
      <c r="D2297" s="22">
        <v>81</v>
      </c>
      <c r="E2297" s="9" t="s">
        <v>9234</v>
      </c>
      <c r="F2297" s="5">
        <v>39</v>
      </c>
      <c r="G2297" s="5" t="s">
        <v>9225</v>
      </c>
      <c r="H2297" s="5" t="s">
        <v>9226</v>
      </c>
      <c r="I2297" s="5" t="s">
        <v>9227</v>
      </c>
      <c r="J2297" s="5" t="s">
        <v>9228</v>
      </c>
      <c r="K2297" s="5" t="s">
        <v>9229</v>
      </c>
      <c r="L2297" s="5" t="s">
        <v>8</v>
      </c>
    </row>
    <row r="2298" spans="1:12" ht="15" customHeight="1" x14ac:dyDescent="0.25">
      <c r="A2298" s="9" t="s">
        <v>2590</v>
      </c>
      <c r="B2298">
        <v>0</v>
      </c>
      <c r="C2298" t="s">
        <v>9235</v>
      </c>
      <c r="D2298" s="22">
        <v>81</v>
      </c>
      <c r="E2298" s="9" t="s">
        <v>9234</v>
      </c>
      <c r="F2298" s="5">
        <v>40</v>
      </c>
      <c r="G2298" s="5" t="s">
        <v>9230</v>
      </c>
      <c r="H2298" s="5" t="s">
        <v>9231</v>
      </c>
      <c r="I2298" s="5" t="s">
        <v>9232</v>
      </c>
      <c r="J2298" s="5" t="s">
        <v>9233</v>
      </c>
      <c r="K2298" s="5" t="s">
        <v>9195</v>
      </c>
      <c r="L2298" s="5" t="s">
        <v>8</v>
      </c>
    </row>
    <row r="2299" spans="1:12" ht="15" customHeight="1" x14ac:dyDescent="0.25">
      <c r="A2299" s="9" t="s">
        <v>12</v>
      </c>
      <c r="B2299">
        <f>_xlfn.XLOOKUP(C2299,Temas!C:C,Temas!B:B)</f>
        <v>6</v>
      </c>
      <c r="C2299" s="1" t="s">
        <v>8374</v>
      </c>
      <c r="D2299" s="22">
        <v>82</v>
      </c>
      <c r="E2299" s="9" t="s">
        <v>9344</v>
      </c>
      <c r="F2299" s="28">
        <v>1</v>
      </c>
      <c r="G2299" s="28" t="s">
        <v>9236</v>
      </c>
      <c r="H2299" s="28" t="s">
        <v>9237</v>
      </c>
      <c r="I2299" s="28" t="s">
        <v>9238</v>
      </c>
      <c r="J2299" s="28" t="s">
        <v>9239</v>
      </c>
      <c r="L2299" s="5" t="s">
        <v>9</v>
      </c>
    </row>
    <row r="2300" spans="1:12" ht="15" customHeight="1" x14ac:dyDescent="0.25">
      <c r="A2300" s="9" t="s">
        <v>12</v>
      </c>
      <c r="B2300">
        <f>_xlfn.XLOOKUP(C2300,Temas!C:C,Temas!B:B)</f>
        <v>6</v>
      </c>
      <c r="C2300" s="1" t="s">
        <v>8374</v>
      </c>
      <c r="D2300" s="22">
        <v>82</v>
      </c>
      <c r="E2300" s="9" t="s">
        <v>9344</v>
      </c>
      <c r="F2300" s="28">
        <v>2</v>
      </c>
      <c r="G2300" s="28" t="s">
        <v>9240</v>
      </c>
      <c r="H2300" s="28" t="s">
        <v>9241</v>
      </c>
      <c r="I2300" s="28" t="s">
        <v>9242</v>
      </c>
      <c r="J2300" s="28" t="s">
        <v>9243</v>
      </c>
      <c r="L2300" s="5" t="s">
        <v>7</v>
      </c>
    </row>
    <row r="2301" spans="1:12" ht="15" customHeight="1" x14ac:dyDescent="0.25">
      <c r="A2301" s="9" t="s">
        <v>12</v>
      </c>
      <c r="B2301">
        <f>_xlfn.XLOOKUP(C2301,Temas!C:C,Temas!B:B)</f>
        <v>6</v>
      </c>
      <c r="C2301" s="1" t="s">
        <v>8374</v>
      </c>
      <c r="D2301" s="22">
        <v>82</v>
      </c>
      <c r="E2301" s="9" t="s">
        <v>9344</v>
      </c>
      <c r="F2301" s="28">
        <v>3</v>
      </c>
      <c r="G2301" s="28" t="s">
        <v>9244</v>
      </c>
      <c r="H2301" s="28" t="s">
        <v>9245</v>
      </c>
      <c r="I2301" s="28" t="s">
        <v>9246</v>
      </c>
      <c r="J2301" s="28" t="s">
        <v>9247</v>
      </c>
      <c r="L2301" s="5" t="s">
        <v>8</v>
      </c>
    </row>
    <row r="2302" spans="1:12" ht="15" customHeight="1" x14ac:dyDescent="0.25">
      <c r="A2302" s="9" t="s">
        <v>12</v>
      </c>
      <c r="B2302">
        <f>_xlfn.XLOOKUP(C2302,Temas!C:C,Temas!B:B)</f>
        <v>27</v>
      </c>
      <c r="C2302" t="s">
        <v>7706</v>
      </c>
      <c r="D2302" s="22">
        <v>82</v>
      </c>
      <c r="E2302" s="9" t="s">
        <v>9344</v>
      </c>
      <c r="F2302" s="28">
        <v>4</v>
      </c>
      <c r="G2302" s="28" t="s">
        <v>9248</v>
      </c>
      <c r="H2302" s="28" t="s">
        <v>9249</v>
      </c>
      <c r="I2302" s="28" t="s">
        <v>9250</v>
      </c>
      <c r="J2302" s="28" t="s">
        <v>9251</v>
      </c>
      <c r="L2302" s="5" t="s">
        <v>8</v>
      </c>
    </row>
    <row r="2303" spans="1:12" ht="15" customHeight="1" x14ac:dyDescent="0.25">
      <c r="A2303" s="9" t="s">
        <v>12</v>
      </c>
      <c r="B2303">
        <f>_xlfn.XLOOKUP(C2303,Temas!C:C,Temas!B:B)</f>
        <v>27</v>
      </c>
      <c r="C2303" t="s">
        <v>7706</v>
      </c>
      <c r="D2303" s="22">
        <v>82</v>
      </c>
      <c r="E2303" s="9" t="s">
        <v>9344</v>
      </c>
      <c r="F2303" s="28">
        <v>5</v>
      </c>
      <c r="G2303" s="28" t="s">
        <v>9252</v>
      </c>
      <c r="H2303" s="28" t="s">
        <v>9253</v>
      </c>
      <c r="I2303" s="28" t="s">
        <v>9254</v>
      </c>
      <c r="J2303" s="28" t="s">
        <v>9255</v>
      </c>
      <c r="L2303" s="5" t="s">
        <v>8</v>
      </c>
    </row>
    <row r="2304" spans="1:12" ht="15" customHeight="1" x14ac:dyDescent="0.25">
      <c r="A2304" s="9" t="s">
        <v>12</v>
      </c>
      <c r="B2304">
        <f>_xlfn.XLOOKUP(C2304,Temas!C:C,Temas!B:B)</f>
        <v>27</v>
      </c>
      <c r="C2304" t="s">
        <v>7706</v>
      </c>
      <c r="D2304" s="22">
        <v>82</v>
      </c>
      <c r="E2304" s="9" t="s">
        <v>9344</v>
      </c>
      <c r="F2304" s="5">
        <v>6</v>
      </c>
      <c r="G2304" s="5" t="s">
        <v>9256</v>
      </c>
      <c r="H2304" s="5" t="s">
        <v>9257</v>
      </c>
      <c r="I2304" s="5" t="s">
        <v>9258</v>
      </c>
      <c r="J2304" s="5" t="s">
        <v>766</v>
      </c>
      <c r="K2304" s="5"/>
      <c r="L2304" s="5" t="s">
        <v>8</v>
      </c>
    </row>
    <row r="2305" spans="1:12" ht="15" customHeight="1" x14ac:dyDescent="0.25">
      <c r="A2305" s="9" t="s">
        <v>12</v>
      </c>
      <c r="B2305">
        <f>_xlfn.XLOOKUP(C2305,Temas!C:C,Temas!B:B)</f>
        <v>8</v>
      </c>
      <c r="C2305" s="9" t="s">
        <v>8066</v>
      </c>
      <c r="D2305" s="22">
        <v>82</v>
      </c>
      <c r="E2305" s="9" t="s">
        <v>9344</v>
      </c>
      <c r="F2305" s="5">
        <v>7</v>
      </c>
      <c r="G2305" s="5" t="s">
        <v>9259</v>
      </c>
      <c r="H2305" s="5" t="s">
        <v>9260</v>
      </c>
      <c r="I2305" s="5" t="s">
        <v>9261</v>
      </c>
      <c r="J2305" s="5" t="s">
        <v>1139</v>
      </c>
      <c r="K2305" s="5"/>
      <c r="L2305" s="5" t="s">
        <v>8</v>
      </c>
    </row>
    <row r="2306" spans="1:12" ht="15" customHeight="1" x14ac:dyDescent="0.25">
      <c r="A2306" s="9" t="s">
        <v>12</v>
      </c>
      <c r="B2306">
        <f>_xlfn.XLOOKUP(C2306,Temas!C:C,Temas!B:B)</f>
        <v>8</v>
      </c>
      <c r="C2306" s="9" t="s">
        <v>8066</v>
      </c>
      <c r="D2306" s="22">
        <v>82</v>
      </c>
      <c r="E2306" s="9" t="s">
        <v>9344</v>
      </c>
      <c r="F2306" s="5">
        <v>8</v>
      </c>
      <c r="G2306" s="5" t="s">
        <v>9262</v>
      </c>
      <c r="H2306" s="5" t="s">
        <v>9263</v>
      </c>
      <c r="I2306" s="5" t="s">
        <v>9264</v>
      </c>
      <c r="J2306" s="5" t="s">
        <v>2132</v>
      </c>
      <c r="K2306" s="5"/>
      <c r="L2306" s="5" t="s">
        <v>9</v>
      </c>
    </row>
    <row r="2307" spans="1:12" ht="15" customHeight="1" x14ac:dyDescent="0.25">
      <c r="A2307" s="9" t="s">
        <v>12</v>
      </c>
      <c r="B2307">
        <f>_xlfn.XLOOKUP(C2307,Temas!C:C,Temas!B:B)</f>
        <v>8</v>
      </c>
      <c r="C2307" s="9" t="s">
        <v>8066</v>
      </c>
      <c r="D2307" s="22">
        <v>82</v>
      </c>
      <c r="E2307" s="9" t="s">
        <v>9344</v>
      </c>
      <c r="F2307" s="5">
        <v>9</v>
      </c>
      <c r="G2307" s="5" t="s">
        <v>9265</v>
      </c>
      <c r="H2307" s="5" t="s">
        <v>9266</v>
      </c>
      <c r="I2307" s="5" t="s">
        <v>9267</v>
      </c>
      <c r="J2307" s="5" t="s">
        <v>9268</v>
      </c>
      <c r="K2307" s="5"/>
      <c r="L2307" s="5" t="s">
        <v>8</v>
      </c>
    </row>
    <row r="2308" spans="1:12" ht="15" customHeight="1" x14ac:dyDescent="0.25">
      <c r="A2308" s="9" t="s">
        <v>2590</v>
      </c>
      <c r="B2308">
        <f>_xlfn.XLOOKUP(C2308,Temas!C:C,Temas!B:B)</f>
        <v>25</v>
      </c>
      <c r="C2308" s="9" t="s">
        <v>9159</v>
      </c>
      <c r="D2308" s="22">
        <v>82</v>
      </c>
      <c r="E2308" s="9" t="s">
        <v>9344</v>
      </c>
      <c r="F2308" s="5">
        <v>10</v>
      </c>
      <c r="G2308" s="5" t="s">
        <v>9269</v>
      </c>
      <c r="H2308" s="5" t="s">
        <v>9270</v>
      </c>
      <c r="I2308" s="5" t="s">
        <v>9271</v>
      </c>
      <c r="J2308" s="5" t="s">
        <v>9272</v>
      </c>
      <c r="K2308" s="5"/>
      <c r="L2308" s="5" t="s">
        <v>8</v>
      </c>
    </row>
    <row r="2309" spans="1:12" ht="15" customHeight="1" x14ac:dyDescent="0.25">
      <c r="A2309" s="9" t="s">
        <v>2590</v>
      </c>
      <c r="B2309">
        <f>_xlfn.XLOOKUP(C2309,Temas!C:C,Temas!B:B)</f>
        <v>10</v>
      </c>
      <c r="C2309" s="9" t="s">
        <v>2591</v>
      </c>
      <c r="D2309" s="22">
        <v>82</v>
      </c>
      <c r="E2309" s="9" t="s">
        <v>9344</v>
      </c>
      <c r="F2309" s="5">
        <v>11</v>
      </c>
      <c r="G2309" s="5" t="s">
        <v>9273</v>
      </c>
      <c r="H2309" s="5" t="s">
        <v>9274</v>
      </c>
      <c r="I2309" s="5" t="s">
        <v>9275</v>
      </c>
      <c r="J2309" s="5" t="s">
        <v>9276</v>
      </c>
      <c r="K2309" s="5"/>
      <c r="L2309" s="5" t="s">
        <v>9</v>
      </c>
    </row>
    <row r="2310" spans="1:12" ht="15" customHeight="1" x14ac:dyDescent="0.25">
      <c r="A2310" s="9" t="s">
        <v>2590</v>
      </c>
      <c r="B2310">
        <f>_xlfn.XLOOKUP(C2310,Temas!C:C,Temas!B:B)</f>
        <v>10</v>
      </c>
      <c r="C2310" s="9" t="s">
        <v>2591</v>
      </c>
      <c r="D2310" s="22">
        <v>82</v>
      </c>
      <c r="E2310" s="9" t="s">
        <v>9344</v>
      </c>
      <c r="F2310" s="5">
        <v>12</v>
      </c>
      <c r="G2310" s="5" t="s">
        <v>9277</v>
      </c>
      <c r="H2310" s="5" t="s">
        <v>9037</v>
      </c>
      <c r="I2310" s="5" t="s">
        <v>9278</v>
      </c>
      <c r="J2310" s="5" t="s">
        <v>9279</v>
      </c>
      <c r="K2310" s="5"/>
      <c r="L2310" s="5" t="s">
        <v>9</v>
      </c>
    </row>
    <row r="2311" spans="1:12" ht="15" customHeight="1" x14ac:dyDescent="0.25">
      <c r="A2311" s="9" t="s">
        <v>2590</v>
      </c>
      <c r="B2311">
        <f>_xlfn.XLOOKUP(C2311,Temas!C:C,Temas!B:B)</f>
        <v>10</v>
      </c>
      <c r="C2311" s="9" t="s">
        <v>2591</v>
      </c>
      <c r="D2311" s="22">
        <v>82</v>
      </c>
      <c r="E2311" s="9" t="s">
        <v>9344</v>
      </c>
      <c r="F2311" s="5">
        <v>13</v>
      </c>
      <c r="G2311" s="5" t="s">
        <v>9280</v>
      </c>
      <c r="H2311" s="5" t="s">
        <v>9281</v>
      </c>
      <c r="I2311" s="5" t="s">
        <v>9041</v>
      </c>
      <c r="J2311" s="5" t="s">
        <v>9282</v>
      </c>
      <c r="K2311" s="5"/>
      <c r="L2311" s="5" t="s">
        <v>8</v>
      </c>
    </row>
    <row r="2312" spans="1:12" ht="15" customHeight="1" x14ac:dyDescent="0.25">
      <c r="A2312" s="9" t="s">
        <v>2590</v>
      </c>
      <c r="B2312">
        <f>_xlfn.XLOOKUP(C2312,Temas!C:C,Temas!B:B)</f>
        <v>10</v>
      </c>
      <c r="C2312" s="9" t="s">
        <v>2591</v>
      </c>
      <c r="D2312" s="22">
        <v>82</v>
      </c>
      <c r="E2312" s="9" t="s">
        <v>9344</v>
      </c>
      <c r="F2312" s="5">
        <v>14</v>
      </c>
      <c r="G2312" s="5" t="s">
        <v>9283</v>
      </c>
      <c r="H2312" s="5" t="s">
        <v>9284</v>
      </c>
      <c r="I2312" s="5" t="s">
        <v>9285</v>
      </c>
      <c r="J2312" s="5" t="s">
        <v>9046</v>
      </c>
      <c r="K2312" s="5"/>
      <c r="L2312" s="5" t="s">
        <v>8</v>
      </c>
    </row>
    <row r="2313" spans="1:12" ht="15" customHeight="1" x14ac:dyDescent="0.25">
      <c r="A2313" s="9" t="s">
        <v>2590</v>
      </c>
      <c r="B2313">
        <f>_xlfn.XLOOKUP(C2313,Temas!C:C,Temas!B:B)</f>
        <v>10</v>
      </c>
      <c r="C2313" s="9" t="s">
        <v>2591</v>
      </c>
      <c r="D2313" s="22">
        <v>82</v>
      </c>
      <c r="E2313" s="9" t="s">
        <v>9344</v>
      </c>
      <c r="F2313" s="5">
        <v>15</v>
      </c>
      <c r="G2313" s="5" t="s">
        <v>9286</v>
      </c>
      <c r="H2313" s="5" t="s">
        <v>9287</v>
      </c>
      <c r="I2313" s="5" t="s">
        <v>9044</v>
      </c>
      <c r="J2313" s="5" t="s">
        <v>9288</v>
      </c>
      <c r="K2313" s="5"/>
      <c r="L2313" s="5" t="s">
        <v>9</v>
      </c>
    </row>
    <row r="2314" spans="1:12" ht="15" customHeight="1" x14ac:dyDescent="0.25">
      <c r="A2314" s="9" t="s">
        <v>2590</v>
      </c>
      <c r="B2314">
        <f>_xlfn.XLOOKUP(C2314,Temas!C:C,Temas!B:B)</f>
        <v>10</v>
      </c>
      <c r="C2314" s="9" t="s">
        <v>2591</v>
      </c>
      <c r="D2314" s="22">
        <v>82</v>
      </c>
      <c r="E2314" s="9" t="s">
        <v>9344</v>
      </c>
      <c r="F2314" s="5">
        <v>16</v>
      </c>
      <c r="G2314" s="5" t="s">
        <v>9289</v>
      </c>
      <c r="H2314" s="5" t="s">
        <v>9290</v>
      </c>
      <c r="I2314" s="5" t="s">
        <v>9291</v>
      </c>
      <c r="J2314" s="5" t="s">
        <v>9054</v>
      </c>
      <c r="K2314" s="5"/>
      <c r="L2314" s="5" t="s">
        <v>8</v>
      </c>
    </row>
    <row r="2315" spans="1:12" ht="15" customHeight="1" x14ac:dyDescent="0.25">
      <c r="A2315" s="9" t="s">
        <v>2590</v>
      </c>
      <c r="B2315">
        <f>_xlfn.XLOOKUP(C2315,Temas!C:C,Temas!B:B)</f>
        <v>10</v>
      </c>
      <c r="C2315" s="9" t="s">
        <v>2591</v>
      </c>
      <c r="D2315" s="22">
        <v>82</v>
      </c>
      <c r="E2315" s="9" t="s">
        <v>9344</v>
      </c>
      <c r="F2315" s="5">
        <v>17</v>
      </c>
      <c r="G2315" s="5" t="s">
        <v>9292</v>
      </c>
      <c r="H2315" s="5" t="s">
        <v>9293</v>
      </c>
      <c r="I2315" s="5" t="s">
        <v>9049</v>
      </c>
      <c r="J2315" s="5" t="s">
        <v>9294</v>
      </c>
      <c r="K2315" s="5"/>
      <c r="L2315" s="5" t="s">
        <v>9</v>
      </c>
    </row>
    <row r="2316" spans="1:12" ht="15" customHeight="1" x14ac:dyDescent="0.25">
      <c r="A2316" s="9" t="s">
        <v>2590</v>
      </c>
      <c r="B2316">
        <f>_xlfn.XLOOKUP(C2316,Temas!C:C,Temas!B:B)</f>
        <v>10</v>
      </c>
      <c r="C2316" s="9" t="s">
        <v>2591</v>
      </c>
      <c r="D2316" s="22">
        <v>82</v>
      </c>
      <c r="E2316" s="9" t="s">
        <v>9344</v>
      </c>
      <c r="F2316" s="5">
        <v>18</v>
      </c>
      <c r="G2316" s="5" t="s">
        <v>9295</v>
      </c>
      <c r="H2316" s="5" t="s">
        <v>9296</v>
      </c>
      <c r="I2316" s="5" t="s">
        <v>9297</v>
      </c>
      <c r="J2316" s="5" t="s">
        <v>9298</v>
      </c>
      <c r="K2316" s="5"/>
      <c r="L2316" s="5" t="s">
        <v>8</v>
      </c>
    </row>
    <row r="2317" spans="1:12" ht="15" customHeight="1" x14ac:dyDescent="0.25">
      <c r="A2317" s="9" t="s">
        <v>2590</v>
      </c>
      <c r="B2317">
        <f>_xlfn.XLOOKUP(C2317,Temas!C:C,Temas!B:B)</f>
        <v>11</v>
      </c>
      <c r="C2317" s="9" t="s">
        <v>3187</v>
      </c>
      <c r="D2317" s="22">
        <v>82</v>
      </c>
      <c r="E2317" s="9" t="s">
        <v>9344</v>
      </c>
      <c r="F2317" s="5">
        <v>19</v>
      </c>
      <c r="G2317" s="5" t="s">
        <v>9299</v>
      </c>
      <c r="H2317" s="5" t="s">
        <v>9300</v>
      </c>
      <c r="I2317" s="5" t="s">
        <v>9301</v>
      </c>
      <c r="J2317" s="5" t="s">
        <v>9302</v>
      </c>
      <c r="K2317" s="5"/>
      <c r="L2317" s="5" t="s">
        <v>8</v>
      </c>
    </row>
    <row r="2318" spans="1:12" ht="15" customHeight="1" x14ac:dyDescent="0.25">
      <c r="A2318" s="9" t="s">
        <v>2590</v>
      </c>
      <c r="B2318">
        <f>_xlfn.XLOOKUP(C2318,Temas!C:C,Temas!B:B)</f>
        <v>11</v>
      </c>
      <c r="C2318" s="9" t="s">
        <v>3187</v>
      </c>
      <c r="D2318" s="22">
        <v>82</v>
      </c>
      <c r="E2318" s="9" t="s">
        <v>9344</v>
      </c>
      <c r="F2318" s="5">
        <v>20</v>
      </c>
      <c r="G2318" s="5" t="s">
        <v>9303</v>
      </c>
      <c r="H2318" s="5" t="s">
        <v>9304</v>
      </c>
      <c r="I2318" s="5" t="s">
        <v>9305</v>
      </c>
      <c r="J2318" s="5" t="s">
        <v>9306</v>
      </c>
      <c r="K2318" s="5"/>
      <c r="L2318" s="5" t="s">
        <v>9</v>
      </c>
    </row>
    <row r="2319" spans="1:12" ht="15" customHeight="1" x14ac:dyDescent="0.25">
      <c r="A2319" s="9" t="s">
        <v>2590</v>
      </c>
      <c r="B2319">
        <f>_xlfn.XLOOKUP(C2319,Temas!C:C,Temas!B:B)</f>
        <v>11</v>
      </c>
      <c r="C2319" s="9" t="s">
        <v>3187</v>
      </c>
      <c r="D2319" s="22">
        <v>82</v>
      </c>
      <c r="E2319" s="9" t="s">
        <v>9344</v>
      </c>
      <c r="F2319" s="5">
        <v>21</v>
      </c>
      <c r="G2319" s="5" t="s">
        <v>9307</v>
      </c>
      <c r="H2319" s="5" t="s">
        <v>9308</v>
      </c>
      <c r="I2319" s="5" t="s">
        <v>9309</v>
      </c>
      <c r="J2319" s="5" t="s">
        <v>9310</v>
      </c>
      <c r="K2319" s="5"/>
      <c r="L2319" s="5" t="s">
        <v>7</v>
      </c>
    </row>
    <row r="2320" spans="1:12" ht="15" customHeight="1" x14ac:dyDescent="0.25">
      <c r="A2320" s="9" t="s">
        <v>2590</v>
      </c>
      <c r="B2320">
        <f>_xlfn.XLOOKUP(C2320,Temas!C:C,Temas!B:B)</f>
        <v>11</v>
      </c>
      <c r="C2320" s="9" t="s">
        <v>3187</v>
      </c>
      <c r="D2320" s="22">
        <v>82</v>
      </c>
      <c r="E2320" s="9" t="s">
        <v>9344</v>
      </c>
      <c r="F2320" s="5">
        <v>22</v>
      </c>
      <c r="G2320" s="5" t="s">
        <v>9311</v>
      </c>
      <c r="H2320" s="5" t="s">
        <v>9312</v>
      </c>
      <c r="I2320" s="5" t="s">
        <v>9313</v>
      </c>
      <c r="J2320" s="5" t="s">
        <v>9314</v>
      </c>
      <c r="K2320" s="5"/>
      <c r="L2320" s="5" t="s">
        <v>8</v>
      </c>
    </row>
    <row r="2321" spans="1:12" ht="15" customHeight="1" x14ac:dyDescent="0.25">
      <c r="A2321" s="9" t="s">
        <v>2590</v>
      </c>
      <c r="B2321">
        <f>_xlfn.XLOOKUP(C2321,Temas!C:C,Temas!B:B)</f>
        <v>11</v>
      </c>
      <c r="C2321" s="9" t="s">
        <v>3187</v>
      </c>
      <c r="D2321" s="22">
        <v>82</v>
      </c>
      <c r="E2321" s="9" t="s">
        <v>9344</v>
      </c>
      <c r="F2321" s="5">
        <v>23</v>
      </c>
      <c r="G2321" s="5" t="s">
        <v>9315</v>
      </c>
      <c r="H2321" s="5" t="s">
        <v>9316</v>
      </c>
      <c r="I2321" s="5" t="s">
        <v>9317</v>
      </c>
      <c r="J2321" s="5" t="s">
        <v>9318</v>
      </c>
      <c r="K2321" s="5"/>
      <c r="L2321" s="5" t="s">
        <v>9</v>
      </c>
    </row>
    <row r="2322" spans="1:12" ht="15" customHeight="1" x14ac:dyDescent="0.25">
      <c r="A2322" s="9" t="s">
        <v>2590</v>
      </c>
      <c r="B2322">
        <f>_xlfn.XLOOKUP(C2322,Temas!C:C,Temas!B:B)</f>
        <v>11</v>
      </c>
      <c r="C2322" s="9" t="s">
        <v>3187</v>
      </c>
      <c r="D2322" s="22">
        <v>82</v>
      </c>
      <c r="E2322" s="9" t="s">
        <v>9344</v>
      </c>
      <c r="F2322" s="5">
        <v>24</v>
      </c>
      <c r="G2322" s="5" t="s">
        <v>9319</v>
      </c>
      <c r="H2322" s="5" t="s">
        <v>9320</v>
      </c>
      <c r="I2322" s="5" t="s">
        <v>9321</v>
      </c>
      <c r="J2322" s="5" t="s">
        <v>9322</v>
      </c>
      <c r="K2322" s="5"/>
      <c r="L2322" s="5" t="s">
        <v>8</v>
      </c>
    </row>
    <row r="2323" spans="1:12" ht="15" customHeight="1" x14ac:dyDescent="0.25">
      <c r="A2323" s="9" t="s">
        <v>2590</v>
      </c>
      <c r="B2323">
        <f>_xlfn.XLOOKUP(C2323,Temas!C:C,Temas!B:B)</f>
        <v>11</v>
      </c>
      <c r="C2323" s="9" t="s">
        <v>3187</v>
      </c>
      <c r="D2323" s="22">
        <v>82</v>
      </c>
      <c r="E2323" s="9" t="s">
        <v>9344</v>
      </c>
      <c r="F2323" s="5">
        <v>25</v>
      </c>
      <c r="G2323" s="5" t="s">
        <v>9323</v>
      </c>
      <c r="H2323" s="5" t="s">
        <v>9324</v>
      </c>
      <c r="I2323" s="5" t="s">
        <v>9325</v>
      </c>
      <c r="J2323" s="5" t="s">
        <v>9326</v>
      </c>
      <c r="K2323" s="5"/>
      <c r="L2323" s="5" t="s">
        <v>8</v>
      </c>
    </row>
    <row r="2324" spans="1:12" ht="15" customHeight="1" x14ac:dyDescent="0.25">
      <c r="A2324" s="9" t="s">
        <v>2590</v>
      </c>
      <c r="B2324">
        <f>_xlfn.XLOOKUP(C2324,Temas!C:C,Temas!B:B)</f>
        <v>11</v>
      </c>
      <c r="C2324" s="9" t="s">
        <v>3187</v>
      </c>
      <c r="D2324" s="22">
        <v>82</v>
      </c>
      <c r="E2324" s="9" t="s">
        <v>9344</v>
      </c>
      <c r="F2324" s="5">
        <v>26</v>
      </c>
      <c r="G2324" s="5" t="s">
        <v>9327</v>
      </c>
      <c r="H2324" s="5" t="s">
        <v>9328</v>
      </c>
      <c r="I2324" s="5" t="s">
        <v>9329</v>
      </c>
      <c r="J2324" s="5" t="s">
        <v>8023</v>
      </c>
      <c r="K2324" s="5"/>
      <c r="L2324" s="5" t="s">
        <v>7</v>
      </c>
    </row>
    <row r="2325" spans="1:12" ht="15" customHeight="1" x14ac:dyDescent="0.25">
      <c r="A2325" s="9" t="s">
        <v>2590</v>
      </c>
      <c r="B2325">
        <f>_xlfn.XLOOKUP(C2325,Temas!C:C,Temas!B:B)</f>
        <v>12</v>
      </c>
      <c r="C2325" s="9" t="s">
        <v>3352</v>
      </c>
      <c r="D2325" s="22">
        <v>82</v>
      </c>
      <c r="E2325" s="9" t="s">
        <v>9344</v>
      </c>
      <c r="F2325" s="5">
        <v>27</v>
      </c>
      <c r="G2325" s="5" t="s">
        <v>9330</v>
      </c>
      <c r="H2325" s="5" t="s">
        <v>9331</v>
      </c>
      <c r="I2325" s="5" t="s">
        <v>9332</v>
      </c>
      <c r="J2325" s="5" t="s">
        <v>9333</v>
      </c>
      <c r="K2325" s="5"/>
      <c r="L2325" s="5" t="s">
        <v>8</v>
      </c>
    </row>
    <row r="2326" spans="1:12" ht="15" customHeight="1" x14ac:dyDescent="0.25">
      <c r="A2326" s="9" t="s">
        <v>2590</v>
      </c>
      <c r="B2326">
        <f>_xlfn.XLOOKUP(C2326,Temas!C:C,Temas!B:B)</f>
        <v>12</v>
      </c>
      <c r="C2326" s="9" t="s">
        <v>3352</v>
      </c>
      <c r="D2326" s="22">
        <v>82</v>
      </c>
      <c r="E2326" s="9" t="s">
        <v>9344</v>
      </c>
      <c r="F2326" s="5">
        <v>28</v>
      </c>
      <c r="G2326" s="5" t="s">
        <v>9334</v>
      </c>
      <c r="H2326" s="5" t="s">
        <v>6796</v>
      </c>
      <c r="I2326" s="5" t="s">
        <v>6797</v>
      </c>
      <c r="J2326" s="5" t="s">
        <v>9335</v>
      </c>
      <c r="K2326" s="5"/>
      <c r="L2326" s="5" t="s">
        <v>8</v>
      </c>
    </row>
    <row r="2327" spans="1:12" ht="15" customHeight="1" x14ac:dyDescent="0.25">
      <c r="A2327" s="9" t="s">
        <v>2590</v>
      </c>
      <c r="B2327">
        <f>_xlfn.XLOOKUP(C2327,Temas!C:C,Temas!B:B)</f>
        <v>13</v>
      </c>
      <c r="C2327" s="9" t="s">
        <v>4093</v>
      </c>
      <c r="D2327" s="22">
        <v>82</v>
      </c>
      <c r="E2327" s="9" t="s">
        <v>9344</v>
      </c>
      <c r="F2327" s="5">
        <v>29</v>
      </c>
      <c r="G2327" s="5" t="s">
        <v>9336</v>
      </c>
      <c r="H2327" s="5" t="s">
        <v>9337</v>
      </c>
      <c r="I2327" s="5" t="s">
        <v>9338</v>
      </c>
      <c r="J2327" s="5" t="s">
        <v>9339</v>
      </c>
      <c r="K2327" s="5"/>
      <c r="L2327" s="5" t="s">
        <v>7</v>
      </c>
    </row>
    <row r="2328" spans="1:12" ht="15" customHeight="1" x14ac:dyDescent="0.25">
      <c r="A2328" s="9" t="s">
        <v>2590</v>
      </c>
      <c r="B2328">
        <f>_xlfn.XLOOKUP(C2328,Temas!C:C,Temas!B:B)</f>
        <v>13</v>
      </c>
      <c r="C2328" s="9" t="s">
        <v>4093</v>
      </c>
      <c r="D2328" s="22">
        <v>82</v>
      </c>
      <c r="E2328" s="9" t="s">
        <v>9344</v>
      </c>
      <c r="F2328" s="5">
        <v>30</v>
      </c>
      <c r="G2328" s="5" t="s">
        <v>9340</v>
      </c>
      <c r="H2328" s="5" t="s">
        <v>9341</v>
      </c>
      <c r="I2328" s="5" t="s">
        <v>9342</v>
      </c>
      <c r="J2328" s="5" t="s">
        <v>9343</v>
      </c>
      <c r="K2328" s="5"/>
      <c r="L2328" s="5" t="s">
        <v>9</v>
      </c>
    </row>
    <row r="2329" spans="1:12" ht="15" customHeight="1" x14ac:dyDescent="0.25">
      <c r="A2329" s="9" t="s">
        <v>2590</v>
      </c>
      <c r="B2329">
        <f>_xlfn.XLOOKUP(C2329,Temas!C:C,Temas!B:B)</f>
        <v>12</v>
      </c>
      <c r="C2329" s="9" t="s">
        <v>3352</v>
      </c>
      <c r="D2329" s="22">
        <v>82</v>
      </c>
      <c r="E2329" s="9" t="s">
        <v>9344</v>
      </c>
      <c r="F2329" s="5">
        <v>31</v>
      </c>
      <c r="G2329" s="5" t="s">
        <v>9345</v>
      </c>
      <c r="H2329" s="5" t="s">
        <v>9346</v>
      </c>
      <c r="I2329" s="5" t="s">
        <v>9347</v>
      </c>
      <c r="J2329" s="5" t="s">
        <v>9348</v>
      </c>
      <c r="K2329" s="5"/>
      <c r="L2329" s="5" t="s">
        <v>8</v>
      </c>
    </row>
    <row r="2330" spans="1:12" ht="15" customHeight="1" x14ac:dyDescent="0.25">
      <c r="A2330" s="9" t="s">
        <v>2590</v>
      </c>
      <c r="B2330">
        <f>_xlfn.XLOOKUP(C2330,Temas!C:C,Temas!B:B)</f>
        <v>12</v>
      </c>
      <c r="C2330" s="9" t="s">
        <v>3352</v>
      </c>
      <c r="D2330" s="22">
        <v>82</v>
      </c>
      <c r="E2330" s="9" t="s">
        <v>9344</v>
      </c>
      <c r="F2330" s="5">
        <v>32</v>
      </c>
      <c r="G2330" s="5" t="s">
        <v>9120</v>
      </c>
      <c r="H2330" s="5" t="s">
        <v>9121</v>
      </c>
      <c r="I2330" s="5" t="s">
        <v>9349</v>
      </c>
      <c r="J2330" s="5" t="s">
        <v>9123</v>
      </c>
      <c r="K2330" s="5"/>
      <c r="L2330" s="5" t="s">
        <v>7</v>
      </c>
    </row>
    <row r="2331" spans="1:12" ht="15" customHeight="1" x14ac:dyDescent="0.25">
      <c r="A2331" s="9" t="s">
        <v>2590</v>
      </c>
      <c r="B2331">
        <f>_xlfn.XLOOKUP(C2331,Temas!C:C,Temas!B:B)</f>
        <v>13</v>
      </c>
      <c r="C2331" s="9" t="s">
        <v>4093</v>
      </c>
      <c r="D2331" s="22">
        <v>82</v>
      </c>
      <c r="E2331" s="9" t="s">
        <v>9344</v>
      </c>
      <c r="F2331" s="5">
        <v>33</v>
      </c>
      <c r="G2331" s="5" t="s">
        <v>9350</v>
      </c>
      <c r="H2331" s="5" t="s">
        <v>6877</v>
      </c>
      <c r="I2331" s="5" t="s">
        <v>9351</v>
      </c>
      <c r="J2331" s="5" t="s">
        <v>9352</v>
      </c>
      <c r="K2331" s="5"/>
      <c r="L2331" s="5" t="s">
        <v>9</v>
      </c>
    </row>
    <row r="2332" spans="1:12" ht="15" customHeight="1" x14ac:dyDescent="0.25">
      <c r="A2332" s="9" t="s">
        <v>2590</v>
      </c>
      <c r="B2332">
        <f>_xlfn.XLOOKUP(C2332,Temas!C:C,Temas!B:B)</f>
        <v>11</v>
      </c>
      <c r="C2332" s="9" t="s">
        <v>3187</v>
      </c>
      <c r="D2332" s="22">
        <v>82</v>
      </c>
      <c r="E2332" s="9" t="s">
        <v>9344</v>
      </c>
      <c r="F2332" s="5">
        <v>34</v>
      </c>
      <c r="G2332" s="5" t="s">
        <v>9353</v>
      </c>
      <c r="H2332" s="5" t="s">
        <v>9354</v>
      </c>
      <c r="I2332" s="5" t="s">
        <v>9355</v>
      </c>
      <c r="J2332" s="5" t="s">
        <v>9356</v>
      </c>
      <c r="K2332" s="5"/>
      <c r="L2332" s="5" t="s">
        <v>8</v>
      </c>
    </row>
    <row r="2333" spans="1:12" ht="15" customHeight="1" x14ac:dyDescent="0.25">
      <c r="A2333" s="9" t="s">
        <v>2590</v>
      </c>
      <c r="B2333">
        <f>_xlfn.XLOOKUP(C2333,Temas!C:C,Temas!B:B)</f>
        <v>11</v>
      </c>
      <c r="C2333" s="9" t="s">
        <v>3187</v>
      </c>
      <c r="D2333" s="22">
        <v>82</v>
      </c>
      <c r="E2333" s="9" t="s">
        <v>9344</v>
      </c>
      <c r="F2333" s="5">
        <v>35</v>
      </c>
      <c r="G2333" s="5" t="s">
        <v>9357</v>
      </c>
      <c r="H2333" s="5" t="s">
        <v>9358</v>
      </c>
      <c r="I2333" s="5" t="s">
        <v>9359</v>
      </c>
      <c r="J2333" s="5" t="s">
        <v>9360</v>
      </c>
      <c r="K2333" s="5"/>
      <c r="L2333" s="5" t="s">
        <v>7</v>
      </c>
    </row>
    <row r="2334" spans="1:12" ht="15" customHeight="1" x14ac:dyDescent="0.25">
      <c r="A2334" s="9" t="s">
        <v>2590</v>
      </c>
      <c r="B2334">
        <f>_xlfn.XLOOKUP(C2334,Temas!C:C,Temas!B:B)</f>
        <v>11</v>
      </c>
      <c r="C2334" s="9" t="s">
        <v>3187</v>
      </c>
      <c r="D2334" s="22">
        <v>82</v>
      </c>
      <c r="E2334" s="9" t="s">
        <v>9344</v>
      </c>
      <c r="F2334" s="5">
        <v>36</v>
      </c>
      <c r="G2334" s="5" t="s">
        <v>9361</v>
      </c>
      <c r="H2334" s="5" t="s">
        <v>9362</v>
      </c>
      <c r="I2334" s="5" t="s">
        <v>9363</v>
      </c>
      <c r="J2334" s="5" t="s">
        <v>9364</v>
      </c>
      <c r="K2334" s="5"/>
      <c r="L2334" s="5" t="s">
        <v>7</v>
      </c>
    </row>
    <row r="2335" spans="1:12" ht="15" customHeight="1" x14ac:dyDescent="0.25">
      <c r="A2335" s="9" t="s">
        <v>2590</v>
      </c>
      <c r="B2335">
        <f>_xlfn.XLOOKUP(C2335,Temas!C:C,Temas!B:B)</f>
        <v>11</v>
      </c>
      <c r="C2335" s="9" t="s">
        <v>3187</v>
      </c>
      <c r="D2335" s="22">
        <v>82</v>
      </c>
      <c r="E2335" s="9" t="s">
        <v>9344</v>
      </c>
      <c r="F2335" s="5">
        <v>37</v>
      </c>
      <c r="G2335" s="5" t="s">
        <v>9365</v>
      </c>
      <c r="H2335" s="5" t="s">
        <v>9366</v>
      </c>
      <c r="I2335" s="5" t="s">
        <v>9367</v>
      </c>
      <c r="J2335" s="5" t="s">
        <v>9368</v>
      </c>
      <c r="K2335" s="5"/>
      <c r="L2335" s="5" t="s">
        <v>8</v>
      </c>
    </row>
    <row r="2336" spans="1:12" ht="15" customHeight="1" x14ac:dyDescent="0.25">
      <c r="A2336" s="9" t="s">
        <v>2590</v>
      </c>
      <c r="B2336">
        <f>_xlfn.XLOOKUP(C2336,Temas!C:C,Temas!B:B)</f>
        <v>9</v>
      </c>
      <c r="C2336" s="9" t="s">
        <v>8378</v>
      </c>
      <c r="D2336" s="22">
        <v>82</v>
      </c>
      <c r="E2336" s="9" t="s">
        <v>9344</v>
      </c>
      <c r="F2336" s="5">
        <v>38</v>
      </c>
      <c r="G2336" s="5" t="s">
        <v>9369</v>
      </c>
      <c r="H2336" s="5" t="s">
        <v>9370</v>
      </c>
      <c r="I2336" s="5" t="s">
        <v>9371</v>
      </c>
      <c r="J2336" s="5" t="s">
        <v>9372</v>
      </c>
      <c r="K2336" s="5"/>
      <c r="L2336" s="5" t="s">
        <v>9</v>
      </c>
    </row>
    <row r="2337" spans="1:12" ht="15" customHeight="1" x14ac:dyDescent="0.25">
      <c r="A2337" s="9" t="s">
        <v>2590</v>
      </c>
      <c r="B2337">
        <f>_xlfn.XLOOKUP(C2337,Temas!C:C,Temas!B:B)</f>
        <v>9</v>
      </c>
      <c r="C2337" s="9" t="s">
        <v>8378</v>
      </c>
      <c r="D2337" s="22">
        <v>82</v>
      </c>
      <c r="E2337" s="9" t="s">
        <v>9344</v>
      </c>
      <c r="F2337" s="5">
        <v>39</v>
      </c>
      <c r="G2337" s="5" t="s">
        <v>9373</v>
      </c>
      <c r="H2337" s="5" t="s">
        <v>9374</v>
      </c>
      <c r="I2337" s="5" t="s">
        <v>9375</v>
      </c>
      <c r="J2337" s="5" t="s">
        <v>9376</v>
      </c>
      <c r="K2337" s="5"/>
      <c r="L2337" s="5" t="s">
        <v>9</v>
      </c>
    </row>
    <row r="2338" spans="1:12" ht="15" customHeight="1" x14ac:dyDescent="0.25">
      <c r="A2338" s="9" t="s">
        <v>2590</v>
      </c>
      <c r="B2338">
        <f>_xlfn.XLOOKUP(C2338,Temas!C:C,Temas!B:B)</f>
        <v>9</v>
      </c>
      <c r="C2338" s="9" t="s">
        <v>8378</v>
      </c>
      <c r="D2338" s="22">
        <v>82</v>
      </c>
      <c r="E2338" s="9" t="s">
        <v>9344</v>
      </c>
      <c r="F2338" s="5">
        <v>40</v>
      </c>
      <c r="G2338" s="5" t="s">
        <v>9377</v>
      </c>
      <c r="H2338" s="5" t="s">
        <v>9378</v>
      </c>
      <c r="I2338" s="5" t="s">
        <v>9379</v>
      </c>
      <c r="J2338" s="5" t="s">
        <v>9380</v>
      </c>
      <c r="K2338" s="5"/>
      <c r="L2338" s="5" t="s">
        <v>8</v>
      </c>
    </row>
    <row r="2339" spans="1:12" ht="15" customHeight="1" x14ac:dyDescent="0.25">
      <c r="A2339" s="9" t="s">
        <v>2590</v>
      </c>
      <c r="B2339">
        <f>_xlfn.XLOOKUP(C2339,Temas!C:C,Temas!B:B)</f>
        <v>10</v>
      </c>
      <c r="C2339" s="9" t="s">
        <v>2591</v>
      </c>
      <c r="D2339" s="22">
        <v>82</v>
      </c>
      <c r="E2339" s="9" t="s">
        <v>9344</v>
      </c>
      <c r="F2339" s="5" t="s">
        <v>8464</v>
      </c>
      <c r="G2339" s="5" t="s">
        <v>9381</v>
      </c>
      <c r="H2339" s="5" t="s">
        <v>9143</v>
      </c>
      <c r="I2339" s="5" t="s">
        <v>9144</v>
      </c>
      <c r="J2339" s="5" t="s">
        <v>9145</v>
      </c>
      <c r="K2339" s="5"/>
      <c r="L2339" s="5" t="s">
        <v>8</v>
      </c>
    </row>
    <row r="2340" spans="1:12" ht="15" customHeight="1" x14ac:dyDescent="0.25">
      <c r="A2340" s="9" t="s">
        <v>2590</v>
      </c>
      <c r="B2340">
        <f>_xlfn.XLOOKUP(C2340,Temas!C:C,Temas!B:B)</f>
        <v>12</v>
      </c>
      <c r="C2340" s="9" t="s">
        <v>3352</v>
      </c>
      <c r="D2340" s="22">
        <v>82</v>
      </c>
      <c r="E2340" s="9" t="s">
        <v>9344</v>
      </c>
      <c r="F2340" s="5" t="s">
        <v>8231</v>
      </c>
      <c r="G2340" s="5" t="s">
        <v>9382</v>
      </c>
      <c r="H2340" s="5" t="s">
        <v>9383</v>
      </c>
      <c r="I2340" s="5" t="s">
        <v>9384</v>
      </c>
      <c r="J2340" s="5" t="s">
        <v>9385</v>
      </c>
      <c r="K2340" s="5"/>
      <c r="L2340" s="5" t="s">
        <v>9</v>
      </c>
    </row>
    <row r="2341" spans="1:12" ht="15" customHeight="1" x14ac:dyDescent="0.25">
      <c r="A2341" s="9" t="s">
        <v>2590</v>
      </c>
      <c r="B2341">
        <f>_xlfn.XLOOKUP(C2341,Temas!C:C,Temas!B:B)</f>
        <v>9</v>
      </c>
      <c r="C2341" s="9" t="s">
        <v>8378</v>
      </c>
      <c r="D2341" s="22">
        <v>82</v>
      </c>
      <c r="E2341" s="9" t="s">
        <v>9344</v>
      </c>
      <c r="F2341" s="5" t="s">
        <v>8232</v>
      </c>
      <c r="G2341" s="5" t="s">
        <v>9386</v>
      </c>
      <c r="H2341" s="5" t="s">
        <v>9387</v>
      </c>
      <c r="I2341" s="5" t="s">
        <v>9388</v>
      </c>
      <c r="J2341" s="5" t="s">
        <v>9389</v>
      </c>
      <c r="K2341" s="5"/>
      <c r="L2341" s="5" t="s">
        <v>8</v>
      </c>
    </row>
    <row r="2342" spans="1:12" ht="15" customHeight="1" x14ac:dyDescent="0.25">
      <c r="A2342" s="9" t="s">
        <v>2590</v>
      </c>
      <c r="B2342">
        <f>_xlfn.XLOOKUP(C2342,Temas!C:C,Temas!B:B)</f>
        <v>25</v>
      </c>
      <c r="C2342" s="9" t="s">
        <v>9159</v>
      </c>
      <c r="D2342" s="22">
        <v>82</v>
      </c>
      <c r="E2342" s="9" t="s">
        <v>9344</v>
      </c>
      <c r="F2342" s="5" t="s">
        <v>8058</v>
      </c>
      <c r="G2342" s="5" t="s">
        <v>9390</v>
      </c>
      <c r="H2342" s="5" t="s">
        <v>9391</v>
      </c>
      <c r="I2342" s="5" t="s">
        <v>9392</v>
      </c>
      <c r="J2342" s="5" t="s">
        <v>9393</v>
      </c>
      <c r="K2342" s="5"/>
      <c r="L2342" s="5" t="s">
        <v>7</v>
      </c>
    </row>
    <row r="2343" spans="1:12" ht="15" customHeight="1" x14ac:dyDescent="0.25">
      <c r="A2343" s="9" t="s">
        <v>2590</v>
      </c>
      <c r="B2343">
        <f>_xlfn.XLOOKUP(C2343,Temas!C:C,Temas!B:B)</f>
        <v>25</v>
      </c>
      <c r="C2343" s="9" t="s">
        <v>9159</v>
      </c>
      <c r="D2343" s="22">
        <v>82</v>
      </c>
      <c r="E2343" s="9" t="s">
        <v>9344</v>
      </c>
      <c r="F2343" s="5" t="s">
        <v>8060</v>
      </c>
      <c r="G2343" s="5" t="s">
        <v>9394</v>
      </c>
      <c r="H2343" s="5" t="s">
        <v>9395</v>
      </c>
      <c r="I2343" s="5" t="s">
        <v>9396</v>
      </c>
      <c r="J2343" s="5" t="s">
        <v>2132</v>
      </c>
      <c r="K2343" s="5"/>
      <c r="L2343" s="5" t="s">
        <v>9</v>
      </c>
    </row>
    <row r="2344" spans="1:12" ht="15" customHeight="1" x14ac:dyDescent="0.25">
      <c r="A2344" s="9" t="s">
        <v>2590</v>
      </c>
      <c r="B2344">
        <f>_xlfn.XLOOKUP(C2344,Temas!C:C,Temas!B:B)</f>
        <v>0</v>
      </c>
      <c r="C2344" t="s">
        <v>9235</v>
      </c>
      <c r="D2344" s="22">
        <v>83</v>
      </c>
      <c r="E2344" s="9" t="s">
        <v>9428</v>
      </c>
      <c r="F2344" s="5">
        <v>1</v>
      </c>
      <c r="G2344" s="5" t="s">
        <v>9397</v>
      </c>
      <c r="H2344" s="5" t="s">
        <v>9398</v>
      </c>
      <c r="I2344" s="5" t="s">
        <v>9399</v>
      </c>
      <c r="J2344" s="5" t="s">
        <v>9400</v>
      </c>
      <c r="K2344" s="5" t="s">
        <v>2506</v>
      </c>
      <c r="L2344" s="5" t="s">
        <v>8</v>
      </c>
    </row>
    <row r="2345" spans="1:12" ht="15" customHeight="1" x14ac:dyDescent="0.25">
      <c r="A2345" s="9" t="s">
        <v>2590</v>
      </c>
      <c r="B2345">
        <f>_xlfn.XLOOKUP(C2345,Temas!C:C,Temas!B:B)</f>
        <v>0</v>
      </c>
      <c r="C2345" t="s">
        <v>9235</v>
      </c>
      <c r="D2345" s="22">
        <v>83</v>
      </c>
      <c r="E2345" s="9" t="s">
        <v>9428</v>
      </c>
      <c r="F2345" s="5">
        <v>2</v>
      </c>
      <c r="G2345" s="5" t="s">
        <v>9401</v>
      </c>
      <c r="H2345" s="5" t="s">
        <v>2726</v>
      </c>
      <c r="I2345" s="5" t="s">
        <v>2724</v>
      </c>
      <c r="J2345" s="5" t="s">
        <v>2653</v>
      </c>
      <c r="K2345" s="5" t="s">
        <v>9402</v>
      </c>
      <c r="L2345" s="5" t="s">
        <v>7</v>
      </c>
    </row>
    <row r="2346" spans="1:12" ht="15" customHeight="1" x14ac:dyDescent="0.25">
      <c r="A2346" s="9" t="s">
        <v>2590</v>
      </c>
      <c r="B2346">
        <f>_xlfn.XLOOKUP(C2346,Temas!C:C,Temas!B:B)</f>
        <v>0</v>
      </c>
      <c r="C2346" t="s">
        <v>9235</v>
      </c>
      <c r="D2346" s="22">
        <v>83</v>
      </c>
      <c r="E2346" s="9" t="s">
        <v>9428</v>
      </c>
      <c r="F2346" s="5">
        <v>3</v>
      </c>
      <c r="G2346" s="5" t="s">
        <v>9403</v>
      </c>
      <c r="H2346" s="5" t="s">
        <v>9404</v>
      </c>
      <c r="I2346" s="5" t="s">
        <v>9405</v>
      </c>
      <c r="J2346" s="5" t="s">
        <v>9406</v>
      </c>
      <c r="K2346" s="5" t="s">
        <v>9407</v>
      </c>
      <c r="L2346" s="5" t="s">
        <v>8</v>
      </c>
    </row>
    <row r="2347" spans="1:12" ht="15" customHeight="1" x14ac:dyDescent="0.25">
      <c r="A2347" s="9" t="s">
        <v>2590</v>
      </c>
      <c r="B2347">
        <f>_xlfn.XLOOKUP(C2347,Temas!C:C,Temas!B:B)</f>
        <v>0</v>
      </c>
      <c r="C2347" t="s">
        <v>9235</v>
      </c>
      <c r="D2347" s="22">
        <v>83</v>
      </c>
      <c r="E2347" s="9" t="s">
        <v>9428</v>
      </c>
      <c r="F2347" s="5">
        <v>4</v>
      </c>
      <c r="G2347" s="5" t="s">
        <v>9408</v>
      </c>
      <c r="H2347" s="5" t="s">
        <v>9409</v>
      </c>
      <c r="I2347" s="5" t="s">
        <v>9410</v>
      </c>
      <c r="J2347" s="5" t="s">
        <v>9411</v>
      </c>
      <c r="K2347" s="5" t="s">
        <v>9412</v>
      </c>
      <c r="L2347" s="5" t="s">
        <v>10</v>
      </c>
    </row>
    <row r="2348" spans="1:12" ht="15" customHeight="1" x14ac:dyDescent="0.25">
      <c r="A2348" s="9" t="s">
        <v>2590</v>
      </c>
      <c r="B2348">
        <f>_xlfn.XLOOKUP(C2348,Temas!C:C,Temas!B:B)</f>
        <v>0</v>
      </c>
      <c r="C2348" t="s">
        <v>9235</v>
      </c>
      <c r="D2348" s="22">
        <v>83</v>
      </c>
      <c r="E2348" s="9" t="s">
        <v>9428</v>
      </c>
      <c r="F2348" s="5">
        <v>5</v>
      </c>
      <c r="G2348" s="5" t="s">
        <v>9413</v>
      </c>
      <c r="H2348" s="5" t="s">
        <v>2724</v>
      </c>
      <c r="I2348" s="5" t="s">
        <v>2726</v>
      </c>
      <c r="J2348" s="5" t="s">
        <v>9414</v>
      </c>
      <c r="K2348" s="5" t="s">
        <v>4416</v>
      </c>
      <c r="L2348" s="5" t="s">
        <v>7</v>
      </c>
    </row>
    <row r="2349" spans="1:12" ht="15" customHeight="1" x14ac:dyDescent="0.25">
      <c r="A2349" s="9" t="s">
        <v>2590</v>
      </c>
      <c r="B2349">
        <f>_xlfn.XLOOKUP(C2349,Temas!C:C,Temas!B:B)</f>
        <v>0</v>
      </c>
      <c r="C2349" t="s">
        <v>9235</v>
      </c>
      <c r="D2349" s="22">
        <v>83</v>
      </c>
      <c r="E2349" s="9" t="s">
        <v>9428</v>
      </c>
      <c r="F2349" s="5">
        <v>7</v>
      </c>
      <c r="G2349" s="5" t="s">
        <v>9415</v>
      </c>
      <c r="H2349" s="5" t="s">
        <v>9416</v>
      </c>
      <c r="I2349" s="5" t="s">
        <v>9417</v>
      </c>
      <c r="J2349" s="5" t="s">
        <v>9418</v>
      </c>
      <c r="K2349" s="5" t="s">
        <v>9419</v>
      </c>
      <c r="L2349" s="5" t="s">
        <v>7</v>
      </c>
    </row>
    <row r="2350" spans="1:12" ht="15" customHeight="1" x14ac:dyDescent="0.25">
      <c r="A2350" s="9" t="s">
        <v>2590</v>
      </c>
      <c r="B2350">
        <f>_xlfn.XLOOKUP(C2350,Temas!C:C,Temas!B:B)</f>
        <v>0</v>
      </c>
      <c r="C2350" t="s">
        <v>9235</v>
      </c>
      <c r="D2350" s="22">
        <v>83</v>
      </c>
      <c r="E2350" s="9" t="s">
        <v>9428</v>
      </c>
      <c r="F2350" s="5">
        <v>8</v>
      </c>
      <c r="G2350" s="5" t="s">
        <v>9420</v>
      </c>
      <c r="H2350" s="5" t="s">
        <v>9421</v>
      </c>
      <c r="I2350" s="5" t="s">
        <v>9422</v>
      </c>
      <c r="J2350" s="5" t="s">
        <v>9184</v>
      </c>
      <c r="K2350" s="5" t="s">
        <v>9177</v>
      </c>
      <c r="L2350" s="5" t="s">
        <v>10</v>
      </c>
    </row>
    <row r="2351" spans="1:12" ht="15" customHeight="1" x14ac:dyDescent="0.25">
      <c r="A2351" s="9" t="s">
        <v>2590</v>
      </c>
      <c r="B2351">
        <f>_xlfn.XLOOKUP(C2351,Temas!C:C,Temas!B:B)</f>
        <v>0</v>
      </c>
      <c r="C2351" t="s">
        <v>9235</v>
      </c>
      <c r="D2351" s="22">
        <v>83</v>
      </c>
      <c r="E2351" s="9" t="s">
        <v>9428</v>
      </c>
      <c r="F2351" s="5">
        <v>9</v>
      </c>
      <c r="G2351" s="5" t="s">
        <v>9423</v>
      </c>
      <c r="H2351" s="5" t="s">
        <v>9424</v>
      </c>
      <c r="I2351" s="5" t="s">
        <v>9425</v>
      </c>
      <c r="J2351" s="5" t="s">
        <v>9426</v>
      </c>
      <c r="K2351" s="5" t="s">
        <v>4416</v>
      </c>
      <c r="L2351" s="5" t="s">
        <v>7</v>
      </c>
    </row>
    <row r="2352" spans="1:12" ht="15" customHeight="1" x14ac:dyDescent="0.25">
      <c r="A2352" s="9" t="s">
        <v>2590</v>
      </c>
      <c r="B2352">
        <f>_xlfn.XLOOKUP(C2352,Temas!C:C,Temas!B:B)</f>
        <v>0</v>
      </c>
      <c r="C2352" t="s">
        <v>9235</v>
      </c>
      <c r="D2352" s="22">
        <v>83</v>
      </c>
      <c r="E2352" s="9" t="s">
        <v>9428</v>
      </c>
      <c r="F2352" s="5">
        <v>10</v>
      </c>
      <c r="G2352" s="5" t="s">
        <v>9427</v>
      </c>
      <c r="H2352" s="5" t="s">
        <v>9424</v>
      </c>
      <c r="I2352" s="5" t="s">
        <v>9425</v>
      </c>
      <c r="J2352" s="5" t="s">
        <v>9426</v>
      </c>
      <c r="K2352" s="5" t="s">
        <v>2506</v>
      </c>
      <c r="L2352" s="5" t="s">
        <v>9</v>
      </c>
    </row>
    <row r="2353" spans="1:13" ht="15" customHeight="1" x14ac:dyDescent="0.25">
      <c r="A2353" t="str">
        <f>_xlfn.XLOOKUP(C2353,Temas!C:C,Temas!A:A)</f>
        <v>Específico</v>
      </c>
      <c r="B2353">
        <f>_xlfn.XLOOKUP(C2353,Temas!C:C,Temas!B:B)</f>
        <v>0</v>
      </c>
      <c r="C2353" t="s">
        <v>9235</v>
      </c>
      <c r="D2353" s="22">
        <v>84</v>
      </c>
      <c r="E2353" s="9" t="s">
        <v>9429</v>
      </c>
      <c r="F2353" s="5">
        <v>11</v>
      </c>
      <c r="G2353" s="5" t="s">
        <v>9430</v>
      </c>
      <c r="H2353" s="5" t="s">
        <v>9431</v>
      </c>
      <c r="I2353" s="5" t="s">
        <v>9432</v>
      </c>
      <c r="J2353" s="5" t="s">
        <v>9433</v>
      </c>
      <c r="K2353" s="5" t="s">
        <v>9434</v>
      </c>
      <c r="L2353" s="5" t="s">
        <v>8</v>
      </c>
      <c r="M2353" s="5"/>
    </row>
    <row r="2354" spans="1:13" ht="15" customHeight="1" x14ac:dyDescent="0.25">
      <c r="A2354" t="str">
        <f>_xlfn.XLOOKUP(C2354,Temas!C:C,Temas!A:A)</f>
        <v>Específico</v>
      </c>
      <c r="B2354">
        <f>_xlfn.XLOOKUP(C2354,Temas!C:C,Temas!B:B)</f>
        <v>0</v>
      </c>
      <c r="C2354" t="s">
        <v>9235</v>
      </c>
      <c r="D2354" s="22">
        <v>84</v>
      </c>
      <c r="E2354" s="9" t="s">
        <v>9429</v>
      </c>
      <c r="F2354" s="5">
        <v>12</v>
      </c>
      <c r="G2354" s="5" t="s">
        <v>9435</v>
      </c>
      <c r="H2354" s="5" t="s">
        <v>9436</v>
      </c>
      <c r="I2354" s="5" t="s">
        <v>9437</v>
      </c>
      <c r="J2354" s="5" t="s">
        <v>9438</v>
      </c>
      <c r="K2354" s="5" t="s">
        <v>9439</v>
      </c>
      <c r="L2354" s="5" t="s">
        <v>7</v>
      </c>
      <c r="M2354" s="5"/>
    </row>
    <row r="2355" spans="1:13" ht="15" customHeight="1" x14ac:dyDescent="0.25">
      <c r="A2355" t="str">
        <f>_xlfn.XLOOKUP(C2355,Temas!C:C,Temas!A:A)</f>
        <v>Específico</v>
      </c>
      <c r="B2355">
        <f>_xlfn.XLOOKUP(C2355,Temas!C:C,Temas!B:B)</f>
        <v>0</v>
      </c>
      <c r="C2355" t="s">
        <v>9235</v>
      </c>
      <c r="D2355" s="22">
        <v>84</v>
      </c>
      <c r="E2355" s="9" t="s">
        <v>9429</v>
      </c>
      <c r="F2355" s="5">
        <v>13</v>
      </c>
      <c r="G2355" s="5" t="s">
        <v>9440</v>
      </c>
      <c r="H2355" s="5" t="s">
        <v>9211</v>
      </c>
      <c r="I2355" s="5" t="s">
        <v>9441</v>
      </c>
      <c r="J2355" s="5" t="s">
        <v>9442</v>
      </c>
      <c r="K2355" s="5" t="s">
        <v>9443</v>
      </c>
      <c r="L2355" s="5" t="s">
        <v>9</v>
      </c>
      <c r="M2355" s="5"/>
    </row>
    <row r="2356" spans="1:13" ht="15" customHeight="1" x14ac:dyDescent="0.25">
      <c r="A2356" t="str">
        <f>_xlfn.XLOOKUP(C2356,Temas!C:C,Temas!A:A)</f>
        <v>Específico</v>
      </c>
      <c r="B2356">
        <f>_xlfn.XLOOKUP(C2356,Temas!C:C,Temas!B:B)</f>
        <v>0</v>
      </c>
      <c r="C2356" t="s">
        <v>9235</v>
      </c>
      <c r="D2356" s="22">
        <v>84</v>
      </c>
      <c r="E2356" s="9" t="s">
        <v>9429</v>
      </c>
      <c r="F2356" s="5">
        <v>15</v>
      </c>
      <c r="G2356" s="5" t="s">
        <v>9444</v>
      </c>
      <c r="H2356" s="5" t="s">
        <v>9445</v>
      </c>
      <c r="I2356" s="5" t="s">
        <v>9446</v>
      </c>
      <c r="J2356" s="5" t="s">
        <v>9447</v>
      </c>
      <c r="K2356" s="5" t="s">
        <v>9448</v>
      </c>
      <c r="L2356" s="5" t="s">
        <v>9</v>
      </c>
      <c r="M2356" s="5"/>
    </row>
    <row r="2357" spans="1:13" ht="15" customHeight="1" x14ac:dyDescent="0.25">
      <c r="A2357" t="str">
        <f>_xlfn.XLOOKUP(C2357,Temas!C:C,Temas!A:A)</f>
        <v>Específico</v>
      </c>
      <c r="B2357">
        <f>_xlfn.XLOOKUP(C2357,Temas!C:C,Temas!B:B)</f>
        <v>0</v>
      </c>
      <c r="C2357" t="s">
        <v>9235</v>
      </c>
      <c r="D2357" s="22">
        <v>84</v>
      </c>
      <c r="E2357" s="9" t="s">
        <v>9429</v>
      </c>
      <c r="F2357" s="5">
        <v>16</v>
      </c>
      <c r="G2357" s="5" t="s">
        <v>9449</v>
      </c>
      <c r="H2357" s="5" t="s">
        <v>7640</v>
      </c>
      <c r="I2357" s="5" t="s">
        <v>7641</v>
      </c>
      <c r="J2357" s="5" t="s">
        <v>9450</v>
      </c>
      <c r="K2357" s="5" t="s">
        <v>9451</v>
      </c>
      <c r="L2357" s="5" t="s">
        <v>8</v>
      </c>
      <c r="M2357" s="5"/>
    </row>
    <row r="2358" spans="1:13" ht="15" customHeight="1" x14ac:dyDescent="0.25">
      <c r="A2358" t="str">
        <f>_xlfn.XLOOKUP(C2358,Temas!C:C,Temas!A:A)</f>
        <v>Específico</v>
      </c>
      <c r="B2358">
        <f>_xlfn.XLOOKUP(C2358,Temas!C:C,Temas!B:B)</f>
        <v>0</v>
      </c>
      <c r="C2358" t="s">
        <v>9235</v>
      </c>
      <c r="D2358" s="22">
        <v>84</v>
      </c>
      <c r="E2358" s="9" t="s">
        <v>9429</v>
      </c>
      <c r="F2358" s="5">
        <v>17</v>
      </c>
      <c r="G2358" s="5" t="s">
        <v>9452</v>
      </c>
      <c r="H2358" s="5" t="s">
        <v>9453</v>
      </c>
      <c r="I2358" s="5" t="s">
        <v>9454</v>
      </c>
      <c r="J2358" s="5" t="s">
        <v>9455</v>
      </c>
      <c r="K2358" s="5" t="s">
        <v>9456</v>
      </c>
      <c r="L2358" s="5" t="s">
        <v>9</v>
      </c>
      <c r="M2358" s="5"/>
    </row>
    <row r="2359" spans="1:13" ht="15" customHeight="1" x14ac:dyDescent="0.25">
      <c r="A2359" t="str">
        <f>_xlfn.XLOOKUP(C2359,Temas!C:C,Temas!A:A)</f>
        <v>Específico</v>
      </c>
      <c r="B2359">
        <f>_xlfn.XLOOKUP(C2359,Temas!C:C,Temas!B:B)</f>
        <v>0</v>
      </c>
      <c r="C2359" t="s">
        <v>9235</v>
      </c>
      <c r="D2359" s="22">
        <v>84</v>
      </c>
      <c r="E2359" s="9" t="s">
        <v>9429</v>
      </c>
      <c r="F2359" s="5">
        <v>18</v>
      </c>
      <c r="G2359" s="5" t="s">
        <v>9457</v>
      </c>
      <c r="H2359" s="5" t="s">
        <v>9458</v>
      </c>
      <c r="I2359" s="5" t="s">
        <v>9459</v>
      </c>
      <c r="J2359" s="5" t="s">
        <v>9460</v>
      </c>
      <c r="K2359" s="5" t="s">
        <v>9181</v>
      </c>
      <c r="L2359" s="5" t="s">
        <v>8</v>
      </c>
      <c r="M2359" s="5"/>
    </row>
    <row r="2360" spans="1:13" ht="15" customHeight="1" x14ac:dyDescent="0.25">
      <c r="A2360" t="str">
        <f>_xlfn.XLOOKUP(C2360,Temas!C:C,Temas!A:A)</f>
        <v>Específico</v>
      </c>
      <c r="B2360">
        <f>_xlfn.XLOOKUP(C2360,Temas!C:C,Temas!B:B)</f>
        <v>0</v>
      </c>
      <c r="C2360" t="s">
        <v>9235</v>
      </c>
      <c r="D2360" s="22">
        <v>84</v>
      </c>
      <c r="E2360" s="9" t="s">
        <v>9429</v>
      </c>
      <c r="F2360" s="5">
        <v>19</v>
      </c>
      <c r="G2360" s="5" t="s">
        <v>9461</v>
      </c>
      <c r="H2360" s="5" t="s">
        <v>9462</v>
      </c>
      <c r="I2360" s="5" t="s">
        <v>9184</v>
      </c>
      <c r="J2360" s="5" t="s">
        <v>9182</v>
      </c>
      <c r="K2360" s="5" t="s">
        <v>9181</v>
      </c>
      <c r="L2360" s="5" t="s">
        <v>10</v>
      </c>
      <c r="M2360" s="5"/>
    </row>
    <row r="2361" spans="1:13" ht="15" customHeight="1" x14ac:dyDescent="0.25">
      <c r="A2361" t="str">
        <f>_xlfn.XLOOKUP(C2361,Temas!C:C,Temas!A:A)</f>
        <v>Específico</v>
      </c>
      <c r="B2361">
        <f>_xlfn.XLOOKUP(C2361,Temas!C:C,Temas!B:B)</f>
        <v>0</v>
      </c>
      <c r="C2361" t="s">
        <v>9235</v>
      </c>
      <c r="D2361" s="22">
        <v>84</v>
      </c>
      <c r="E2361" s="9" t="s">
        <v>9429</v>
      </c>
      <c r="F2361" s="5">
        <v>20</v>
      </c>
      <c r="G2361" s="5" t="s">
        <v>9463</v>
      </c>
      <c r="H2361" s="5" t="s">
        <v>9464</v>
      </c>
      <c r="I2361" s="5" t="s">
        <v>9177</v>
      </c>
      <c r="J2361" s="5" t="s">
        <v>9184</v>
      </c>
      <c r="K2361" s="5" t="s">
        <v>9181</v>
      </c>
      <c r="L2361" s="5" t="s">
        <v>9</v>
      </c>
      <c r="M2361" s="5"/>
    </row>
    <row r="2362" spans="1:13" ht="15" customHeight="1" x14ac:dyDescent="0.25">
      <c r="A2362" t="str">
        <f>_xlfn.XLOOKUP(C2362,Temas!C:C,Temas!A:A)</f>
        <v>Específico</v>
      </c>
      <c r="B2362">
        <f>_xlfn.XLOOKUP(C2362,Temas!C:C,Temas!B:B)</f>
        <v>0</v>
      </c>
      <c r="C2362" t="s">
        <v>9235</v>
      </c>
      <c r="D2362" s="22">
        <v>85</v>
      </c>
      <c r="E2362" s="9" t="s">
        <v>9470</v>
      </c>
      <c r="F2362" s="28">
        <v>1</v>
      </c>
      <c r="G2362" s="28" t="s">
        <v>9465</v>
      </c>
      <c r="H2362" s="28" t="s">
        <v>9466</v>
      </c>
      <c r="I2362" s="28" t="s">
        <v>9467</v>
      </c>
      <c r="J2362" s="28" t="s">
        <v>9468</v>
      </c>
      <c r="K2362" s="28" t="s">
        <v>9469</v>
      </c>
      <c r="L2362" s="5" t="s">
        <v>8</v>
      </c>
    </row>
    <row r="2363" spans="1:13" ht="15" customHeight="1" x14ac:dyDescent="0.25">
      <c r="A2363" t="str">
        <f>_xlfn.XLOOKUP(C2363,Temas!C:C,Temas!A:A)</f>
        <v>Específico</v>
      </c>
      <c r="B2363">
        <f>_xlfn.XLOOKUP(C2363,Temas!C:C,Temas!B:B)</f>
        <v>0</v>
      </c>
      <c r="C2363" t="s">
        <v>9235</v>
      </c>
      <c r="D2363" s="22">
        <v>85</v>
      </c>
      <c r="E2363" s="9" t="s">
        <v>9470</v>
      </c>
      <c r="F2363" s="5">
        <v>7</v>
      </c>
      <c r="G2363" s="5" t="s">
        <v>9471</v>
      </c>
      <c r="H2363" s="5" t="s">
        <v>9472</v>
      </c>
      <c r="I2363" s="5" t="s">
        <v>9473</v>
      </c>
      <c r="J2363" s="5" t="s">
        <v>9474</v>
      </c>
      <c r="K2363" s="5" t="s">
        <v>9475</v>
      </c>
      <c r="L2363" s="5" t="s">
        <v>10</v>
      </c>
    </row>
    <row r="2364" spans="1:13" ht="15" customHeight="1" x14ac:dyDescent="0.25">
      <c r="A2364" t="str">
        <f>_xlfn.XLOOKUP(C2364,Temas!C:C,Temas!A:A)</f>
        <v>Específico</v>
      </c>
      <c r="B2364">
        <f>_xlfn.XLOOKUP(C2364,Temas!C:C,Temas!B:B)</f>
        <v>0</v>
      </c>
      <c r="C2364" t="s">
        <v>9235</v>
      </c>
      <c r="D2364" s="22">
        <v>85</v>
      </c>
      <c r="E2364" s="9" t="s">
        <v>9470</v>
      </c>
      <c r="F2364" s="5">
        <v>8</v>
      </c>
      <c r="G2364" s="5" t="s">
        <v>9476</v>
      </c>
      <c r="H2364" s="5" t="s">
        <v>9477</v>
      </c>
      <c r="I2364" s="5" t="s">
        <v>9478</v>
      </c>
      <c r="J2364" s="5" t="s">
        <v>9479</v>
      </c>
      <c r="K2364" s="5" t="s">
        <v>9480</v>
      </c>
      <c r="L2364" s="5" t="s">
        <v>8</v>
      </c>
    </row>
    <row r="2365" spans="1:13" ht="15" customHeight="1" x14ac:dyDescent="0.25">
      <c r="A2365" t="str">
        <f>_xlfn.XLOOKUP(C2365,Temas!C:C,Temas!A:A)</f>
        <v>Específico</v>
      </c>
      <c r="B2365">
        <f>_xlfn.XLOOKUP(C2365,Temas!C:C,Temas!B:B)</f>
        <v>0</v>
      </c>
      <c r="C2365" t="s">
        <v>9235</v>
      </c>
      <c r="D2365" s="22">
        <v>85</v>
      </c>
      <c r="E2365" s="9" t="s">
        <v>9470</v>
      </c>
      <c r="F2365" s="5">
        <v>9</v>
      </c>
      <c r="G2365" s="5" t="s">
        <v>9481</v>
      </c>
      <c r="H2365" s="5" t="s">
        <v>9482</v>
      </c>
      <c r="I2365" s="5" t="s">
        <v>9483</v>
      </c>
      <c r="J2365" s="5" t="s">
        <v>9484</v>
      </c>
      <c r="K2365" s="5" t="s">
        <v>9485</v>
      </c>
      <c r="L2365" s="5" t="s">
        <v>9</v>
      </c>
    </row>
    <row r="2366" spans="1:13" ht="15" customHeight="1" x14ac:dyDescent="0.25">
      <c r="A2366" t="str">
        <f>_xlfn.XLOOKUP(C2366,Temas!C:C,Temas!A:A)</f>
        <v>Específico</v>
      </c>
      <c r="B2366">
        <f>_xlfn.XLOOKUP(C2366,Temas!C:C,Temas!B:B)</f>
        <v>0</v>
      </c>
      <c r="C2366" t="s">
        <v>9235</v>
      </c>
      <c r="D2366" s="22">
        <v>85</v>
      </c>
      <c r="E2366" s="9" t="s">
        <v>9470</v>
      </c>
      <c r="F2366" s="5">
        <v>10</v>
      </c>
      <c r="G2366" s="5" t="s">
        <v>9486</v>
      </c>
      <c r="H2366" s="5" t="s">
        <v>9487</v>
      </c>
      <c r="I2366" s="5" t="s">
        <v>9488</v>
      </c>
      <c r="J2366" s="5" t="s">
        <v>9489</v>
      </c>
      <c r="K2366" s="5" t="s">
        <v>9490</v>
      </c>
      <c r="L2366" s="5" t="s">
        <v>9</v>
      </c>
    </row>
    <row r="2367" spans="1:13" ht="15" customHeight="1" x14ac:dyDescent="0.25">
      <c r="A2367" t="str">
        <f>_xlfn.XLOOKUP(C2367,Temas!C:C,Temas!A:A)</f>
        <v>Específico</v>
      </c>
      <c r="B2367">
        <f>_xlfn.XLOOKUP(C2367,Temas!C:C,Temas!B:B)</f>
        <v>0</v>
      </c>
      <c r="C2367" t="s">
        <v>9235</v>
      </c>
      <c r="D2367" s="22">
        <v>85</v>
      </c>
      <c r="E2367" s="9" t="s">
        <v>9470</v>
      </c>
      <c r="F2367" s="5">
        <v>13</v>
      </c>
      <c r="G2367" s="5" t="s">
        <v>9491</v>
      </c>
      <c r="H2367" s="5" t="s">
        <v>9492</v>
      </c>
      <c r="I2367" s="5" t="s">
        <v>9493</v>
      </c>
      <c r="J2367" s="5" t="s">
        <v>9494</v>
      </c>
      <c r="K2367" s="5" t="s">
        <v>9495</v>
      </c>
      <c r="L2367" s="5" t="s">
        <v>9</v>
      </c>
    </row>
    <row r="2368" spans="1:13" ht="15" customHeight="1" x14ac:dyDescent="0.25">
      <c r="A2368" t="str">
        <f>_xlfn.XLOOKUP(C2368,Temas!C:C,Temas!A:A)</f>
        <v>Específico</v>
      </c>
      <c r="B2368">
        <f>_xlfn.XLOOKUP(C2368,Temas!C:C,Temas!B:B)</f>
        <v>0</v>
      </c>
      <c r="C2368" t="s">
        <v>9235</v>
      </c>
      <c r="D2368" s="22">
        <v>85</v>
      </c>
      <c r="E2368" s="9" t="s">
        <v>9470</v>
      </c>
      <c r="F2368" s="5">
        <v>15</v>
      </c>
      <c r="G2368" s="5" t="s">
        <v>9496</v>
      </c>
      <c r="H2368" s="5" t="s">
        <v>9497</v>
      </c>
      <c r="I2368" s="5" t="s">
        <v>2685</v>
      </c>
      <c r="J2368" s="5" t="s">
        <v>2686</v>
      </c>
      <c r="K2368" s="5" t="s">
        <v>9498</v>
      </c>
      <c r="L2368" s="5" t="s">
        <v>8</v>
      </c>
    </row>
    <row r="2369" spans="1:12" ht="15" customHeight="1" x14ac:dyDescent="0.25">
      <c r="A2369" t="str">
        <f>_xlfn.XLOOKUP(C2369,Temas!C:C,Temas!A:A)</f>
        <v>Específico</v>
      </c>
      <c r="B2369">
        <f>_xlfn.XLOOKUP(C2369,Temas!C:C,Temas!B:B)</f>
        <v>0</v>
      </c>
      <c r="C2369" t="s">
        <v>9235</v>
      </c>
      <c r="D2369" s="22">
        <v>85</v>
      </c>
      <c r="E2369" s="9" t="s">
        <v>9470</v>
      </c>
      <c r="F2369" s="5">
        <v>17</v>
      </c>
      <c r="G2369" s="5" t="s">
        <v>9499</v>
      </c>
      <c r="H2369" s="5" t="s">
        <v>9500</v>
      </c>
      <c r="I2369" s="5" t="s">
        <v>9501</v>
      </c>
      <c r="J2369" s="5" t="s">
        <v>9502</v>
      </c>
      <c r="K2369" s="5" t="s">
        <v>9503</v>
      </c>
      <c r="L2369" s="5" t="s">
        <v>9</v>
      </c>
    </row>
    <row r="2370" spans="1:12" ht="15" customHeight="1" x14ac:dyDescent="0.25">
      <c r="A2370" t="str">
        <f>_xlfn.XLOOKUP(C2370,Temas!C:C,Temas!A:A)</f>
        <v>Específico</v>
      </c>
      <c r="B2370">
        <f>_xlfn.XLOOKUP(C2370,Temas!C:C,Temas!B:B)</f>
        <v>0</v>
      </c>
      <c r="C2370" t="s">
        <v>9235</v>
      </c>
      <c r="D2370" s="22">
        <v>85</v>
      </c>
      <c r="E2370" s="9" t="s">
        <v>9470</v>
      </c>
      <c r="F2370" s="5">
        <v>18</v>
      </c>
      <c r="G2370" s="5" t="s">
        <v>9504</v>
      </c>
      <c r="H2370" s="5" t="s">
        <v>9505</v>
      </c>
      <c r="I2370" s="5" t="s">
        <v>9506</v>
      </c>
      <c r="J2370" s="5" t="s">
        <v>9507</v>
      </c>
      <c r="K2370" s="5" t="s">
        <v>9508</v>
      </c>
      <c r="L2370" s="5" t="s">
        <v>9</v>
      </c>
    </row>
    <row r="2371" spans="1:12" ht="15" customHeight="1" x14ac:dyDescent="0.25">
      <c r="A2371" t="str">
        <f>_xlfn.XLOOKUP(C2371,Temas!C:C,Temas!A:A)</f>
        <v>Específico</v>
      </c>
      <c r="B2371">
        <f>_xlfn.XLOOKUP(C2371,Temas!C:C,Temas!B:B)</f>
        <v>0</v>
      </c>
      <c r="C2371" t="s">
        <v>9235</v>
      </c>
      <c r="D2371" s="22">
        <v>85</v>
      </c>
      <c r="E2371" s="9" t="s">
        <v>9470</v>
      </c>
      <c r="F2371" s="5">
        <v>19</v>
      </c>
      <c r="G2371" s="5" t="s">
        <v>9509</v>
      </c>
      <c r="H2371" s="5" t="s">
        <v>9510</v>
      </c>
      <c r="I2371" s="5" t="s">
        <v>9507</v>
      </c>
      <c r="J2371" s="5" t="s">
        <v>9511</v>
      </c>
      <c r="K2371" s="5" t="s">
        <v>9512</v>
      </c>
      <c r="L2371" s="5" t="s">
        <v>10</v>
      </c>
    </row>
    <row r="2372" spans="1:12" ht="15" customHeight="1" x14ac:dyDescent="0.25">
      <c r="A2372" t="str">
        <f>_xlfn.XLOOKUP(C2372,Temas!C:C,Temas!A:A)</f>
        <v>Específico</v>
      </c>
      <c r="B2372">
        <f>_xlfn.XLOOKUP(C2372,Temas!C:C,Temas!B:B)</f>
        <v>0</v>
      </c>
      <c r="C2372" t="s">
        <v>9235</v>
      </c>
      <c r="D2372" s="22">
        <v>85</v>
      </c>
      <c r="E2372" s="9" t="s">
        <v>9470</v>
      </c>
      <c r="F2372" s="5">
        <v>21</v>
      </c>
      <c r="G2372" s="5" t="s">
        <v>9513</v>
      </c>
      <c r="H2372" s="5" t="s">
        <v>9514</v>
      </c>
      <c r="I2372" s="5" t="s">
        <v>9515</v>
      </c>
      <c r="J2372" s="5" t="s">
        <v>9516</v>
      </c>
      <c r="K2372" s="5" t="s">
        <v>9517</v>
      </c>
      <c r="L2372" s="5" t="s">
        <v>8</v>
      </c>
    </row>
    <row r="2373" spans="1:12" ht="15" customHeight="1" x14ac:dyDescent="0.25">
      <c r="A2373" t="str">
        <f>_xlfn.XLOOKUP(C2373,Temas!C:C,Temas!A:A)</f>
        <v>Específico</v>
      </c>
      <c r="B2373">
        <f>_xlfn.XLOOKUP(C2373,Temas!C:C,Temas!B:B)</f>
        <v>0</v>
      </c>
      <c r="C2373" t="s">
        <v>9235</v>
      </c>
      <c r="D2373" s="22">
        <v>85</v>
      </c>
      <c r="E2373" s="9" t="s">
        <v>9470</v>
      </c>
      <c r="F2373" s="5">
        <v>22</v>
      </c>
      <c r="G2373" s="5" t="s">
        <v>9518</v>
      </c>
      <c r="H2373" s="5" t="s">
        <v>9519</v>
      </c>
      <c r="I2373" s="5" t="s">
        <v>9520</v>
      </c>
      <c r="J2373" s="5" t="s">
        <v>9521</v>
      </c>
      <c r="K2373" s="5" t="s">
        <v>9522</v>
      </c>
      <c r="L2373" s="5" t="s">
        <v>10</v>
      </c>
    </row>
    <row r="2374" spans="1:12" ht="15" customHeight="1" x14ac:dyDescent="0.25">
      <c r="A2374" t="str">
        <f>_xlfn.XLOOKUP(C2374,Temas!C:C,Temas!A:A)</f>
        <v>Específico</v>
      </c>
      <c r="B2374">
        <f>_xlfn.XLOOKUP(C2374,Temas!C:C,Temas!B:B)</f>
        <v>0</v>
      </c>
      <c r="C2374" t="s">
        <v>9235</v>
      </c>
      <c r="D2374" s="22">
        <v>85</v>
      </c>
      <c r="E2374" s="9" t="s">
        <v>9470</v>
      </c>
      <c r="F2374" s="5">
        <v>23</v>
      </c>
      <c r="G2374" s="5" t="s">
        <v>9523</v>
      </c>
      <c r="H2374" s="5" t="s">
        <v>9524</v>
      </c>
      <c r="I2374" s="5" t="s">
        <v>9525</v>
      </c>
      <c r="J2374" s="5" t="s">
        <v>9526</v>
      </c>
      <c r="K2374" s="5" t="s">
        <v>9527</v>
      </c>
      <c r="L2374" s="5" t="s">
        <v>10</v>
      </c>
    </row>
    <row r="2375" spans="1:12" ht="15" customHeight="1" x14ac:dyDescent="0.25">
      <c r="A2375" t="str">
        <f>_xlfn.XLOOKUP(C2375,Temas!C:C,Temas!A:A)</f>
        <v>Específico</v>
      </c>
      <c r="B2375">
        <f>_xlfn.XLOOKUP(C2375,Temas!C:C,Temas!B:B)</f>
        <v>0</v>
      </c>
      <c r="C2375" t="s">
        <v>9235</v>
      </c>
      <c r="D2375" s="22">
        <v>85</v>
      </c>
      <c r="E2375" s="9" t="s">
        <v>9470</v>
      </c>
      <c r="F2375" s="5">
        <v>25</v>
      </c>
      <c r="G2375" s="5" t="s">
        <v>9528</v>
      </c>
      <c r="H2375" s="5" t="s">
        <v>9529</v>
      </c>
      <c r="I2375" s="5" t="s">
        <v>9530</v>
      </c>
      <c r="J2375" s="5" t="s">
        <v>9531</v>
      </c>
      <c r="K2375" s="5" t="s">
        <v>9532</v>
      </c>
      <c r="L2375" s="5" t="s">
        <v>8</v>
      </c>
    </row>
    <row r="2376" spans="1:12" ht="15" customHeight="1" x14ac:dyDescent="0.25">
      <c r="A2376" t="str">
        <f>_xlfn.XLOOKUP(C2376,Temas!C:C,Temas!A:A)</f>
        <v>Específico</v>
      </c>
      <c r="B2376">
        <f>_xlfn.XLOOKUP(C2376,Temas!C:C,Temas!B:B)</f>
        <v>0</v>
      </c>
      <c r="C2376" t="s">
        <v>9235</v>
      </c>
      <c r="D2376" s="22">
        <v>85</v>
      </c>
      <c r="E2376" s="9" t="s">
        <v>9470</v>
      </c>
      <c r="F2376" s="5">
        <v>26</v>
      </c>
      <c r="G2376" s="5" t="s">
        <v>9533</v>
      </c>
      <c r="H2376" s="5" t="s">
        <v>9534</v>
      </c>
      <c r="I2376" s="5" t="s">
        <v>9535</v>
      </c>
      <c r="J2376" s="5" t="s">
        <v>9536</v>
      </c>
      <c r="K2376" s="5" t="s">
        <v>9537</v>
      </c>
      <c r="L2376" s="5" t="s">
        <v>7</v>
      </c>
    </row>
    <row r="2377" spans="1:12" ht="15" customHeight="1" x14ac:dyDescent="0.25">
      <c r="A2377" t="str">
        <f>_xlfn.XLOOKUP(C2377,Temas!C:C,Temas!A:A)</f>
        <v>Específico</v>
      </c>
      <c r="B2377">
        <f>_xlfn.XLOOKUP(C2377,Temas!C:C,Temas!B:B)</f>
        <v>0</v>
      </c>
      <c r="C2377" t="s">
        <v>9235</v>
      </c>
      <c r="D2377" s="22">
        <v>85</v>
      </c>
      <c r="E2377" s="9" t="s">
        <v>9470</v>
      </c>
      <c r="F2377" s="5">
        <v>27</v>
      </c>
      <c r="G2377" s="5" t="s">
        <v>9538</v>
      </c>
      <c r="H2377" s="5" t="s">
        <v>9539</v>
      </c>
      <c r="I2377" s="5" t="s">
        <v>9540</v>
      </c>
      <c r="J2377" s="5" t="s">
        <v>9541</v>
      </c>
      <c r="K2377" s="5" t="s">
        <v>9542</v>
      </c>
      <c r="L2377" s="5" t="s">
        <v>10</v>
      </c>
    </row>
    <row r="2378" spans="1:12" ht="15" customHeight="1" x14ac:dyDescent="0.25">
      <c r="A2378" t="str">
        <f>_xlfn.XLOOKUP(C2378,Temas!C:C,Temas!A:A)</f>
        <v>Específico</v>
      </c>
      <c r="B2378">
        <f>_xlfn.XLOOKUP(C2378,Temas!C:C,Temas!B:B)</f>
        <v>0</v>
      </c>
      <c r="C2378" t="s">
        <v>9235</v>
      </c>
      <c r="D2378" s="22">
        <v>85</v>
      </c>
      <c r="E2378" s="9" t="s">
        <v>9470</v>
      </c>
      <c r="F2378" s="5">
        <v>28</v>
      </c>
      <c r="G2378" s="5" t="s">
        <v>9543</v>
      </c>
      <c r="H2378" s="5" t="s">
        <v>9544</v>
      </c>
      <c r="I2378" s="5" t="s">
        <v>9545</v>
      </c>
      <c r="J2378" s="5" t="s">
        <v>9546</v>
      </c>
      <c r="K2378" s="5" t="s">
        <v>9547</v>
      </c>
      <c r="L2378" s="5" t="s">
        <v>9</v>
      </c>
    </row>
    <row r="2379" spans="1:12" ht="15" customHeight="1" x14ac:dyDescent="0.25">
      <c r="A2379" t="str">
        <f>_xlfn.XLOOKUP(C2379,Temas!C:C,Temas!A:A)</f>
        <v>Específico</v>
      </c>
      <c r="B2379">
        <f>_xlfn.XLOOKUP(C2379,Temas!C:C,Temas!B:B)</f>
        <v>0</v>
      </c>
      <c r="C2379" t="s">
        <v>9235</v>
      </c>
      <c r="D2379" s="22">
        <v>85</v>
      </c>
      <c r="E2379" s="9" t="s">
        <v>9470</v>
      </c>
      <c r="F2379" s="5">
        <v>29</v>
      </c>
      <c r="G2379" s="5" t="s">
        <v>9548</v>
      </c>
      <c r="H2379" s="5" t="s">
        <v>9549</v>
      </c>
      <c r="I2379" s="5" t="s">
        <v>9550</v>
      </c>
      <c r="J2379" s="5" t="s">
        <v>9551</v>
      </c>
      <c r="K2379" s="5" t="s">
        <v>9552</v>
      </c>
      <c r="L2379" s="5" t="s">
        <v>9</v>
      </c>
    </row>
    <row r="2380" spans="1:12" ht="15" customHeight="1" x14ac:dyDescent="0.25">
      <c r="A2380" t="str">
        <f>_xlfn.XLOOKUP(C2380,Temas!C:C,Temas!A:A)</f>
        <v>Específico</v>
      </c>
      <c r="B2380">
        <f>_xlfn.XLOOKUP(C2380,Temas!C:C,Temas!B:B)</f>
        <v>0</v>
      </c>
      <c r="C2380" t="s">
        <v>9235</v>
      </c>
      <c r="D2380" s="22">
        <v>85</v>
      </c>
      <c r="E2380" s="9" t="s">
        <v>9470</v>
      </c>
      <c r="F2380" s="5">
        <v>30</v>
      </c>
      <c r="G2380" s="5" t="s">
        <v>9553</v>
      </c>
      <c r="H2380" s="5" t="s">
        <v>9554</v>
      </c>
      <c r="I2380" s="5" t="s">
        <v>9555</v>
      </c>
      <c r="J2380" s="5" t="s">
        <v>9556</v>
      </c>
      <c r="K2380" s="5" t="s">
        <v>9557</v>
      </c>
      <c r="L2380" s="5" t="s">
        <v>7</v>
      </c>
    </row>
    <row r="2381" spans="1:12" ht="15" customHeight="1" x14ac:dyDescent="0.25">
      <c r="A2381" t="str">
        <f>_xlfn.XLOOKUP(C2381,Temas!C:C,Temas!A:A)</f>
        <v>Jurídico</v>
      </c>
      <c r="B2381">
        <f>_xlfn.XLOOKUP(C2381,Temas!C:C,Temas!B:B)</f>
        <v>1</v>
      </c>
      <c r="C2381" s="33" t="s">
        <v>13</v>
      </c>
      <c r="D2381" s="22">
        <v>86</v>
      </c>
      <c r="E2381" s="9" t="s">
        <v>9670</v>
      </c>
      <c r="F2381" s="28">
        <v>1</v>
      </c>
      <c r="G2381" s="28" t="s">
        <v>9558</v>
      </c>
      <c r="H2381" s="28" t="s">
        <v>2419</v>
      </c>
      <c r="I2381" s="28" t="s">
        <v>2420</v>
      </c>
      <c r="J2381" s="28" t="s">
        <v>2421</v>
      </c>
      <c r="K2381" s="28"/>
      <c r="L2381" s="28" t="s">
        <v>7</v>
      </c>
    </row>
    <row r="2382" spans="1:12" ht="15" customHeight="1" x14ac:dyDescent="0.25">
      <c r="A2382" t="str">
        <f>_xlfn.XLOOKUP(C2382,Temas!C:C,Temas!A:A)</f>
        <v>Jurídico</v>
      </c>
      <c r="B2382">
        <f>_xlfn.XLOOKUP(C2382,Temas!C:C,Temas!B:B)</f>
        <v>1</v>
      </c>
      <c r="C2382" s="33" t="s">
        <v>13</v>
      </c>
      <c r="D2382" s="22">
        <v>86</v>
      </c>
      <c r="E2382" s="9" t="s">
        <v>9670</v>
      </c>
      <c r="F2382" s="28">
        <v>2</v>
      </c>
      <c r="G2382" s="28" t="s">
        <v>2422</v>
      </c>
      <c r="H2382" s="28" t="s">
        <v>2423</v>
      </c>
      <c r="I2382" s="28" t="s">
        <v>2424</v>
      </c>
      <c r="J2382" s="28" t="s">
        <v>2132</v>
      </c>
      <c r="K2382" s="28"/>
      <c r="L2382" s="28" t="s">
        <v>9</v>
      </c>
    </row>
    <row r="2383" spans="1:12" ht="15" customHeight="1" x14ac:dyDescent="0.25">
      <c r="A2383" t="str">
        <f>_xlfn.XLOOKUP(C2383,Temas!C:C,Temas!A:A)</f>
        <v>Jurídico</v>
      </c>
      <c r="B2383">
        <f>_xlfn.XLOOKUP(C2383,Temas!C:C,Temas!B:B)</f>
        <v>1</v>
      </c>
      <c r="C2383" s="33" t="s">
        <v>13</v>
      </c>
      <c r="D2383" s="22">
        <v>86</v>
      </c>
      <c r="E2383" s="9" t="s">
        <v>9670</v>
      </c>
      <c r="F2383" s="28">
        <v>3</v>
      </c>
      <c r="G2383" s="28" t="s">
        <v>2425</v>
      </c>
      <c r="H2383" s="28" t="s">
        <v>2426</v>
      </c>
      <c r="I2383" s="28" t="s">
        <v>2427</v>
      </c>
      <c r="J2383" s="28" t="s">
        <v>2428</v>
      </c>
      <c r="K2383" s="28"/>
      <c r="L2383" s="28" t="s">
        <v>7</v>
      </c>
    </row>
    <row r="2384" spans="1:12" ht="15" customHeight="1" x14ac:dyDescent="0.25">
      <c r="A2384" t="str">
        <f>_xlfn.XLOOKUP(C2384,Temas!C:C,Temas!A:A)</f>
        <v>Jurídico</v>
      </c>
      <c r="B2384">
        <f>_xlfn.XLOOKUP(C2384,Temas!C:C,Temas!B:B)</f>
        <v>5</v>
      </c>
      <c r="C2384" s="1" t="s">
        <v>1111</v>
      </c>
      <c r="D2384" s="22">
        <v>86</v>
      </c>
      <c r="E2384" s="9" t="s">
        <v>9670</v>
      </c>
      <c r="F2384" s="28">
        <v>4</v>
      </c>
      <c r="G2384" s="28" t="s">
        <v>2429</v>
      </c>
      <c r="H2384" s="28" t="s">
        <v>2320</v>
      </c>
      <c r="I2384" s="28" t="s">
        <v>2430</v>
      </c>
      <c r="J2384" s="28" t="s">
        <v>2431</v>
      </c>
      <c r="K2384" s="28"/>
      <c r="L2384" s="28" t="s">
        <v>9</v>
      </c>
    </row>
    <row r="2385" spans="1:12" ht="15" customHeight="1" x14ac:dyDescent="0.25">
      <c r="A2385" t="str">
        <f>_xlfn.XLOOKUP(C2385,Temas!C:C,Temas!A:A)</f>
        <v>Jurídico</v>
      </c>
      <c r="B2385">
        <f>_xlfn.XLOOKUP(C2385,Temas!C:C,Temas!B:B)</f>
        <v>5</v>
      </c>
      <c r="C2385" s="1" t="s">
        <v>1111</v>
      </c>
      <c r="D2385" s="22">
        <v>86</v>
      </c>
      <c r="E2385" s="9" t="s">
        <v>9670</v>
      </c>
      <c r="F2385" s="28">
        <v>5</v>
      </c>
      <c r="G2385" s="28" t="s">
        <v>2432</v>
      </c>
      <c r="H2385" s="28" t="s">
        <v>2433</v>
      </c>
      <c r="I2385" s="28" t="s">
        <v>2027</v>
      </c>
      <c r="J2385" s="28" t="s">
        <v>2132</v>
      </c>
      <c r="K2385" s="28"/>
      <c r="L2385" s="28" t="s">
        <v>9</v>
      </c>
    </row>
    <row r="2386" spans="1:12" ht="15" customHeight="1" x14ac:dyDescent="0.25">
      <c r="A2386" t="str">
        <f>_xlfn.XLOOKUP(C2386,Temas!C:C,Temas!A:A)</f>
        <v>Jurídico</v>
      </c>
      <c r="B2386">
        <f>_xlfn.XLOOKUP(C2386,Temas!C:C,Temas!B:B)</f>
        <v>2</v>
      </c>
      <c r="C2386" s="1" t="s">
        <v>398</v>
      </c>
      <c r="D2386" s="22">
        <v>86</v>
      </c>
      <c r="E2386" s="9" t="s">
        <v>9670</v>
      </c>
      <c r="F2386" s="5">
        <v>6</v>
      </c>
      <c r="G2386" s="5" t="s">
        <v>2434</v>
      </c>
      <c r="H2386" s="5" t="s">
        <v>2435</v>
      </c>
      <c r="I2386" s="5" t="s">
        <v>2436</v>
      </c>
      <c r="J2386" s="5" t="s">
        <v>215</v>
      </c>
      <c r="K2386" s="5"/>
      <c r="L2386" s="28" t="s">
        <v>8</v>
      </c>
    </row>
    <row r="2387" spans="1:12" ht="15" customHeight="1" x14ac:dyDescent="0.25">
      <c r="A2387" t="str">
        <f>_xlfn.XLOOKUP(C2387,Temas!C:C,Temas!A:A)</f>
        <v>Jurídico</v>
      </c>
      <c r="B2387">
        <f>_xlfn.XLOOKUP(C2387,Temas!C:C,Temas!B:B)</f>
        <v>2</v>
      </c>
      <c r="C2387" s="1" t="s">
        <v>398</v>
      </c>
      <c r="D2387" s="22">
        <v>86</v>
      </c>
      <c r="E2387" s="9" t="s">
        <v>9670</v>
      </c>
      <c r="F2387" s="5">
        <v>7</v>
      </c>
      <c r="G2387" s="5" t="s">
        <v>6711</v>
      </c>
      <c r="H2387" s="5" t="s">
        <v>2438</v>
      </c>
      <c r="I2387" s="5" t="s">
        <v>2439</v>
      </c>
      <c r="J2387" s="5" t="s">
        <v>2440</v>
      </c>
      <c r="K2387" s="5"/>
      <c r="L2387" s="28" t="s">
        <v>8</v>
      </c>
    </row>
    <row r="2388" spans="1:12" ht="15" customHeight="1" x14ac:dyDescent="0.25">
      <c r="A2388" t="str">
        <f>_xlfn.XLOOKUP(C2388,Temas!C:C,Temas!A:A)</f>
        <v>Jurídico</v>
      </c>
      <c r="B2388">
        <f>_xlfn.XLOOKUP(C2388,Temas!C:C,Temas!B:B)</f>
        <v>2</v>
      </c>
      <c r="C2388" s="1" t="s">
        <v>398</v>
      </c>
      <c r="D2388" s="22">
        <v>86</v>
      </c>
      <c r="E2388" s="9" t="s">
        <v>9670</v>
      </c>
      <c r="F2388" s="5">
        <v>8</v>
      </c>
      <c r="G2388" s="5" t="s">
        <v>9559</v>
      </c>
      <c r="H2388" s="5" t="s">
        <v>407</v>
      </c>
      <c r="I2388" s="5" t="s">
        <v>405</v>
      </c>
      <c r="J2388" s="5" t="s">
        <v>406</v>
      </c>
      <c r="K2388" s="5"/>
      <c r="L2388" s="28" t="s">
        <v>9</v>
      </c>
    </row>
    <row r="2389" spans="1:12" ht="15" customHeight="1" x14ac:dyDescent="0.25">
      <c r="A2389" t="str">
        <f>_xlfn.XLOOKUP(C2389,Temas!C:C,Temas!A:A)</f>
        <v>Jurídico</v>
      </c>
      <c r="B2389">
        <f>_xlfn.XLOOKUP(C2389,Temas!C:C,Temas!B:B)</f>
        <v>5</v>
      </c>
      <c r="C2389" s="1" t="s">
        <v>1111</v>
      </c>
      <c r="D2389" s="22">
        <v>86</v>
      </c>
      <c r="E2389" s="9" t="s">
        <v>9670</v>
      </c>
      <c r="F2389" s="5">
        <v>9</v>
      </c>
      <c r="G2389" s="5" t="s">
        <v>2442</v>
      </c>
      <c r="H2389" s="5" t="s">
        <v>2443</v>
      </c>
      <c r="I2389" s="5" t="s">
        <v>2444</v>
      </c>
      <c r="J2389" s="5" t="s">
        <v>2445</v>
      </c>
      <c r="K2389" s="5"/>
      <c r="L2389" s="28" t="s">
        <v>8</v>
      </c>
    </row>
    <row r="2390" spans="1:12" ht="15" customHeight="1" x14ac:dyDescent="0.25">
      <c r="A2390" t="str">
        <f>_xlfn.XLOOKUP(C2390,Temas!C:C,Temas!A:A)</f>
        <v>Jurídico</v>
      </c>
      <c r="B2390">
        <f>_xlfn.XLOOKUP(C2390,Temas!C:C,Temas!B:B)</f>
        <v>5</v>
      </c>
      <c r="C2390" s="1" t="s">
        <v>1111</v>
      </c>
      <c r="D2390" s="22">
        <v>86</v>
      </c>
      <c r="E2390" s="9" t="s">
        <v>9670</v>
      </c>
      <c r="F2390" s="5">
        <v>10</v>
      </c>
      <c r="G2390" s="5" t="s">
        <v>2446</v>
      </c>
      <c r="H2390" s="5" t="s">
        <v>2447</v>
      </c>
      <c r="I2390" s="5" t="s">
        <v>2448</v>
      </c>
      <c r="J2390" s="5" t="s">
        <v>2449</v>
      </c>
      <c r="K2390" s="5"/>
      <c r="L2390" s="28" t="s">
        <v>7</v>
      </c>
    </row>
    <row r="2391" spans="1:12" ht="15" customHeight="1" x14ac:dyDescent="0.25">
      <c r="A2391" t="str">
        <f>_xlfn.XLOOKUP(C2391,Temas!C:C,Temas!A:A)</f>
        <v>Específico</v>
      </c>
      <c r="B2391">
        <f>_xlfn.XLOOKUP(C2391,Temas!C:C,Temas!B:B)</f>
        <v>11</v>
      </c>
      <c r="C2391" s="9" t="s">
        <v>3187</v>
      </c>
      <c r="D2391" s="22">
        <v>86</v>
      </c>
      <c r="E2391" s="9" t="s">
        <v>9670</v>
      </c>
      <c r="F2391" s="5">
        <v>11</v>
      </c>
      <c r="G2391" s="5" t="s">
        <v>9560</v>
      </c>
      <c r="H2391" s="5" t="s">
        <v>9561</v>
      </c>
      <c r="I2391" s="5" t="s">
        <v>9562</v>
      </c>
      <c r="J2391" s="5" t="s">
        <v>9563</v>
      </c>
      <c r="K2391" s="5"/>
      <c r="L2391" s="28" t="s">
        <v>7</v>
      </c>
    </row>
    <row r="2392" spans="1:12" ht="15" customHeight="1" x14ac:dyDescent="0.25">
      <c r="A2392" t="str">
        <f>_xlfn.XLOOKUP(C2392,Temas!C:C,Temas!A:A)</f>
        <v>Específico</v>
      </c>
      <c r="B2392">
        <f>_xlfn.XLOOKUP(C2392,Temas!C:C,Temas!B:B)</f>
        <v>11</v>
      </c>
      <c r="C2392" s="9" t="s">
        <v>3187</v>
      </c>
      <c r="D2392" s="22">
        <v>86</v>
      </c>
      <c r="E2392" s="9" t="s">
        <v>9670</v>
      </c>
      <c r="F2392" s="5">
        <v>12</v>
      </c>
      <c r="G2392" s="5" t="s">
        <v>9564</v>
      </c>
      <c r="H2392" s="5" t="s">
        <v>9565</v>
      </c>
      <c r="I2392" s="5" t="s">
        <v>9566</v>
      </c>
      <c r="J2392" s="5" t="s">
        <v>9567</v>
      </c>
      <c r="K2392" s="5"/>
      <c r="L2392" s="28" t="s">
        <v>9</v>
      </c>
    </row>
    <row r="2393" spans="1:12" ht="15" customHeight="1" x14ac:dyDescent="0.25">
      <c r="A2393" t="str">
        <f>_xlfn.XLOOKUP(C2393,Temas!C:C,Temas!A:A)</f>
        <v>Específico</v>
      </c>
      <c r="B2393">
        <f>_xlfn.XLOOKUP(C2393,Temas!C:C,Temas!B:B)</f>
        <v>11</v>
      </c>
      <c r="C2393" s="9" t="s">
        <v>3187</v>
      </c>
      <c r="D2393" s="22">
        <v>86</v>
      </c>
      <c r="E2393" s="9" t="s">
        <v>9670</v>
      </c>
      <c r="F2393" s="5">
        <v>13</v>
      </c>
      <c r="G2393" s="5" t="s">
        <v>9568</v>
      </c>
      <c r="H2393" s="5" t="s">
        <v>2320</v>
      </c>
      <c r="I2393" s="5" t="s">
        <v>299</v>
      </c>
      <c r="J2393" s="5" t="s">
        <v>6745</v>
      </c>
      <c r="K2393" s="5"/>
      <c r="L2393" s="28" t="s">
        <v>8</v>
      </c>
    </row>
    <row r="2394" spans="1:12" ht="15" customHeight="1" x14ac:dyDescent="0.25">
      <c r="A2394" t="str">
        <f>_xlfn.XLOOKUP(C2394,Temas!C:C,Temas!A:A)</f>
        <v>Específico</v>
      </c>
      <c r="B2394">
        <f>_xlfn.XLOOKUP(C2394,Temas!C:C,Temas!B:B)</f>
        <v>11</v>
      </c>
      <c r="C2394" s="9" t="s">
        <v>3187</v>
      </c>
      <c r="D2394" s="22">
        <v>86</v>
      </c>
      <c r="E2394" s="9" t="s">
        <v>9670</v>
      </c>
      <c r="F2394" s="5">
        <v>15</v>
      </c>
      <c r="G2394" s="5" t="s">
        <v>9569</v>
      </c>
      <c r="H2394" s="5" t="s">
        <v>9570</v>
      </c>
      <c r="I2394" s="5" t="s">
        <v>9571</v>
      </c>
      <c r="J2394" s="5" t="s">
        <v>9572</v>
      </c>
      <c r="K2394" s="5"/>
      <c r="L2394" s="5" t="s">
        <v>7</v>
      </c>
    </row>
    <row r="2395" spans="1:12" ht="15" customHeight="1" x14ac:dyDescent="0.25">
      <c r="A2395" t="str">
        <f>_xlfn.XLOOKUP(C2395,Temas!C:C,Temas!A:A)</f>
        <v>Específico</v>
      </c>
      <c r="B2395">
        <f>_xlfn.XLOOKUP(C2395,Temas!C:C,Temas!B:B)</f>
        <v>11</v>
      </c>
      <c r="C2395" s="9" t="s">
        <v>3187</v>
      </c>
      <c r="D2395" s="22">
        <v>86</v>
      </c>
      <c r="E2395" s="9" t="s">
        <v>9670</v>
      </c>
      <c r="F2395" s="5">
        <v>16</v>
      </c>
      <c r="G2395" s="5" t="s">
        <v>9573</v>
      </c>
      <c r="H2395" s="5" t="s">
        <v>9574</v>
      </c>
      <c r="I2395" s="5" t="s">
        <v>9575</v>
      </c>
      <c r="J2395" s="5" t="s">
        <v>9576</v>
      </c>
      <c r="K2395" s="5"/>
      <c r="L2395" s="5" t="s">
        <v>9</v>
      </c>
    </row>
    <row r="2396" spans="1:12" ht="15" customHeight="1" x14ac:dyDescent="0.25">
      <c r="A2396" t="str">
        <f>_xlfn.XLOOKUP(C2396,Temas!C:C,Temas!A:A)</f>
        <v>Específico</v>
      </c>
      <c r="B2396">
        <f>_xlfn.XLOOKUP(C2396,Temas!C:C,Temas!B:B)</f>
        <v>11</v>
      </c>
      <c r="C2396" s="9" t="s">
        <v>3187</v>
      </c>
      <c r="D2396" s="22">
        <v>86</v>
      </c>
      <c r="E2396" s="9" t="s">
        <v>9670</v>
      </c>
      <c r="F2396" s="5">
        <v>17</v>
      </c>
      <c r="G2396" s="5" t="s">
        <v>9577</v>
      </c>
      <c r="H2396" s="5" t="s">
        <v>9578</v>
      </c>
      <c r="I2396" s="5" t="s">
        <v>9579</v>
      </c>
      <c r="J2396" s="5" t="s">
        <v>9580</v>
      </c>
      <c r="K2396" s="5"/>
      <c r="L2396" s="5" t="s">
        <v>9</v>
      </c>
    </row>
    <row r="2397" spans="1:12" ht="15" customHeight="1" x14ac:dyDescent="0.25">
      <c r="A2397" t="str">
        <f>_xlfn.XLOOKUP(C2397,Temas!C:C,Temas!A:A)</f>
        <v>Específico</v>
      </c>
      <c r="B2397">
        <f>_xlfn.XLOOKUP(C2397,Temas!C:C,Temas!B:B)</f>
        <v>12</v>
      </c>
      <c r="C2397" s="9" t="s">
        <v>3352</v>
      </c>
      <c r="D2397" s="22">
        <v>86</v>
      </c>
      <c r="E2397" s="9" t="s">
        <v>9670</v>
      </c>
      <c r="F2397" s="5">
        <v>19</v>
      </c>
      <c r="G2397" s="5" t="s">
        <v>9581</v>
      </c>
      <c r="H2397" s="5" t="s">
        <v>9582</v>
      </c>
      <c r="I2397" s="5" t="s">
        <v>9583</v>
      </c>
      <c r="J2397" s="5" t="s">
        <v>9584</v>
      </c>
      <c r="K2397" s="5"/>
      <c r="L2397" s="5" t="s">
        <v>8</v>
      </c>
    </row>
    <row r="2398" spans="1:12" ht="15" customHeight="1" x14ac:dyDescent="0.25">
      <c r="A2398" t="str">
        <f>_xlfn.XLOOKUP(C2398,Temas!C:C,Temas!A:A)</f>
        <v>Específico</v>
      </c>
      <c r="B2398">
        <f>_xlfn.XLOOKUP(C2398,Temas!C:C,Temas!B:B)</f>
        <v>11</v>
      </c>
      <c r="C2398" s="9" t="s">
        <v>3187</v>
      </c>
      <c r="D2398" s="22">
        <v>86</v>
      </c>
      <c r="E2398" s="9" t="s">
        <v>9670</v>
      </c>
      <c r="F2398" s="5">
        <v>20</v>
      </c>
      <c r="G2398" s="5" t="s">
        <v>9585</v>
      </c>
      <c r="H2398" s="5" t="s">
        <v>9586</v>
      </c>
      <c r="I2398" s="5" t="s">
        <v>9587</v>
      </c>
      <c r="J2398" s="5" t="s">
        <v>9588</v>
      </c>
      <c r="K2398" s="5"/>
      <c r="L2398" s="5" t="s">
        <v>9</v>
      </c>
    </row>
    <row r="2399" spans="1:12" ht="15" customHeight="1" x14ac:dyDescent="0.25">
      <c r="A2399" t="str">
        <f>_xlfn.XLOOKUP(C2399,Temas!C:C,Temas!A:A)</f>
        <v>Específico</v>
      </c>
      <c r="B2399">
        <f>_xlfn.XLOOKUP(C2399,Temas!C:C,Temas!B:B)</f>
        <v>11</v>
      </c>
      <c r="C2399" s="9" t="s">
        <v>3187</v>
      </c>
      <c r="D2399" s="22">
        <v>86</v>
      </c>
      <c r="E2399" s="9" t="s">
        <v>9670</v>
      </c>
      <c r="F2399" s="5">
        <v>22</v>
      </c>
      <c r="G2399" s="5" t="s">
        <v>9589</v>
      </c>
      <c r="H2399" s="5" t="s">
        <v>9590</v>
      </c>
      <c r="I2399" s="5" t="s">
        <v>9591</v>
      </c>
      <c r="J2399" s="5" t="s">
        <v>9592</v>
      </c>
      <c r="K2399" s="5"/>
      <c r="L2399" s="5" t="s">
        <v>7</v>
      </c>
    </row>
    <row r="2400" spans="1:12" ht="15" customHeight="1" x14ac:dyDescent="0.25">
      <c r="A2400" t="str">
        <f>_xlfn.XLOOKUP(C2400,Temas!C:C,Temas!A:A)</f>
        <v>Específico</v>
      </c>
      <c r="B2400">
        <f>_xlfn.XLOOKUP(C2400,Temas!C:C,Temas!B:B)</f>
        <v>9</v>
      </c>
      <c r="C2400" s="9" t="s">
        <v>8378</v>
      </c>
      <c r="D2400" s="22">
        <v>86</v>
      </c>
      <c r="E2400" s="9" t="s">
        <v>9670</v>
      </c>
      <c r="F2400" s="5">
        <v>23</v>
      </c>
      <c r="G2400" s="5" t="s">
        <v>9593</v>
      </c>
      <c r="H2400" s="5" t="s">
        <v>8827</v>
      </c>
      <c r="I2400" s="5" t="s">
        <v>9594</v>
      </c>
      <c r="J2400" s="5" t="s">
        <v>9595</v>
      </c>
      <c r="K2400" s="5"/>
      <c r="L2400" s="5" t="s">
        <v>7</v>
      </c>
    </row>
    <row r="2401" spans="1:12" ht="15" customHeight="1" x14ac:dyDescent="0.25">
      <c r="A2401" t="str">
        <f>_xlfn.XLOOKUP(C2401,Temas!C:C,Temas!A:A)</f>
        <v>Específico</v>
      </c>
      <c r="B2401">
        <f>_xlfn.XLOOKUP(C2401,Temas!C:C,Temas!B:B)</f>
        <v>9</v>
      </c>
      <c r="C2401" s="9" t="s">
        <v>8378</v>
      </c>
      <c r="D2401" s="22">
        <v>86</v>
      </c>
      <c r="E2401" s="9" t="s">
        <v>9670</v>
      </c>
      <c r="F2401" s="5">
        <v>24</v>
      </c>
      <c r="G2401" s="5" t="s">
        <v>9596</v>
      </c>
      <c r="H2401" s="5" t="s">
        <v>9595</v>
      </c>
      <c r="I2401" s="5" t="s">
        <v>9597</v>
      </c>
      <c r="J2401" s="5" t="s">
        <v>9598</v>
      </c>
      <c r="K2401" s="5"/>
      <c r="L2401" s="5" t="s">
        <v>9</v>
      </c>
    </row>
    <row r="2402" spans="1:12" ht="15" customHeight="1" x14ac:dyDescent="0.25">
      <c r="A2402" t="str">
        <f>_xlfn.XLOOKUP(C2402,Temas!C:C,Temas!A:A)</f>
        <v>Específico</v>
      </c>
      <c r="B2402">
        <f>_xlfn.XLOOKUP(C2402,Temas!C:C,Temas!B:B)</f>
        <v>9</v>
      </c>
      <c r="C2402" s="9" t="s">
        <v>8378</v>
      </c>
      <c r="D2402" s="22">
        <v>86</v>
      </c>
      <c r="E2402" s="9" t="s">
        <v>9670</v>
      </c>
      <c r="F2402" s="5">
        <v>25</v>
      </c>
      <c r="G2402" s="5" t="s">
        <v>9599</v>
      </c>
      <c r="H2402" s="5" t="s">
        <v>9600</v>
      </c>
      <c r="I2402" s="5" t="s">
        <v>9601</v>
      </c>
      <c r="J2402" s="5" t="s">
        <v>9602</v>
      </c>
      <c r="K2402" s="5"/>
      <c r="L2402" s="5" t="s">
        <v>9</v>
      </c>
    </row>
    <row r="2403" spans="1:12" ht="15" customHeight="1" x14ac:dyDescent="0.25">
      <c r="A2403" t="str">
        <f>_xlfn.XLOOKUP(C2403,Temas!C:C,Temas!A:A)</f>
        <v>Específico</v>
      </c>
      <c r="B2403">
        <f>_xlfn.XLOOKUP(C2403,Temas!C:C,Temas!B:B)</f>
        <v>9</v>
      </c>
      <c r="C2403" s="9" t="s">
        <v>8378</v>
      </c>
      <c r="D2403" s="22">
        <v>86</v>
      </c>
      <c r="E2403" s="9" t="s">
        <v>9670</v>
      </c>
      <c r="F2403" s="5">
        <v>26</v>
      </c>
      <c r="G2403" s="5" t="s">
        <v>9603</v>
      </c>
      <c r="H2403" s="5" t="s">
        <v>9604</v>
      </c>
      <c r="I2403" s="5" t="s">
        <v>9605</v>
      </c>
      <c r="J2403" s="5" t="s">
        <v>9606</v>
      </c>
      <c r="K2403" s="5"/>
      <c r="L2403" s="5" t="s">
        <v>8</v>
      </c>
    </row>
    <row r="2404" spans="1:12" ht="15" customHeight="1" x14ac:dyDescent="0.25">
      <c r="A2404" t="str">
        <f>_xlfn.XLOOKUP(C2404,Temas!C:C,Temas!A:A)</f>
        <v>Específico</v>
      </c>
      <c r="B2404">
        <f>_xlfn.XLOOKUP(C2404,Temas!C:C,Temas!B:B)</f>
        <v>9</v>
      </c>
      <c r="C2404" s="9" t="s">
        <v>8378</v>
      </c>
      <c r="D2404" s="22">
        <v>86</v>
      </c>
      <c r="E2404" s="9" t="s">
        <v>9670</v>
      </c>
      <c r="F2404" s="5">
        <v>27</v>
      </c>
      <c r="G2404" s="5" t="s">
        <v>9607</v>
      </c>
      <c r="H2404" s="5" t="s">
        <v>9608</v>
      </c>
      <c r="I2404" s="5" t="s">
        <v>9609</v>
      </c>
      <c r="J2404" s="5" t="s">
        <v>9610</v>
      </c>
      <c r="K2404" s="5"/>
      <c r="L2404" s="5" t="s">
        <v>9</v>
      </c>
    </row>
    <row r="2405" spans="1:12" ht="15" customHeight="1" x14ac:dyDescent="0.25">
      <c r="A2405" t="str">
        <f>_xlfn.XLOOKUP(C2405,Temas!C:C,Temas!A:A)</f>
        <v>Específico</v>
      </c>
      <c r="B2405">
        <f>_xlfn.XLOOKUP(C2405,Temas!C:C,Temas!B:B)</f>
        <v>9</v>
      </c>
      <c r="C2405" s="9" t="s">
        <v>8378</v>
      </c>
      <c r="D2405" s="22">
        <v>86</v>
      </c>
      <c r="E2405" s="9" t="s">
        <v>9670</v>
      </c>
      <c r="F2405" s="5">
        <v>28</v>
      </c>
      <c r="G2405" s="5" t="s">
        <v>9611</v>
      </c>
      <c r="H2405" s="5" t="s">
        <v>9612</v>
      </c>
      <c r="I2405" s="5" t="s">
        <v>9613</v>
      </c>
      <c r="J2405" s="5" t="s">
        <v>9614</v>
      </c>
      <c r="K2405" s="5"/>
      <c r="L2405" s="5" t="s">
        <v>9</v>
      </c>
    </row>
    <row r="2406" spans="1:12" ht="15" customHeight="1" x14ac:dyDescent="0.25">
      <c r="A2406" t="str">
        <f>_xlfn.XLOOKUP(C2406,Temas!C:C,Temas!A:A)</f>
        <v>Específico</v>
      </c>
      <c r="B2406">
        <f>_xlfn.XLOOKUP(C2406,Temas!C:C,Temas!B:B)</f>
        <v>9</v>
      </c>
      <c r="C2406" s="9" t="s">
        <v>8378</v>
      </c>
      <c r="D2406" s="22">
        <v>86</v>
      </c>
      <c r="E2406" s="9" t="s">
        <v>9670</v>
      </c>
      <c r="F2406" s="5">
        <v>29</v>
      </c>
      <c r="G2406" s="5" t="s">
        <v>9615</v>
      </c>
      <c r="H2406" s="5" t="s">
        <v>9616</v>
      </c>
      <c r="I2406" s="5" t="s">
        <v>9617</v>
      </c>
      <c r="J2406" s="5" t="s">
        <v>9618</v>
      </c>
      <c r="K2406" s="5"/>
      <c r="L2406" s="5" t="s">
        <v>9</v>
      </c>
    </row>
    <row r="2407" spans="1:12" ht="15" customHeight="1" x14ac:dyDescent="0.25">
      <c r="A2407" t="str">
        <f>_xlfn.XLOOKUP(C2407,Temas!C:C,Temas!A:A)</f>
        <v>Específico</v>
      </c>
      <c r="B2407">
        <f>_xlfn.XLOOKUP(C2407,Temas!C:C,Temas!B:B)</f>
        <v>9</v>
      </c>
      <c r="C2407" s="9" t="s">
        <v>8378</v>
      </c>
      <c r="D2407" s="22">
        <v>86</v>
      </c>
      <c r="E2407" s="9" t="s">
        <v>9670</v>
      </c>
      <c r="F2407" s="5">
        <v>30</v>
      </c>
      <c r="G2407" s="5" t="s">
        <v>9619</v>
      </c>
      <c r="H2407" s="5" t="s">
        <v>9620</v>
      </c>
      <c r="I2407" s="5" t="s">
        <v>9621</v>
      </c>
      <c r="J2407" s="5" t="s">
        <v>9622</v>
      </c>
      <c r="K2407" s="5"/>
      <c r="L2407" s="5" t="s">
        <v>7</v>
      </c>
    </row>
    <row r="2408" spans="1:12" ht="15" customHeight="1" x14ac:dyDescent="0.25">
      <c r="A2408" t="str">
        <f>_xlfn.XLOOKUP(C2408,Temas!C:C,Temas!A:A)</f>
        <v>Específico</v>
      </c>
      <c r="B2408">
        <f>_xlfn.XLOOKUP(C2408,Temas!C:C,Temas!B:B)</f>
        <v>9</v>
      </c>
      <c r="C2408" s="9" t="s">
        <v>8378</v>
      </c>
      <c r="D2408" s="22">
        <v>86</v>
      </c>
      <c r="E2408" s="9" t="s">
        <v>9670</v>
      </c>
      <c r="F2408" s="5">
        <v>32</v>
      </c>
      <c r="G2408" s="5" t="s">
        <v>9623</v>
      </c>
      <c r="H2408" s="5" t="s">
        <v>9624</v>
      </c>
      <c r="I2408" s="5" t="s">
        <v>9625</v>
      </c>
      <c r="J2408" s="5" t="s">
        <v>9626</v>
      </c>
      <c r="K2408" s="5"/>
      <c r="L2408" s="5" t="s">
        <v>7</v>
      </c>
    </row>
    <row r="2409" spans="1:12" ht="15" customHeight="1" x14ac:dyDescent="0.25">
      <c r="A2409" t="str">
        <f>_xlfn.XLOOKUP(C2409,Temas!C:C,Temas!A:A)</f>
        <v>Específico</v>
      </c>
      <c r="B2409">
        <f>_xlfn.XLOOKUP(C2409,Temas!C:C,Temas!B:B)</f>
        <v>10</v>
      </c>
      <c r="C2409" s="9" t="s">
        <v>2591</v>
      </c>
      <c r="D2409" s="22">
        <v>86</v>
      </c>
      <c r="E2409" s="9" t="s">
        <v>9670</v>
      </c>
      <c r="F2409" s="5">
        <v>33</v>
      </c>
      <c r="G2409" s="5" t="s">
        <v>9627</v>
      </c>
      <c r="H2409" s="5" t="s">
        <v>9628</v>
      </c>
      <c r="I2409" s="5" t="s">
        <v>9629</v>
      </c>
      <c r="J2409" s="5" t="s">
        <v>739</v>
      </c>
      <c r="K2409" s="5"/>
      <c r="L2409" s="5" t="s">
        <v>8</v>
      </c>
    </row>
    <row r="2410" spans="1:12" ht="15" customHeight="1" x14ac:dyDescent="0.25">
      <c r="A2410" t="str">
        <f>_xlfn.XLOOKUP(C2410,Temas!C:C,Temas!A:A)</f>
        <v>Específico</v>
      </c>
      <c r="B2410">
        <f>_xlfn.XLOOKUP(C2410,Temas!C:C,Temas!B:B)</f>
        <v>10</v>
      </c>
      <c r="C2410" s="9" t="s">
        <v>2591</v>
      </c>
      <c r="D2410" s="22">
        <v>86</v>
      </c>
      <c r="E2410" s="9" t="s">
        <v>9670</v>
      </c>
      <c r="F2410" s="5">
        <v>34</v>
      </c>
      <c r="G2410" s="5" t="s">
        <v>9630</v>
      </c>
      <c r="H2410" s="5" t="s">
        <v>9631</v>
      </c>
      <c r="I2410" s="5" t="s">
        <v>9632</v>
      </c>
      <c r="J2410" s="5" t="s">
        <v>9633</v>
      </c>
      <c r="K2410" s="5"/>
      <c r="L2410" s="5" t="s">
        <v>9</v>
      </c>
    </row>
    <row r="2411" spans="1:12" ht="15" customHeight="1" x14ac:dyDescent="0.25">
      <c r="A2411" t="str">
        <f>_xlfn.XLOOKUP(C2411,Temas!C:C,Temas!A:A)</f>
        <v>Específico</v>
      </c>
      <c r="B2411">
        <f>_xlfn.XLOOKUP(C2411,Temas!C:C,Temas!B:B)</f>
        <v>10</v>
      </c>
      <c r="C2411" s="9" t="s">
        <v>2591</v>
      </c>
      <c r="D2411" s="22">
        <v>86</v>
      </c>
      <c r="E2411" s="9" t="s">
        <v>9670</v>
      </c>
      <c r="F2411" s="5">
        <v>35</v>
      </c>
      <c r="G2411" s="5" t="s">
        <v>9634</v>
      </c>
      <c r="H2411" s="5" t="s">
        <v>9635</v>
      </c>
      <c r="I2411" s="5" t="s">
        <v>9636</v>
      </c>
      <c r="J2411" s="5" t="s">
        <v>9637</v>
      </c>
      <c r="K2411" s="5"/>
      <c r="L2411" s="5" t="s">
        <v>7</v>
      </c>
    </row>
    <row r="2412" spans="1:12" ht="15" customHeight="1" x14ac:dyDescent="0.25">
      <c r="A2412" t="str">
        <f>_xlfn.XLOOKUP(C2412,Temas!C:C,Temas!A:A)</f>
        <v>Específico</v>
      </c>
      <c r="B2412">
        <f>_xlfn.XLOOKUP(C2412,Temas!C:C,Temas!B:B)</f>
        <v>10</v>
      </c>
      <c r="C2412" s="9" t="s">
        <v>2591</v>
      </c>
      <c r="D2412" s="22">
        <v>86</v>
      </c>
      <c r="E2412" s="9" t="s">
        <v>9670</v>
      </c>
      <c r="F2412" s="5">
        <v>36</v>
      </c>
      <c r="G2412" s="5" t="s">
        <v>9638</v>
      </c>
      <c r="H2412" s="5" t="s">
        <v>9639</v>
      </c>
      <c r="I2412" s="5" t="s">
        <v>9640</v>
      </c>
      <c r="J2412" s="5" t="s">
        <v>9641</v>
      </c>
      <c r="K2412" s="5"/>
      <c r="L2412" s="5" t="s">
        <v>9</v>
      </c>
    </row>
    <row r="2413" spans="1:12" ht="15" customHeight="1" x14ac:dyDescent="0.25">
      <c r="A2413" t="str">
        <f>_xlfn.XLOOKUP(C2413,Temas!C:C,Temas!A:A)</f>
        <v>Específico</v>
      </c>
      <c r="B2413">
        <f>_xlfn.XLOOKUP(C2413,Temas!C:C,Temas!B:B)</f>
        <v>10</v>
      </c>
      <c r="C2413" s="9" t="s">
        <v>2591</v>
      </c>
      <c r="D2413" s="22">
        <v>86</v>
      </c>
      <c r="E2413" s="9" t="s">
        <v>9670</v>
      </c>
      <c r="F2413" s="5">
        <v>37</v>
      </c>
      <c r="G2413" s="5" t="s">
        <v>9642</v>
      </c>
      <c r="H2413" s="5" t="s">
        <v>9643</v>
      </c>
      <c r="I2413" s="5" t="s">
        <v>9644</v>
      </c>
      <c r="J2413" s="5" t="s">
        <v>9645</v>
      </c>
      <c r="K2413" s="5"/>
      <c r="L2413" s="5" t="s">
        <v>9</v>
      </c>
    </row>
    <row r="2414" spans="1:12" ht="15" customHeight="1" x14ac:dyDescent="0.25">
      <c r="A2414" t="str">
        <f>_xlfn.XLOOKUP(C2414,Temas!C:C,Temas!A:A)</f>
        <v>Específico</v>
      </c>
      <c r="B2414">
        <f>_xlfn.XLOOKUP(C2414,Temas!C:C,Temas!B:B)</f>
        <v>10</v>
      </c>
      <c r="C2414" s="9" t="s">
        <v>2591</v>
      </c>
      <c r="D2414" s="22">
        <v>86</v>
      </c>
      <c r="E2414" s="9" t="s">
        <v>9670</v>
      </c>
      <c r="F2414" s="5">
        <v>38</v>
      </c>
      <c r="G2414" s="5" t="s">
        <v>9646</v>
      </c>
      <c r="H2414" s="5" t="s">
        <v>9647</v>
      </c>
      <c r="I2414" s="5" t="s">
        <v>9648</v>
      </c>
      <c r="J2414" s="5" t="s">
        <v>739</v>
      </c>
      <c r="K2414" s="5"/>
      <c r="L2414" s="5" t="s">
        <v>8</v>
      </c>
    </row>
    <row r="2415" spans="1:12" ht="15" customHeight="1" x14ac:dyDescent="0.25">
      <c r="A2415" t="str">
        <f>_xlfn.XLOOKUP(C2415,Temas!C:C,Temas!A:A)</f>
        <v>Específico</v>
      </c>
      <c r="B2415">
        <f>_xlfn.XLOOKUP(C2415,Temas!C:C,Temas!B:B)</f>
        <v>12</v>
      </c>
      <c r="C2415" s="9" t="s">
        <v>3352</v>
      </c>
      <c r="D2415" s="22">
        <v>86</v>
      </c>
      <c r="E2415" s="9" t="s">
        <v>9670</v>
      </c>
      <c r="F2415" s="5">
        <v>39</v>
      </c>
      <c r="G2415" s="5" t="s">
        <v>9649</v>
      </c>
      <c r="H2415" s="5" t="s">
        <v>9650</v>
      </c>
      <c r="I2415" s="5" t="s">
        <v>9651</v>
      </c>
      <c r="J2415" s="5" t="s">
        <v>9652</v>
      </c>
      <c r="K2415" s="5"/>
      <c r="L2415" s="5" t="s">
        <v>9</v>
      </c>
    </row>
    <row r="2416" spans="1:12" ht="15" customHeight="1" x14ac:dyDescent="0.25">
      <c r="A2416" t="str">
        <f>_xlfn.XLOOKUP(C2416,Temas!C:C,Temas!A:A)</f>
        <v>Específico</v>
      </c>
      <c r="B2416">
        <f>_xlfn.XLOOKUP(C2416,Temas!C:C,Temas!B:B)</f>
        <v>12</v>
      </c>
      <c r="C2416" s="9" t="s">
        <v>3352</v>
      </c>
      <c r="D2416" s="22">
        <v>86</v>
      </c>
      <c r="E2416" s="9" t="s">
        <v>9670</v>
      </c>
      <c r="F2416" s="5">
        <v>40</v>
      </c>
      <c r="G2416" s="5" t="s">
        <v>9653</v>
      </c>
      <c r="H2416" s="5" t="s">
        <v>9654</v>
      </c>
      <c r="I2416" s="5" t="s">
        <v>9655</v>
      </c>
      <c r="J2416" s="5" t="s">
        <v>9656</v>
      </c>
      <c r="K2416" s="5"/>
      <c r="L2416" s="5" t="s">
        <v>8</v>
      </c>
    </row>
    <row r="2417" spans="1:12" ht="15" customHeight="1" x14ac:dyDescent="0.25">
      <c r="A2417" t="str">
        <f>_xlfn.XLOOKUP(C2417,Temas!C:C,Temas!A:A)</f>
        <v>Específico</v>
      </c>
      <c r="B2417">
        <f>_xlfn.XLOOKUP(C2417,Temas!C:C,Temas!B:B)</f>
        <v>12</v>
      </c>
      <c r="C2417" s="9" t="s">
        <v>3352</v>
      </c>
      <c r="D2417" s="22">
        <v>86</v>
      </c>
      <c r="E2417" s="9" t="s">
        <v>9670</v>
      </c>
      <c r="F2417" s="5" t="s">
        <v>8464</v>
      </c>
      <c r="G2417" s="5" t="s">
        <v>9657</v>
      </c>
      <c r="H2417" s="5" t="s">
        <v>9658</v>
      </c>
      <c r="I2417" s="5" t="s">
        <v>9659</v>
      </c>
      <c r="J2417" s="5" t="s">
        <v>9660</v>
      </c>
      <c r="K2417" s="5"/>
      <c r="L2417" s="5" t="s">
        <v>9</v>
      </c>
    </row>
    <row r="2418" spans="1:12" ht="15" customHeight="1" x14ac:dyDescent="0.25">
      <c r="A2418" t="str">
        <f>_xlfn.XLOOKUP(C2418,Temas!C:C,Temas!A:A)</f>
        <v>Específico</v>
      </c>
      <c r="B2418">
        <f>_xlfn.XLOOKUP(C2418,Temas!C:C,Temas!B:B)</f>
        <v>12</v>
      </c>
      <c r="C2418" s="9" t="s">
        <v>3352</v>
      </c>
      <c r="D2418" s="22">
        <v>86</v>
      </c>
      <c r="E2418" s="9" t="s">
        <v>9670</v>
      </c>
      <c r="F2418" s="5" t="s">
        <v>8231</v>
      </c>
      <c r="G2418" s="5" t="s">
        <v>9661</v>
      </c>
      <c r="H2418" s="5" t="s">
        <v>9662</v>
      </c>
      <c r="I2418" s="5" t="s">
        <v>9663</v>
      </c>
      <c r="J2418" s="5" t="s">
        <v>9664</v>
      </c>
      <c r="K2418" s="5"/>
      <c r="L2418" s="5" t="s">
        <v>7</v>
      </c>
    </row>
    <row r="2419" spans="1:12" ht="15" customHeight="1" x14ac:dyDescent="0.25">
      <c r="A2419" t="str">
        <f>_xlfn.XLOOKUP(C2419,Temas!C:C,Temas!A:A)</f>
        <v>Específico</v>
      </c>
      <c r="B2419">
        <f>_xlfn.XLOOKUP(C2419,Temas!C:C,Temas!B:B)</f>
        <v>12</v>
      </c>
      <c r="C2419" s="9" t="s">
        <v>3352</v>
      </c>
      <c r="D2419" s="22">
        <v>86</v>
      </c>
      <c r="E2419" s="9" t="s">
        <v>9670</v>
      </c>
      <c r="F2419" s="5" t="s">
        <v>8232</v>
      </c>
      <c r="G2419" s="5" t="s">
        <v>9665</v>
      </c>
      <c r="H2419" s="5" t="s">
        <v>9666</v>
      </c>
      <c r="I2419" s="5" t="s">
        <v>9667</v>
      </c>
      <c r="J2419" s="5" t="s">
        <v>9668</v>
      </c>
      <c r="K2419" s="5"/>
      <c r="L2419" s="5" t="s">
        <v>7</v>
      </c>
    </row>
    <row r="2420" spans="1:12" ht="15" customHeight="1" x14ac:dyDescent="0.25">
      <c r="A2420" t="str">
        <f>_xlfn.XLOOKUP(C2420,Temas!C:C,Temas!A:A)</f>
        <v>Jurídico</v>
      </c>
      <c r="B2420">
        <f>_xlfn.XLOOKUP(C2420,Temas!C:C,Temas!B:B)</f>
        <v>8</v>
      </c>
      <c r="C2420" s="9" t="s">
        <v>8066</v>
      </c>
      <c r="D2420" s="22">
        <v>86</v>
      </c>
      <c r="E2420" s="9" t="s">
        <v>9670</v>
      </c>
      <c r="F2420" s="5" t="s">
        <v>8058</v>
      </c>
      <c r="G2420" s="5" t="s">
        <v>2450</v>
      </c>
      <c r="H2420" s="5" t="s">
        <v>2451</v>
      </c>
      <c r="I2420" s="5" t="s">
        <v>2452</v>
      </c>
      <c r="J2420" s="5" t="s">
        <v>9669</v>
      </c>
      <c r="K2420" s="5"/>
      <c r="L2420" s="5" t="s">
        <v>8</v>
      </c>
    </row>
    <row r="2421" spans="1:12" ht="15" customHeight="1" x14ac:dyDescent="0.25">
      <c r="A2421" t="str">
        <f>_xlfn.XLOOKUP(C2421,Temas!C:C,Temas!A:A)</f>
        <v>Jurídico</v>
      </c>
      <c r="B2421">
        <f>_xlfn.XLOOKUP(C2421,Temas!C:C,Temas!B:B)</f>
        <v>8</v>
      </c>
      <c r="C2421" s="9" t="s">
        <v>8066</v>
      </c>
      <c r="D2421" s="22">
        <v>86</v>
      </c>
      <c r="E2421" s="9" t="s">
        <v>9670</v>
      </c>
      <c r="F2421" s="5" t="s">
        <v>8060</v>
      </c>
      <c r="G2421" s="5" t="s">
        <v>2454</v>
      </c>
      <c r="H2421" s="5">
        <v>2022</v>
      </c>
      <c r="I2421" s="5">
        <v>2023</v>
      </c>
      <c r="J2421" s="5">
        <v>2024</v>
      </c>
      <c r="K2421" s="5"/>
      <c r="L2421" s="5" t="s">
        <v>8</v>
      </c>
    </row>
    <row r="2422" spans="1:12" ht="15" customHeight="1" x14ac:dyDescent="0.25">
      <c r="A2422" t="str">
        <f>_xlfn.XLOOKUP(C2422,Temas!C:C,Temas!A:A)</f>
        <v>Específico</v>
      </c>
      <c r="B2422">
        <f>_xlfn.XLOOKUP(C2422,Temas!C:C,Temas!B:B)</f>
        <v>0</v>
      </c>
      <c r="C2422" t="s">
        <v>9235</v>
      </c>
      <c r="D2422" s="22">
        <v>87</v>
      </c>
      <c r="E2422" s="9" t="s">
        <v>9696</v>
      </c>
      <c r="F2422" s="28">
        <v>1</v>
      </c>
      <c r="G2422" s="28" t="s">
        <v>9671</v>
      </c>
      <c r="H2422" s="28" t="s">
        <v>9672</v>
      </c>
      <c r="I2422" s="28" t="s">
        <v>9673</v>
      </c>
      <c r="J2422" s="28" t="s">
        <v>9674</v>
      </c>
      <c r="K2422" s="28" t="s">
        <v>9675</v>
      </c>
      <c r="L2422" s="28" t="s">
        <v>8</v>
      </c>
    </row>
    <row r="2423" spans="1:12" ht="15" customHeight="1" x14ac:dyDescent="0.25">
      <c r="A2423" t="str">
        <f>_xlfn.XLOOKUP(C2423,Temas!C:C,Temas!A:A)</f>
        <v>Específico</v>
      </c>
      <c r="B2423">
        <f>_xlfn.XLOOKUP(C2423,Temas!C:C,Temas!B:B)</f>
        <v>0</v>
      </c>
      <c r="C2423" t="s">
        <v>9235</v>
      </c>
      <c r="D2423" s="22">
        <v>87</v>
      </c>
      <c r="E2423" s="9" t="s">
        <v>9696</v>
      </c>
      <c r="F2423" s="28">
        <v>2</v>
      </c>
      <c r="G2423" s="28" t="s">
        <v>9676</v>
      </c>
      <c r="H2423" s="28" t="s">
        <v>9677</v>
      </c>
      <c r="I2423" s="28" t="s">
        <v>9678</v>
      </c>
      <c r="J2423" s="28" t="s">
        <v>9679</v>
      </c>
      <c r="K2423" s="28" t="s">
        <v>9680</v>
      </c>
      <c r="L2423" s="28" t="s">
        <v>8</v>
      </c>
    </row>
    <row r="2424" spans="1:12" ht="15" customHeight="1" x14ac:dyDescent="0.25">
      <c r="A2424" t="str">
        <f>_xlfn.XLOOKUP(C2424,Temas!C:C,Temas!A:A)</f>
        <v>Específico</v>
      </c>
      <c r="B2424">
        <f>_xlfn.XLOOKUP(C2424,Temas!C:C,Temas!B:B)</f>
        <v>0</v>
      </c>
      <c r="C2424" t="s">
        <v>9235</v>
      </c>
      <c r="D2424" s="22">
        <v>87</v>
      </c>
      <c r="E2424" s="9" t="s">
        <v>9696</v>
      </c>
      <c r="F2424" s="28">
        <v>3</v>
      </c>
      <c r="G2424" s="28" t="s">
        <v>9681</v>
      </c>
      <c r="H2424" s="28" t="s">
        <v>9682</v>
      </c>
      <c r="I2424" s="28" t="s">
        <v>9683</v>
      </c>
      <c r="J2424" s="28" t="s">
        <v>9684</v>
      </c>
      <c r="K2424" s="28" t="s">
        <v>9685</v>
      </c>
      <c r="L2424" s="28" t="s">
        <v>8</v>
      </c>
    </row>
    <row r="2425" spans="1:12" ht="15" customHeight="1" x14ac:dyDescent="0.25">
      <c r="A2425" t="str">
        <f>_xlfn.XLOOKUP(C2425,Temas!C:C,Temas!A:A)</f>
        <v>Específico</v>
      </c>
      <c r="B2425">
        <f>_xlfn.XLOOKUP(C2425,Temas!C:C,Temas!B:B)</f>
        <v>0</v>
      </c>
      <c r="C2425" t="s">
        <v>9235</v>
      </c>
      <c r="D2425" s="22">
        <v>87</v>
      </c>
      <c r="E2425" s="9" t="s">
        <v>9696</v>
      </c>
      <c r="F2425" s="28">
        <v>4</v>
      </c>
      <c r="G2425" s="28" t="s">
        <v>9686</v>
      </c>
      <c r="H2425" s="28" t="s">
        <v>9687</v>
      </c>
      <c r="I2425" s="28" t="s">
        <v>9688</v>
      </c>
      <c r="J2425" s="28" t="s">
        <v>9689</v>
      </c>
      <c r="K2425" s="28" t="s">
        <v>9690</v>
      </c>
      <c r="L2425" s="28" t="s">
        <v>9</v>
      </c>
    </row>
    <row r="2426" spans="1:12" ht="15" customHeight="1" x14ac:dyDescent="0.25">
      <c r="A2426" t="str">
        <f>_xlfn.XLOOKUP(C2426,Temas!C:C,Temas!A:A)</f>
        <v>Específico</v>
      </c>
      <c r="B2426">
        <f>_xlfn.XLOOKUP(C2426,Temas!C:C,Temas!B:B)</f>
        <v>0</v>
      </c>
      <c r="C2426" t="s">
        <v>9235</v>
      </c>
      <c r="D2426" s="22">
        <v>87</v>
      </c>
      <c r="E2426" s="9" t="s">
        <v>9696</v>
      </c>
      <c r="F2426" s="28">
        <v>5</v>
      </c>
      <c r="G2426" s="28" t="s">
        <v>9691</v>
      </c>
      <c r="H2426" s="28" t="s">
        <v>9692</v>
      </c>
      <c r="I2426" s="28" t="s">
        <v>9693</v>
      </c>
      <c r="J2426" s="28" t="s">
        <v>9694</v>
      </c>
      <c r="K2426" s="28" t="s">
        <v>9695</v>
      </c>
      <c r="L2426" s="28" t="s">
        <v>7</v>
      </c>
    </row>
    <row r="2427" spans="1:12" ht="15" customHeight="1" x14ac:dyDescent="0.25">
      <c r="A2427" t="str">
        <f>_xlfn.XLOOKUP(C2427,Temas!C:C,Temas!A:A)</f>
        <v>Específico</v>
      </c>
      <c r="B2427">
        <f>_xlfn.XLOOKUP(C2427,Temas!C:C,Temas!B:B)</f>
        <v>0</v>
      </c>
      <c r="C2427" t="s">
        <v>9235</v>
      </c>
      <c r="D2427" s="22">
        <v>87</v>
      </c>
      <c r="E2427" s="9" t="s">
        <v>9696</v>
      </c>
      <c r="F2427" s="5">
        <v>6</v>
      </c>
      <c r="G2427" s="5" t="s">
        <v>9697</v>
      </c>
      <c r="H2427" s="5" t="s">
        <v>9692</v>
      </c>
      <c r="I2427" s="5" t="s">
        <v>9693</v>
      </c>
      <c r="J2427" s="5" t="s">
        <v>9694</v>
      </c>
      <c r="K2427" s="5" t="s">
        <v>9695</v>
      </c>
      <c r="L2427" s="28" t="s">
        <v>8</v>
      </c>
    </row>
    <row r="2428" spans="1:12" ht="15" customHeight="1" x14ac:dyDescent="0.25">
      <c r="A2428" t="str">
        <f>_xlfn.XLOOKUP(C2428,Temas!C:C,Temas!A:A)</f>
        <v>Específico</v>
      </c>
      <c r="B2428">
        <f>_xlfn.XLOOKUP(C2428,Temas!C:C,Temas!B:B)</f>
        <v>0</v>
      </c>
      <c r="C2428" t="s">
        <v>9235</v>
      </c>
      <c r="D2428" s="22">
        <v>87</v>
      </c>
      <c r="E2428" s="9" t="s">
        <v>9696</v>
      </c>
      <c r="F2428" s="5">
        <v>7</v>
      </c>
      <c r="G2428" s="5" t="s">
        <v>9698</v>
      </c>
      <c r="H2428" s="5" t="s">
        <v>9692</v>
      </c>
      <c r="I2428" s="5" t="s">
        <v>9693</v>
      </c>
      <c r="J2428" s="5" t="s">
        <v>9694</v>
      </c>
      <c r="K2428" s="5" t="s">
        <v>9695</v>
      </c>
      <c r="L2428" s="28" t="s">
        <v>9</v>
      </c>
    </row>
    <row r="2429" spans="1:12" ht="15" customHeight="1" x14ac:dyDescent="0.25">
      <c r="A2429" t="str">
        <f>_xlfn.XLOOKUP(C2429,Temas!C:C,Temas!A:A)</f>
        <v>Específico</v>
      </c>
      <c r="B2429">
        <f>_xlfn.XLOOKUP(C2429,Temas!C:C,Temas!B:B)</f>
        <v>0</v>
      </c>
      <c r="C2429" t="s">
        <v>9235</v>
      </c>
      <c r="D2429" s="22">
        <v>87</v>
      </c>
      <c r="E2429" s="9" t="s">
        <v>9696</v>
      </c>
      <c r="F2429" s="5">
        <v>8</v>
      </c>
      <c r="G2429" s="5" t="s">
        <v>9699</v>
      </c>
      <c r="H2429" s="5" t="s">
        <v>9700</v>
      </c>
      <c r="I2429" s="5" t="s">
        <v>9701</v>
      </c>
      <c r="J2429" s="5" t="s">
        <v>9702</v>
      </c>
      <c r="K2429" s="5" t="s">
        <v>9703</v>
      </c>
      <c r="L2429" s="28" t="s">
        <v>7</v>
      </c>
    </row>
    <row r="2430" spans="1:12" ht="15" customHeight="1" x14ac:dyDescent="0.25">
      <c r="A2430" t="str">
        <f>_xlfn.XLOOKUP(C2430,Temas!C:C,Temas!A:A)</f>
        <v>Específico</v>
      </c>
      <c r="B2430">
        <f>_xlfn.XLOOKUP(C2430,Temas!C:C,Temas!B:B)</f>
        <v>0</v>
      </c>
      <c r="C2430" t="s">
        <v>9235</v>
      </c>
      <c r="D2430" s="22">
        <v>87</v>
      </c>
      <c r="E2430" s="9" t="s">
        <v>9696</v>
      </c>
      <c r="F2430" s="5">
        <v>10</v>
      </c>
      <c r="G2430" s="5" t="s">
        <v>9704</v>
      </c>
      <c r="H2430" s="5" t="s">
        <v>9705</v>
      </c>
      <c r="I2430" s="5" t="s">
        <v>9706</v>
      </c>
      <c r="J2430" s="5" t="s">
        <v>9707</v>
      </c>
      <c r="K2430" s="5" t="s">
        <v>8627</v>
      </c>
      <c r="L2430" s="5" t="s">
        <v>10</v>
      </c>
    </row>
    <row r="2431" spans="1:12" ht="15" customHeight="1" x14ac:dyDescent="0.25">
      <c r="A2431" t="str">
        <f>_xlfn.XLOOKUP(C2431,Temas!C:C,Temas!A:A)</f>
        <v>Específico</v>
      </c>
      <c r="B2431">
        <f>_xlfn.XLOOKUP(C2431,Temas!C:C,Temas!B:B)</f>
        <v>0</v>
      </c>
      <c r="C2431" t="s">
        <v>9235</v>
      </c>
      <c r="D2431" s="22">
        <v>87</v>
      </c>
      <c r="E2431" s="9" t="s">
        <v>9696</v>
      </c>
      <c r="F2431" s="5">
        <v>11</v>
      </c>
      <c r="G2431" s="5" t="s">
        <v>9708</v>
      </c>
      <c r="H2431" s="5" t="s">
        <v>9746</v>
      </c>
      <c r="I2431" s="5" t="s">
        <v>9709</v>
      </c>
      <c r="J2431" s="5" t="s">
        <v>9710</v>
      </c>
      <c r="K2431" s="5" t="s">
        <v>9195</v>
      </c>
      <c r="L2431" s="5" t="s">
        <v>10</v>
      </c>
    </row>
    <row r="2432" spans="1:12" ht="15" customHeight="1" x14ac:dyDescent="0.25">
      <c r="A2432" t="str">
        <f>_xlfn.XLOOKUP(C2432,Temas!C:C,Temas!A:A)</f>
        <v>Específico</v>
      </c>
      <c r="B2432">
        <f>_xlfn.XLOOKUP(C2432,Temas!C:C,Temas!B:B)</f>
        <v>0</v>
      </c>
      <c r="C2432" t="s">
        <v>9235</v>
      </c>
      <c r="D2432" s="22">
        <v>87</v>
      </c>
      <c r="E2432" s="9" t="s">
        <v>9696</v>
      </c>
      <c r="F2432" s="5">
        <v>12</v>
      </c>
      <c r="G2432" s="5" t="s">
        <v>9711</v>
      </c>
      <c r="H2432" s="5" t="s">
        <v>9712</v>
      </c>
      <c r="I2432" s="5" t="s">
        <v>9713</v>
      </c>
      <c r="J2432" s="5" t="s">
        <v>7729</v>
      </c>
      <c r="K2432" s="5" t="s">
        <v>9714</v>
      </c>
      <c r="L2432" s="5" t="s">
        <v>8</v>
      </c>
    </row>
    <row r="2433" spans="1:12" ht="15" customHeight="1" x14ac:dyDescent="0.25">
      <c r="A2433" t="str">
        <f>_xlfn.XLOOKUP(C2433,Temas!C:C,Temas!A:A)</f>
        <v>Específico</v>
      </c>
      <c r="B2433">
        <f>_xlfn.XLOOKUP(C2433,Temas!C:C,Temas!B:B)</f>
        <v>0</v>
      </c>
      <c r="C2433" t="s">
        <v>9235</v>
      </c>
      <c r="D2433" s="22">
        <v>87</v>
      </c>
      <c r="E2433" s="9" t="s">
        <v>9696</v>
      </c>
      <c r="F2433" s="5">
        <v>13</v>
      </c>
      <c r="G2433" s="5" t="s">
        <v>9715</v>
      </c>
      <c r="H2433" s="5" t="s">
        <v>9716</v>
      </c>
      <c r="I2433" s="5" t="s">
        <v>9717</v>
      </c>
      <c r="J2433" s="5" t="s">
        <v>9718</v>
      </c>
      <c r="K2433" s="5" t="s">
        <v>9719</v>
      </c>
      <c r="L2433" s="5" t="s">
        <v>7</v>
      </c>
    </row>
    <row r="2434" spans="1:12" ht="15" customHeight="1" x14ac:dyDescent="0.25">
      <c r="A2434" t="str">
        <f>_xlfn.XLOOKUP(C2434,Temas!C:C,Temas!A:A)</f>
        <v>Específico</v>
      </c>
      <c r="B2434">
        <f>_xlfn.XLOOKUP(C2434,Temas!C:C,Temas!B:B)</f>
        <v>0</v>
      </c>
      <c r="C2434" t="s">
        <v>9235</v>
      </c>
      <c r="D2434" s="22">
        <v>87</v>
      </c>
      <c r="E2434" s="9" t="s">
        <v>9696</v>
      </c>
      <c r="F2434" s="5">
        <v>14</v>
      </c>
      <c r="G2434" s="5" t="s">
        <v>9747</v>
      </c>
      <c r="H2434" s="5" t="s">
        <v>9720</v>
      </c>
      <c r="I2434" s="5" t="s">
        <v>9721</v>
      </c>
      <c r="J2434" s="5" t="s">
        <v>9722</v>
      </c>
      <c r="K2434" s="5" t="s">
        <v>9723</v>
      </c>
      <c r="L2434" s="5" t="s">
        <v>9</v>
      </c>
    </row>
    <row r="2435" spans="1:12" ht="15" customHeight="1" x14ac:dyDescent="0.25">
      <c r="A2435" t="str">
        <f>_xlfn.XLOOKUP(C2435,Temas!C:C,Temas!A:A)</f>
        <v>Específico</v>
      </c>
      <c r="B2435">
        <f>_xlfn.XLOOKUP(C2435,Temas!C:C,Temas!B:B)</f>
        <v>0</v>
      </c>
      <c r="C2435" t="s">
        <v>9235</v>
      </c>
      <c r="D2435" s="22">
        <v>87</v>
      </c>
      <c r="E2435" s="9" t="s">
        <v>9696</v>
      </c>
      <c r="F2435" s="5">
        <v>15</v>
      </c>
      <c r="G2435" s="5" t="s">
        <v>9748</v>
      </c>
      <c r="H2435" s="5" t="s">
        <v>9749</v>
      </c>
      <c r="I2435" s="5" t="s">
        <v>9750</v>
      </c>
      <c r="J2435" s="5" t="s">
        <v>9751</v>
      </c>
      <c r="K2435" s="5" t="s">
        <v>9724</v>
      </c>
      <c r="L2435" s="5" t="s">
        <v>8</v>
      </c>
    </row>
    <row r="2436" spans="1:12" ht="15" customHeight="1" x14ac:dyDescent="0.25">
      <c r="A2436" t="str">
        <f>_xlfn.XLOOKUP(C2436,Temas!C:C,Temas!A:A)</f>
        <v>Específico</v>
      </c>
      <c r="B2436">
        <f>_xlfn.XLOOKUP(C2436,Temas!C:C,Temas!B:B)</f>
        <v>0</v>
      </c>
      <c r="C2436" t="s">
        <v>9235</v>
      </c>
      <c r="D2436" s="22">
        <v>87</v>
      </c>
      <c r="E2436" s="9" t="s">
        <v>9696</v>
      </c>
      <c r="F2436" s="5">
        <v>16</v>
      </c>
      <c r="G2436" s="5" t="s">
        <v>9752</v>
      </c>
      <c r="H2436" s="5" t="s">
        <v>9725</v>
      </c>
      <c r="I2436" s="5" t="s">
        <v>9726</v>
      </c>
      <c r="J2436" s="5" t="s">
        <v>9727</v>
      </c>
      <c r="K2436" s="5" t="s">
        <v>9753</v>
      </c>
      <c r="L2436" s="5" t="s">
        <v>10</v>
      </c>
    </row>
    <row r="2437" spans="1:12" ht="15" customHeight="1" x14ac:dyDescent="0.25">
      <c r="A2437" t="str">
        <f>_xlfn.XLOOKUP(C2437,Temas!C:C,Temas!A:A)</f>
        <v>Específico</v>
      </c>
      <c r="B2437">
        <f>_xlfn.XLOOKUP(C2437,Temas!C:C,Temas!B:B)</f>
        <v>0</v>
      </c>
      <c r="C2437" t="s">
        <v>9235</v>
      </c>
      <c r="D2437" s="22">
        <v>87</v>
      </c>
      <c r="E2437" s="9" t="s">
        <v>9696</v>
      </c>
      <c r="F2437" s="5">
        <v>17</v>
      </c>
      <c r="G2437" s="5" t="s">
        <v>9754</v>
      </c>
      <c r="H2437" s="5" t="s">
        <v>9728</v>
      </c>
      <c r="I2437" s="5" t="s">
        <v>9729</v>
      </c>
      <c r="J2437" s="5" t="s">
        <v>9730</v>
      </c>
      <c r="K2437" s="5" t="s">
        <v>9755</v>
      </c>
      <c r="L2437" s="5" t="s">
        <v>8</v>
      </c>
    </row>
    <row r="2438" spans="1:12" ht="15" customHeight="1" x14ac:dyDescent="0.25">
      <c r="A2438" t="str">
        <f>_xlfn.XLOOKUP(C2438,Temas!C:C,Temas!A:A)</f>
        <v>Específico</v>
      </c>
      <c r="B2438">
        <f>_xlfn.XLOOKUP(C2438,Temas!C:C,Temas!B:B)</f>
        <v>0</v>
      </c>
      <c r="C2438" t="s">
        <v>9235</v>
      </c>
      <c r="D2438" s="22">
        <v>87</v>
      </c>
      <c r="E2438" s="9" t="s">
        <v>9696</v>
      </c>
      <c r="F2438" s="5">
        <v>18</v>
      </c>
      <c r="G2438" s="5" t="s">
        <v>9756</v>
      </c>
      <c r="H2438" s="5" t="s">
        <v>9731</v>
      </c>
      <c r="I2438" s="5" t="s">
        <v>9757</v>
      </c>
      <c r="J2438" s="5" t="s">
        <v>9732</v>
      </c>
      <c r="K2438" s="5" t="s">
        <v>9733</v>
      </c>
      <c r="L2438" s="5" t="s">
        <v>7</v>
      </c>
    </row>
    <row r="2439" spans="1:12" ht="15" customHeight="1" x14ac:dyDescent="0.25">
      <c r="A2439" t="str">
        <f>_xlfn.XLOOKUP(C2439,Temas!C:C,Temas!A:A)</f>
        <v>Específico</v>
      </c>
      <c r="B2439">
        <f>_xlfn.XLOOKUP(C2439,Temas!C:C,Temas!B:B)</f>
        <v>0</v>
      </c>
      <c r="C2439" t="s">
        <v>9235</v>
      </c>
      <c r="D2439" s="22">
        <v>87</v>
      </c>
      <c r="E2439" s="9" t="s">
        <v>9696</v>
      </c>
      <c r="F2439" s="5">
        <v>19</v>
      </c>
      <c r="G2439" s="5" t="s">
        <v>9758</v>
      </c>
      <c r="H2439" s="5" t="s">
        <v>9759</v>
      </c>
      <c r="I2439" s="5" t="s">
        <v>9760</v>
      </c>
      <c r="J2439" s="5" t="s">
        <v>9761</v>
      </c>
      <c r="K2439" s="5" t="s">
        <v>9762</v>
      </c>
      <c r="L2439" s="5" t="s">
        <v>9</v>
      </c>
    </row>
    <row r="2440" spans="1:12" ht="15" customHeight="1" x14ac:dyDescent="0.25">
      <c r="A2440" t="str">
        <f>_xlfn.XLOOKUP(C2440,Temas!C:C,Temas!A:A)</f>
        <v>Específico</v>
      </c>
      <c r="B2440">
        <f>_xlfn.XLOOKUP(C2440,Temas!C:C,Temas!B:B)</f>
        <v>0</v>
      </c>
      <c r="C2440" t="s">
        <v>9235</v>
      </c>
      <c r="D2440" s="22">
        <v>87</v>
      </c>
      <c r="E2440" s="9" t="s">
        <v>9696</v>
      </c>
      <c r="F2440" s="5">
        <v>20</v>
      </c>
      <c r="G2440" s="5" t="s">
        <v>9763</v>
      </c>
      <c r="H2440" s="5" t="s">
        <v>9725</v>
      </c>
      <c r="I2440" s="5" t="s">
        <v>9726</v>
      </c>
      <c r="J2440" s="5" t="s">
        <v>9764</v>
      </c>
      <c r="K2440" s="5" t="s">
        <v>9753</v>
      </c>
      <c r="L2440" s="5" t="s">
        <v>9</v>
      </c>
    </row>
    <row r="2441" spans="1:12" ht="15" customHeight="1" x14ac:dyDescent="0.25">
      <c r="A2441" t="str">
        <f>_xlfn.XLOOKUP(C2441,Temas!C:C,Temas!A:A)</f>
        <v>Específico</v>
      </c>
      <c r="B2441">
        <f>_xlfn.XLOOKUP(C2441,Temas!C:C,Temas!B:B)</f>
        <v>0</v>
      </c>
      <c r="C2441" t="s">
        <v>9235</v>
      </c>
      <c r="D2441" s="22">
        <v>87</v>
      </c>
      <c r="E2441" s="9" t="s">
        <v>9696</v>
      </c>
      <c r="F2441" s="5">
        <v>21</v>
      </c>
      <c r="G2441" s="5" t="s">
        <v>9765</v>
      </c>
      <c r="H2441" s="5" t="s">
        <v>9734</v>
      </c>
      <c r="I2441" s="5" t="s">
        <v>9735</v>
      </c>
      <c r="J2441" s="5" t="s">
        <v>9736</v>
      </c>
      <c r="K2441" s="5" t="s">
        <v>9737</v>
      </c>
      <c r="L2441" s="5" t="s">
        <v>9</v>
      </c>
    </row>
    <row r="2442" spans="1:12" ht="15" customHeight="1" x14ac:dyDescent="0.25">
      <c r="A2442" t="str">
        <f>_xlfn.XLOOKUP(C2442,Temas!C:C,Temas!A:A)</f>
        <v>Específico</v>
      </c>
      <c r="B2442">
        <f>_xlfn.XLOOKUP(C2442,Temas!C:C,Temas!B:B)</f>
        <v>0</v>
      </c>
      <c r="C2442" t="s">
        <v>9235</v>
      </c>
      <c r="D2442" s="22">
        <v>87</v>
      </c>
      <c r="E2442" s="9" t="s">
        <v>9696</v>
      </c>
      <c r="F2442" s="5">
        <v>22</v>
      </c>
      <c r="G2442" s="5" t="s">
        <v>9766</v>
      </c>
      <c r="H2442" s="5" t="s">
        <v>9767</v>
      </c>
      <c r="I2442" s="5" t="s">
        <v>9768</v>
      </c>
      <c r="J2442" s="5" t="s">
        <v>9769</v>
      </c>
      <c r="K2442" s="5" t="s">
        <v>9770</v>
      </c>
      <c r="L2442" s="5" t="s">
        <v>8</v>
      </c>
    </row>
    <row r="2443" spans="1:12" ht="15" customHeight="1" x14ac:dyDescent="0.25">
      <c r="A2443" t="str">
        <f>_xlfn.XLOOKUP(C2443,Temas!C:C,Temas!A:A)</f>
        <v>Específico</v>
      </c>
      <c r="B2443">
        <f>_xlfn.XLOOKUP(C2443,Temas!C:C,Temas!B:B)</f>
        <v>0</v>
      </c>
      <c r="C2443" t="s">
        <v>9235</v>
      </c>
      <c r="D2443" s="22">
        <v>87</v>
      </c>
      <c r="E2443" s="9" t="s">
        <v>9696</v>
      </c>
      <c r="F2443" s="5">
        <v>23</v>
      </c>
      <c r="G2443" s="5" t="s">
        <v>9771</v>
      </c>
      <c r="H2443" s="5" t="s">
        <v>9772</v>
      </c>
      <c r="I2443" s="5" t="s">
        <v>9773</v>
      </c>
      <c r="J2443" s="5" t="s">
        <v>9774</v>
      </c>
      <c r="K2443" s="5" t="s">
        <v>2462</v>
      </c>
      <c r="L2443" s="5" t="s">
        <v>9</v>
      </c>
    </row>
    <row r="2444" spans="1:12" ht="15" customHeight="1" x14ac:dyDescent="0.25">
      <c r="A2444" t="str">
        <f>_xlfn.XLOOKUP(C2444,Temas!C:C,Temas!A:A)</f>
        <v>Específico</v>
      </c>
      <c r="B2444">
        <f>_xlfn.XLOOKUP(C2444,Temas!C:C,Temas!B:B)</f>
        <v>0</v>
      </c>
      <c r="C2444" t="s">
        <v>9235</v>
      </c>
      <c r="D2444" s="22">
        <v>87</v>
      </c>
      <c r="E2444" s="9" t="s">
        <v>9696</v>
      </c>
      <c r="F2444" s="5">
        <v>25</v>
      </c>
      <c r="G2444" s="5" t="s">
        <v>9738</v>
      </c>
      <c r="H2444" s="5" t="s">
        <v>9775</v>
      </c>
      <c r="I2444" s="5" t="s">
        <v>9776</v>
      </c>
      <c r="J2444" s="5" t="s">
        <v>9777</v>
      </c>
      <c r="K2444" s="5" t="s">
        <v>9778</v>
      </c>
      <c r="L2444" s="5" t="s">
        <v>8</v>
      </c>
    </row>
    <row r="2445" spans="1:12" ht="15" customHeight="1" x14ac:dyDescent="0.25">
      <c r="A2445" t="str">
        <f>_xlfn.XLOOKUP(C2445,Temas!C:C,Temas!A:A)</f>
        <v>Específico</v>
      </c>
      <c r="B2445">
        <f>_xlfn.XLOOKUP(C2445,Temas!C:C,Temas!B:B)</f>
        <v>0</v>
      </c>
      <c r="C2445" t="s">
        <v>9235</v>
      </c>
      <c r="D2445" s="22">
        <v>87</v>
      </c>
      <c r="E2445" s="9" t="s">
        <v>9696</v>
      </c>
      <c r="F2445" s="5">
        <v>26</v>
      </c>
      <c r="G2445" s="5" t="s">
        <v>9779</v>
      </c>
      <c r="H2445" s="5" t="s">
        <v>9739</v>
      </c>
      <c r="I2445" s="5" t="s">
        <v>9740</v>
      </c>
      <c r="J2445" s="5" t="s">
        <v>9741</v>
      </c>
      <c r="K2445" s="5" t="s">
        <v>9742</v>
      </c>
      <c r="L2445" s="5" t="s">
        <v>8</v>
      </c>
    </row>
    <row r="2446" spans="1:12" ht="15" customHeight="1" x14ac:dyDescent="0.25">
      <c r="A2446" t="str">
        <f>_xlfn.XLOOKUP(C2446,Temas!C:C,Temas!A:A)</f>
        <v>Específico</v>
      </c>
      <c r="B2446">
        <f>_xlfn.XLOOKUP(C2446,Temas!C:C,Temas!B:B)</f>
        <v>0</v>
      </c>
      <c r="C2446" t="s">
        <v>9235</v>
      </c>
      <c r="D2446" s="22">
        <v>87</v>
      </c>
      <c r="E2446" s="9" t="s">
        <v>9696</v>
      </c>
      <c r="F2446" s="5">
        <v>27</v>
      </c>
      <c r="G2446" s="5" t="s">
        <v>9743</v>
      </c>
      <c r="H2446" s="5" t="s">
        <v>9780</v>
      </c>
      <c r="I2446" s="5" t="s">
        <v>9781</v>
      </c>
      <c r="J2446" s="5" t="s">
        <v>9782</v>
      </c>
      <c r="K2446" s="5" t="s">
        <v>9783</v>
      </c>
      <c r="L2446" s="5" t="s">
        <v>9</v>
      </c>
    </row>
    <row r="2447" spans="1:12" ht="15" customHeight="1" x14ac:dyDescent="0.25">
      <c r="A2447" t="str">
        <f>_xlfn.XLOOKUP(C2447,Temas!C:C,Temas!A:A)</f>
        <v>Específico</v>
      </c>
      <c r="B2447">
        <f>_xlfn.XLOOKUP(C2447,Temas!C:C,Temas!B:B)</f>
        <v>0</v>
      </c>
      <c r="C2447" t="s">
        <v>9235</v>
      </c>
      <c r="D2447" s="22">
        <v>87</v>
      </c>
      <c r="E2447" s="9" t="s">
        <v>9696</v>
      </c>
      <c r="F2447" s="5">
        <v>28</v>
      </c>
      <c r="G2447" s="5" t="s">
        <v>9744</v>
      </c>
      <c r="H2447" s="5" t="s">
        <v>9784</v>
      </c>
      <c r="I2447" s="5" t="s">
        <v>9785</v>
      </c>
      <c r="J2447" s="5" t="s">
        <v>9786</v>
      </c>
      <c r="K2447" s="5" t="s">
        <v>9787</v>
      </c>
      <c r="L2447" s="5" t="s">
        <v>9</v>
      </c>
    </row>
    <row r="2448" spans="1:12" ht="15" customHeight="1" x14ac:dyDescent="0.25">
      <c r="A2448" t="str">
        <f>_xlfn.XLOOKUP(C2448,Temas!C:C,Temas!A:A)</f>
        <v>Específico</v>
      </c>
      <c r="B2448">
        <f>_xlfn.XLOOKUP(C2448,Temas!C:C,Temas!B:B)</f>
        <v>0</v>
      </c>
      <c r="C2448" t="s">
        <v>9235</v>
      </c>
      <c r="D2448" s="22">
        <v>87</v>
      </c>
      <c r="E2448" s="9" t="s">
        <v>9696</v>
      </c>
      <c r="F2448" s="5">
        <v>29</v>
      </c>
      <c r="G2448" s="5" t="s">
        <v>9788</v>
      </c>
      <c r="H2448" s="5" t="s">
        <v>9789</v>
      </c>
      <c r="I2448" s="5" t="s">
        <v>9790</v>
      </c>
      <c r="J2448" s="5" t="s">
        <v>9791</v>
      </c>
      <c r="K2448" s="5" t="s">
        <v>9792</v>
      </c>
      <c r="L2448" s="5" t="s">
        <v>10</v>
      </c>
    </row>
    <row r="2449" spans="1:12" ht="15" customHeight="1" x14ac:dyDescent="0.25">
      <c r="A2449" t="str">
        <f>_xlfn.XLOOKUP(C2449,Temas!C:C,Temas!A:A)</f>
        <v>Específico</v>
      </c>
      <c r="B2449">
        <f>_xlfn.XLOOKUP(C2449,Temas!C:C,Temas!B:B)</f>
        <v>0</v>
      </c>
      <c r="C2449" t="s">
        <v>9235</v>
      </c>
      <c r="D2449" s="22">
        <v>87</v>
      </c>
      <c r="E2449" s="9" t="s">
        <v>9696</v>
      </c>
      <c r="F2449" s="5">
        <v>30</v>
      </c>
      <c r="G2449" s="5" t="s">
        <v>9793</v>
      </c>
      <c r="H2449" s="5" t="s">
        <v>9168</v>
      </c>
      <c r="I2449" s="5" t="s">
        <v>9169</v>
      </c>
      <c r="J2449" s="5" t="s">
        <v>9167</v>
      </c>
      <c r="K2449" s="5" t="s">
        <v>9745</v>
      </c>
      <c r="L2449" s="5" t="s">
        <v>8</v>
      </c>
    </row>
    <row r="2450" spans="1:12" ht="15" customHeight="1" x14ac:dyDescent="0.25">
      <c r="A2450" t="str">
        <f>_xlfn.XLOOKUP(C2450,Temas!C:C,Temas!A:A)</f>
        <v>Específico</v>
      </c>
      <c r="B2450">
        <f>_xlfn.XLOOKUP(C2450,Temas!C:C,Temas!B:B)</f>
        <v>0</v>
      </c>
      <c r="C2450" t="s">
        <v>9235</v>
      </c>
      <c r="D2450" s="22">
        <v>87</v>
      </c>
      <c r="E2450" s="9" t="s">
        <v>9696</v>
      </c>
      <c r="F2450" s="5">
        <v>32</v>
      </c>
      <c r="G2450" s="5" t="s">
        <v>9794</v>
      </c>
      <c r="H2450" s="5" t="s">
        <v>9795</v>
      </c>
      <c r="I2450" s="5" t="s">
        <v>9796</v>
      </c>
      <c r="J2450" s="5" t="s">
        <v>9797</v>
      </c>
      <c r="K2450" s="5" t="s">
        <v>8627</v>
      </c>
      <c r="L2450" s="5" t="s">
        <v>8</v>
      </c>
    </row>
    <row r="2451" spans="1:12" ht="15" customHeight="1" x14ac:dyDescent="0.25">
      <c r="A2451" t="str">
        <f>_xlfn.XLOOKUP(C2451,Temas!C:C,Temas!A:A)</f>
        <v>Específico</v>
      </c>
      <c r="B2451">
        <f>_xlfn.XLOOKUP(C2451,Temas!C:C,Temas!B:B)</f>
        <v>0</v>
      </c>
      <c r="C2451" t="s">
        <v>9235</v>
      </c>
      <c r="D2451" s="22">
        <v>87</v>
      </c>
      <c r="E2451" s="9" t="s">
        <v>9696</v>
      </c>
      <c r="F2451" s="5">
        <v>33</v>
      </c>
      <c r="G2451" s="5" t="s">
        <v>9798</v>
      </c>
      <c r="H2451" s="5" t="s">
        <v>9799</v>
      </c>
      <c r="I2451" s="5" t="s">
        <v>9800</v>
      </c>
      <c r="J2451" s="5" t="s">
        <v>9801</v>
      </c>
      <c r="K2451" s="5" t="s">
        <v>9802</v>
      </c>
      <c r="L2451" s="5" t="s">
        <v>8</v>
      </c>
    </row>
    <row r="2452" spans="1:12" ht="15" customHeight="1" x14ac:dyDescent="0.25">
      <c r="A2452" t="str">
        <f>_xlfn.XLOOKUP(C2452,Temas!C:C,Temas!A:A)</f>
        <v>Específico</v>
      </c>
      <c r="B2452">
        <f>_xlfn.XLOOKUP(C2452,Temas!C:C,Temas!B:B)</f>
        <v>0</v>
      </c>
      <c r="C2452" t="s">
        <v>9235</v>
      </c>
      <c r="D2452" s="22">
        <v>87</v>
      </c>
      <c r="E2452" s="9" t="s">
        <v>9696</v>
      </c>
      <c r="F2452" s="5">
        <v>35</v>
      </c>
      <c r="G2452" s="5" t="s">
        <v>9803</v>
      </c>
      <c r="H2452" s="5" t="s">
        <v>9804</v>
      </c>
      <c r="I2452" s="5" t="s">
        <v>9805</v>
      </c>
      <c r="J2452" s="5" t="s">
        <v>9806</v>
      </c>
      <c r="K2452" s="5" t="s">
        <v>9807</v>
      </c>
      <c r="L2452" s="5" t="s">
        <v>8</v>
      </c>
    </row>
    <row r="2453" spans="1:12" ht="15" customHeight="1" x14ac:dyDescent="0.25">
      <c r="A2453" t="str">
        <f>_xlfn.XLOOKUP(C2453,Temas!C:C,Temas!A:A)</f>
        <v>Específico</v>
      </c>
      <c r="B2453">
        <f>_xlfn.XLOOKUP(C2453,Temas!C:C,Temas!B:B)</f>
        <v>0</v>
      </c>
      <c r="C2453" t="s">
        <v>9235</v>
      </c>
      <c r="D2453" s="22">
        <v>87</v>
      </c>
      <c r="E2453" s="9" t="s">
        <v>9696</v>
      </c>
      <c r="F2453" s="5">
        <v>36</v>
      </c>
      <c r="G2453" s="5" t="s">
        <v>9808</v>
      </c>
      <c r="H2453" s="5" t="s">
        <v>9809</v>
      </c>
      <c r="I2453" s="5" t="s">
        <v>9810</v>
      </c>
      <c r="J2453" s="5" t="s">
        <v>9811</v>
      </c>
      <c r="K2453" s="5" t="s">
        <v>9812</v>
      </c>
      <c r="L2453" s="5" t="s">
        <v>9</v>
      </c>
    </row>
    <row r="2454" spans="1:12" ht="15" customHeight="1" x14ac:dyDescent="0.25">
      <c r="A2454" t="str">
        <f>_xlfn.XLOOKUP(C2454,Temas!C:C,Temas!A:A)</f>
        <v>Específico</v>
      </c>
      <c r="B2454">
        <f>_xlfn.XLOOKUP(C2454,Temas!C:C,Temas!B:B)</f>
        <v>0</v>
      </c>
      <c r="C2454" t="s">
        <v>9235</v>
      </c>
      <c r="D2454" s="22">
        <v>87</v>
      </c>
      <c r="E2454" s="9" t="s">
        <v>9696</v>
      </c>
      <c r="F2454" s="5">
        <v>37</v>
      </c>
      <c r="G2454" s="5" t="s">
        <v>9813</v>
      </c>
      <c r="H2454" s="5" t="s">
        <v>9814</v>
      </c>
      <c r="I2454" s="5" t="s">
        <v>9815</v>
      </c>
      <c r="J2454" s="5" t="s">
        <v>9816</v>
      </c>
      <c r="K2454" s="5" t="s">
        <v>9817</v>
      </c>
      <c r="L2454" s="5" t="s">
        <v>10</v>
      </c>
    </row>
    <row r="2455" spans="1:12" ht="15" customHeight="1" x14ac:dyDescent="0.25">
      <c r="A2455" t="str">
        <f>_xlfn.XLOOKUP(C2455,Temas!C:C,Temas!A:A)</f>
        <v>Específico</v>
      </c>
      <c r="B2455">
        <f>_xlfn.XLOOKUP(C2455,Temas!C:C,Temas!B:B)</f>
        <v>0</v>
      </c>
      <c r="C2455" t="s">
        <v>9235</v>
      </c>
      <c r="D2455" s="22">
        <v>87</v>
      </c>
      <c r="E2455" s="9" t="s">
        <v>9696</v>
      </c>
      <c r="F2455" s="5">
        <v>39</v>
      </c>
      <c r="G2455" s="5" t="s">
        <v>9818</v>
      </c>
      <c r="H2455" s="5" t="s">
        <v>9819</v>
      </c>
      <c r="I2455" s="5" t="s">
        <v>9820</v>
      </c>
      <c r="J2455" s="5" t="s">
        <v>9821</v>
      </c>
      <c r="K2455" s="5" t="s">
        <v>9822</v>
      </c>
      <c r="L2455" s="5" t="s">
        <v>7</v>
      </c>
    </row>
    <row r="2456" spans="1:12" ht="15" customHeight="1" x14ac:dyDescent="0.25">
      <c r="A2456" t="str">
        <f>_xlfn.XLOOKUP(C2456,Temas!C:C,Temas!A:A)</f>
        <v>Específico</v>
      </c>
      <c r="B2456">
        <f>_xlfn.XLOOKUP(C2456,Temas!C:C,Temas!B:B)</f>
        <v>0</v>
      </c>
      <c r="C2456" t="s">
        <v>9235</v>
      </c>
      <c r="D2456" s="22">
        <v>87</v>
      </c>
      <c r="E2456" s="9" t="s">
        <v>9696</v>
      </c>
      <c r="F2456" s="5">
        <v>40</v>
      </c>
      <c r="G2456" s="5" t="s">
        <v>9823</v>
      </c>
      <c r="H2456" s="5" t="s">
        <v>9824</v>
      </c>
      <c r="I2456" s="5" t="s">
        <v>9825</v>
      </c>
      <c r="J2456" s="5" t="s">
        <v>9826</v>
      </c>
      <c r="K2456" s="5" t="s">
        <v>9827</v>
      </c>
      <c r="L2456" s="5" t="s">
        <v>9</v>
      </c>
    </row>
  </sheetData>
  <autoFilter ref="A1:Q2456" xr:uid="{00000000-0001-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38"/>
  <sheetViews>
    <sheetView workbookViewId="0">
      <selection activeCell="A10" sqref="A10"/>
    </sheetView>
  </sheetViews>
  <sheetFormatPr baseColWidth="10" defaultRowHeight="15" x14ac:dyDescent="0.25"/>
  <cols>
    <col min="1" max="1" width="52.85546875" bestFit="1" customWidth="1"/>
    <col min="2" max="2" width="18.5703125" bestFit="1" customWidth="1"/>
  </cols>
  <sheetData>
    <row r="2" spans="1:2" x14ac:dyDescent="0.25">
      <c r="A2" s="6" t="s">
        <v>7373</v>
      </c>
      <c r="B2" t="s">
        <v>7376</v>
      </c>
    </row>
    <row r="3" spans="1:2" x14ac:dyDescent="0.25">
      <c r="A3" s="7" t="s">
        <v>2590</v>
      </c>
      <c r="B3">
        <v>1623</v>
      </c>
    </row>
    <row r="4" spans="1:2" x14ac:dyDescent="0.25">
      <c r="A4" s="13" t="s">
        <v>3352</v>
      </c>
      <c r="B4">
        <v>252</v>
      </c>
    </row>
    <row r="5" spans="1:2" x14ac:dyDescent="0.25">
      <c r="A5" s="13" t="s">
        <v>2591</v>
      </c>
      <c r="B5">
        <v>210</v>
      </c>
    </row>
    <row r="6" spans="1:2" x14ac:dyDescent="0.25">
      <c r="A6" s="30" t="s">
        <v>5448</v>
      </c>
      <c r="B6">
        <v>167</v>
      </c>
    </row>
    <row r="7" spans="1:2" x14ac:dyDescent="0.25">
      <c r="A7" s="30" t="s">
        <v>5255</v>
      </c>
      <c r="B7">
        <v>165</v>
      </c>
    </row>
    <row r="8" spans="1:2" x14ac:dyDescent="0.25">
      <c r="A8" s="13" t="s">
        <v>3187</v>
      </c>
      <c r="B8">
        <v>159</v>
      </c>
    </row>
    <row r="9" spans="1:2" x14ac:dyDescent="0.25">
      <c r="A9" s="13" t="s">
        <v>4241</v>
      </c>
      <c r="B9">
        <v>118</v>
      </c>
    </row>
    <row r="10" spans="1:2" x14ac:dyDescent="0.25">
      <c r="A10" s="30" t="s">
        <v>7706</v>
      </c>
      <c r="B10">
        <v>75</v>
      </c>
    </row>
    <row r="11" spans="1:2" x14ac:dyDescent="0.25">
      <c r="A11" s="30" t="s">
        <v>7671</v>
      </c>
      <c r="B11">
        <v>73</v>
      </c>
    </row>
    <row r="12" spans="1:2" x14ac:dyDescent="0.25">
      <c r="A12" s="29" t="s">
        <v>8378</v>
      </c>
      <c r="B12">
        <v>59</v>
      </c>
    </row>
    <row r="13" spans="1:2" x14ac:dyDescent="0.25">
      <c r="A13" s="13" t="s">
        <v>4093</v>
      </c>
      <c r="B13">
        <v>53</v>
      </c>
    </row>
    <row r="14" spans="1:2" x14ac:dyDescent="0.25">
      <c r="A14" s="30" t="s">
        <v>5066</v>
      </c>
      <c r="B14">
        <v>52</v>
      </c>
    </row>
    <row r="15" spans="1:2" x14ac:dyDescent="0.25">
      <c r="A15" s="30" t="s">
        <v>4889</v>
      </c>
      <c r="B15">
        <v>49</v>
      </c>
    </row>
    <row r="16" spans="1:2" x14ac:dyDescent="0.25">
      <c r="A16" s="31" t="s">
        <v>9159</v>
      </c>
      <c r="B16">
        <v>39</v>
      </c>
    </row>
    <row r="17" spans="1:2" x14ac:dyDescent="0.25">
      <c r="A17" s="8" t="s">
        <v>9235</v>
      </c>
      <c r="B17">
        <v>28</v>
      </c>
    </row>
    <row r="18" spans="1:2" x14ac:dyDescent="0.25">
      <c r="A18" s="31" t="s">
        <v>4686</v>
      </c>
      <c r="B18">
        <v>26</v>
      </c>
    </row>
    <row r="19" spans="1:2" x14ac:dyDescent="0.25">
      <c r="A19" s="31" t="s">
        <v>4784</v>
      </c>
      <c r="B19">
        <v>23</v>
      </c>
    </row>
    <row r="20" spans="1:2" x14ac:dyDescent="0.25">
      <c r="A20" s="31" t="s">
        <v>6151</v>
      </c>
      <c r="B20">
        <v>22</v>
      </c>
    </row>
    <row r="21" spans="1:2" x14ac:dyDescent="0.25">
      <c r="A21" s="31" t="s">
        <v>7378</v>
      </c>
      <c r="B21">
        <v>20</v>
      </c>
    </row>
    <row r="22" spans="1:2" x14ac:dyDescent="0.25">
      <c r="A22" s="31" t="s">
        <v>6226</v>
      </c>
      <c r="B22">
        <v>20</v>
      </c>
    </row>
    <row r="23" spans="1:2" x14ac:dyDescent="0.25">
      <c r="A23" s="8" t="s">
        <v>8988</v>
      </c>
      <c r="B23">
        <v>8</v>
      </c>
    </row>
    <row r="24" spans="1:2" x14ac:dyDescent="0.25">
      <c r="A24" s="8" t="s">
        <v>3882</v>
      </c>
      <c r="B24">
        <v>4</v>
      </c>
    </row>
    <row r="25" spans="1:2" x14ac:dyDescent="0.25">
      <c r="A25" s="8" t="s">
        <v>8490</v>
      </c>
      <c r="B25">
        <v>1</v>
      </c>
    </row>
    <row r="26" spans="1:2" x14ac:dyDescent="0.25">
      <c r="A26" s="7" t="s">
        <v>12</v>
      </c>
      <c r="B26">
        <v>732</v>
      </c>
    </row>
    <row r="27" spans="1:2" x14ac:dyDescent="0.25">
      <c r="A27" s="8" t="s">
        <v>8374</v>
      </c>
      <c r="B27">
        <v>201</v>
      </c>
    </row>
    <row r="28" spans="1:2" x14ac:dyDescent="0.25">
      <c r="A28" s="8" t="s">
        <v>495</v>
      </c>
      <c r="B28">
        <v>139</v>
      </c>
    </row>
    <row r="29" spans="1:2" x14ac:dyDescent="0.25">
      <c r="A29" s="8" t="s">
        <v>13</v>
      </c>
      <c r="B29">
        <v>117</v>
      </c>
    </row>
    <row r="30" spans="1:2" x14ac:dyDescent="0.25">
      <c r="A30" s="8" t="s">
        <v>833</v>
      </c>
      <c r="B30">
        <v>90</v>
      </c>
    </row>
    <row r="31" spans="1:2" x14ac:dyDescent="0.25">
      <c r="A31" s="8" t="s">
        <v>1111</v>
      </c>
      <c r="B31">
        <v>82</v>
      </c>
    </row>
    <row r="32" spans="1:2" x14ac:dyDescent="0.25">
      <c r="A32" s="8" t="s">
        <v>398</v>
      </c>
      <c r="B32">
        <v>69</v>
      </c>
    </row>
    <row r="33" spans="1:2" x14ac:dyDescent="0.25">
      <c r="A33" s="8" t="s">
        <v>8066</v>
      </c>
      <c r="B33">
        <v>22</v>
      </c>
    </row>
    <row r="34" spans="1:2" x14ac:dyDescent="0.25">
      <c r="A34" s="8" t="s">
        <v>7377</v>
      </c>
      <c r="B34">
        <v>9</v>
      </c>
    </row>
    <row r="35" spans="1:2" x14ac:dyDescent="0.25">
      <c r="A35" s="8" t="s">
        <v>7706</v>
      </c>
      <c r="B35">
        <v>3</v>
      </c>
    </row>
    <row r="36" spans="1:2" x14ac:dyDescent="0.25">
      <c r="A36" s="7" t="s">
        <v>7374</v>
      </c>
    </row>
    <row r="37" spans="1:2" x14ac:dyDescent="0.25">
      <c r="A37" s="8" t="s">
        <v>7374</v>
      </c>
    </row>
    <row r="38" spans="1:2" x14ac:dyDescent="0.25">
      <c r="A38" s="7" t="s">
        <v>7375</v>
      </c>
      <c r="B38">
        <v>2355</v>
      </c>
    </row>
  </sheetData>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9B0-504A-4228-9BBF-F8D77111E35A}">
  <dimension ref="A1:C37"/>
  <sheetViews>
    <sheetView workbookViewId="0">
      <selection activeCell="C10" sqref="C10"/>
    </sheetView>
  </sheetViews>
  <sheetFormatPr baseColWidth="10" defaultRowHeight="15" x14ac:dyDescent="0.25"/>
  <cols>
    <col min="1" max="1" width="9.28515625" customWidth="1"/>
    <col min="2" max="2" width="4.5703125" customWidth="1"/>
    <col min="3" max="3" width="14.7109375" customWidth="1"/>
  </cols>
  <sheetData>
    <row r="1" spans="1:3" x14ac:dyDescent="0.25">
      <c r="A1" s="1" t="s">
        <v>0</v>
      </c>
      <c r="B1" s="1" t="s">
        <v>1</v>
      </c>
      <c r="C1" s="1" t="s">
        <v>2</v>
      </c>
    </row>
    <row r="2" spans="1:3" x14ac:dyDescent="0.25">
      <c r="A2" s="1" t="s">
        <v>2590</v>
      </c>
      <c r="B2" s="1">
        <v>0</v>
      </c>
      <c r="C2" s="1" t="s">
        <v>9235</v>
      </c>
    </row>
    <row r="3" spans="1:3" x14ac:dyDescent="0.25">
      <c r="A3" s="1" t="s">
        <v>12</v>
      </c>
      <c r="B3" s="1">
        <v>1</v>
      </c>
      <c r="C3" s="1" t="s">
        <v>13</v>
      </c>
    </row>
    <row r="4" spans="1:3" x14ac:dyDescent="0.25">
      <c r="A4" s="1" t="s">
        <v>12</v>
      </c>
      <c r="B4" s="1">
        <f>B3+1</f>
        <v>2</v>
      </c>
      <c r="C4" s="1" t="s">
        <v>398</v>
      </c>
    </row>
    <row r="5" spans="1:3" x14ac:dyDescent="0.25">
      <c r="A5" s="1" t="s">
        <v>12</v>
      </c>
      <c r="B5" s="1">
        <f t="shared" ref="B5:B25" si="0">B4+1</f>
        <v>3</v>
      </c>
      <c r="C5" s="1" t="s">
        <v>495</v>
      </c>
    </row>
    <row r="6" spans="1:3" x14ac:dyDescent="0.25">
      <c r="A6" s="1" t="s">
        <v>12</v>
      </c>
      <c r="B6" s="1">
        <f t="shared" si="0"/>
        <v>4</v>
      </c>
      <c r="C6" s="1" t="s">
        <v>833</v>
      </c>
    </row>
    <row r="7" spans="1:3" x14ac:dyDescent="0.25">
      <c r="A7" s="1" t="s">
        <v>12</v>
      </c>
      <c r="B7" s="1">
        <f t="shared" si="0"/>
        <v>5</v>
      </c>
      <c r="C7" s="1" t="s">
        <v>1111</v>
      </c>
    </row>
    <row r="8" spans="1:3" x14ac:dyDescent="0.25">
      <c r="A8" s="1" t="s">
        <v>12</v>
      </c>
      <c r="B8" s="1">
        <f t="shared" si="0"/>
        <v>6</v>
      </c>
      <c r="C8" s="1" t="s">
        <v>8374</v>
      </c>
    </row>
    <row r="9" spans="1:3" x14ac:dyDescent="0.25">
      <c r="A9" s="1" t="s">
        <v>12</v>
      </c>
      <c r="B9" s="1">
        <f t="shared" si="0"/>
        <v>7</v>
      </c>
      <c r="C9" s="9" t="s">
        <v>7377</v>
      </c>
    </row>
    <row r="10" spans="1:3" x14ac:dyDescent="0.25">
      <c r="A10" s="1" t="s">
        <v>12</v>
      </c>
      <c r="B10" s="1">
        <f t="shared" si="0"/>
        <v>8</v>
      </c>
      <c r="C10" s="9" t="s">
        <v>8066</v>
      </c>
    </row>
    <row r="11" spans="1:3" x14ac:dyDescent="0.25">
      <c r="A11" s="1" t="s">
        <v>2590</v>
      </c>
      <c r="B11" s="1">
        <f t="shared" si="0"/>
        <v>9</v>
      </c>
      <c r="C11" s="15" t="s">
        <v>8378</v>
      </c>
    </row>
    <row r="12" spans="1:3" x14ac:dyDescent="0.25">
      <c r="A12" s="1" t="s">
        <v>2590</v>
      </c>
      <c r="B12" s="1">
        <f t="shared" si="0"/>
        <v>10</v>
      </c>
      <c r="C12" s="15" t="s">
        <v>2591</v>
      </c>
    </row>
    <row r="13" spans="1:3" x14ac:dyDescent="0.25">
      <c r="A13" s="1" t="s">
        <v>2590</v>
      </c>
      <c r="B13" s="1">
        <f t="shared" si="0"/>
        <v>11</v>
      </c>
      <c r="C13" s="15" t="s">
        <v>3187</v>
      </c>
    </row>
    <row r="14" spans="1:3" x14ac:dyDescent="0.25">
      <c r="A14" s="1" t="s">
        <v>2590</v>
      </c>
      <c r="B14" s="1">
        <f t="shared" si="0"/>
        <v>12</v>
      </c>
      <c r="C14" s="15" t="s">
        <v>3352</v>
      </c>
    </row>
    <row r="15" spans="1:3" x14ac:dyDescent="0.25">
      <c r="A15" s="1" t="s">
        <v>2590</v>
      </c>
      <c r="B15" s="1">
        <f t="shared" si="0"/>
        <v>13</v>
      </c>
      <c r="C15" s="15" t="s">
        <v>4093</v>
      </c>
    </row>
    <row r="16" spans="1:3" x14ac:dyDescent="0.25">
      <c r="A16" s="1" t="s">
        <v>2590</v>
      </c>
      <c r="B16" s="1">
        <f t="shared" si="0"/>
        <v>14</v>
      </c>
      <c r="C16" s="15" t="s">
        <v>4241</v>
      </c>
    </row>
    <row r="17" spans="1:3" x14ac:dyDescent="0.25">
      <c r="A17" s="1" t="s">
        <v>2590</v>
      </c>
      <c r="B17" s="1">
        <f t="shared" si="0"/>
        <v>15</v>
      </c>
      <c r="C17" s="32" t="s">
        <v>5066</v>
      </c>
    </row>
    <row r="18" spans="1:3" x14ac:dyDescent="0.25">
      <c r="A18" s="1" t="s">
        <v>2590</v>
      </c>
      <c r="B18" s="1">
        <f t="shared" si="0"/>
        <v>16</v>
      </c>
      <c r="C18" s="32" t="s">
        <v>4889</v>
      </c>
    </row>
    <row r="19" spans="1:3" x14ac:dyDescent="0.25">
      <c r="A19" s="1" t="s">
        <v>2590</v>
      </c>
      <c r="B19" s="1">
        <f t="shared" si="0"/>
        <v>17</v>
      </c>
      <c r="C19" s="32" t="s">
        <v>5255</v>
      </c>
    </row>
    <row r="20" spans="1:3" x14ac:dyDescent="0.25">
      <c r="A20" s="1" t="s">
        <v>2590</v>
      </c>
      <c r="B20" s="1">
        <f t="shared" si="0"/>
        <v>18</v>
      </c>
      <c r="C20" s="32" t="s">
        <v>5448</v>
      </c>
    </row>
    <row r="21" spans="1:3" x14ac:dyDescent="0.25">
      <c r="A21" s="1" t="s">
        <v>2590</v>
      </c>
      <c r="B21" s="1">
        <f t="shared" si="0"/>
        <v>19</v>
      </c>
      <c r="C21" s="14" t="s">
        <v>4686</v>
      </c>
    </row>
    <row r="22" spans="1:3" x14ac:dyDescent="0.25">
      <c r="A22" s="1" t="s">
        <v>2590</v>
      </c>
      <c r="B22" s="1">
        <f t="shared" si="0"/>
        <v>20</v>
      </c>
      <c r="C22" s="14" t="s">
        <v>4784</v>
      </c>
    </row>
    <row r="23" spans="1:3" x14ac:dyDescent="0.25">
      <c r="A23" s="1" t="s">
        <v>2590</v>
      </c>
      <c r="B23" s="1">
        <f t="shared" si="0"/>
        <v>21</v>
      </c>
      <c r="C23" s="14" t="s">
        <v>6151</v>
      </c>
    </row>
    <row r="24" spans="1:3" x14ac:dyDescent="0.25">
      <c r="A24" s="1" t="s">
        <v>2590</v>
      </c>
      <c r="B24" s="1">
        <f t="shared" si="0"/>
        <v>22</v>
      </c>
      <c r="C24" s="14" t="s">
        <v>6226</v>
      </c>
    </row>
    <row r="25" spans="1:3" x14ac:dyDescent="0.25">
      <c r="A25" s="1" t="s">
        <v>2590</v>
      </c>
      <c r="B25" s="1">
        <f t="shared" si="0"/>
        <v>23</v>
      </c>
      <c r="C25" s="14" t="s">
        <v>7378</v>
      </c>
    </row>
    <row r="26" spans="1:3" x14ac:dyDescent="0.25">
      <c r="A26" s="1" t="s">
        <v>2590</v>
      </c>
      <c r="B26" s="1">
        <f t="shared" ref="B26:B29" si="1">B25+1</f>
        <v>24</v>
      </c>
      <c r="C26" s="14" t="s">
        <v>8380</v>
      </c>
    </row>
    <row r="27" spans="1:3" x14ac:dyDescent="0.25">
      <c r="A27" s="1" t="s">
        <v>2590</v>
      </c>
      <c r="B27" s="1">
        <f t="shared" si="1"/>
        <v>25</v>
      </c>
      <c r="C27" s="14" t="s">
        <v>9159</v>
      </c>
    </row>
    <row r="28" spans="1:3" x14ac:dyDescent="0.25">
      <c r="A28" s="1" t="s">
        <v>2590</v>
      </c>
      <c r="B28" s="1">
        <f t="shared" si="1"/>
        <v>26</v>
      </c>
      <c r="C28" s="32" t="s">
        <v>7671</v>
      </c>
    </row>
    <row r="29" spans="1:3" x14ac:dyDescent="0.25">
      <c r="A29" s="1" t="s">
        <v>2590</v>
      </c>
      <c r="B29" s="1">
        <f t="shared" si="1"/>
        <v>27</v>
      </c>
      <c r="C29" s="32" t="s">
        <v>7706</v>
      </c>
    </row>
    <row r="30" spans="1:3" x14ac:dyDescent="0.25">
      <c r="A30" s="1" t="s">
        <v>2590</v>
      </c>
      <c r="B30" s="1">
        <f t="shared" ref="B30:B37" si="2">B29+1</f>
        <v>28</v>
      </c>
      <c r="C30" s="16" t="s">
        <v>3882</v>
      </c>
    </row>
    <row r="31" spans="1:3" x14ac:dyDescent="0.25">
      <c r="A31" s="1" t="s">
        <v>2590</v>
      </c>
      <c r="B31" s="1">
        <f t="shared" si="2"/>
        <v>29</v>
      </c>
      <c r="C31" s="16" t="s">
        <v>8383</v>
      </c>
    </row>
    <row r="32" spans="1:3" x14ac:dyDescent="0.25">
      <c r="A32" s="1" t="s">
        <v>2590</v>
      </c>
      <c r="B32" s="1">
        <f t="shared" si="2"/>
        <v>30</v>
      </c>
      <c r="C32" s="16" t="s">
        <v>8384</v>
      </c>
    </row>
    <row r="33" spans="1:3" x14ac:dyDescent="0.25">
      <c r="A33" s="1" t="s">
        <v>2590</v>
      </c>
      <c r="B33" s="1">
        <f t="shared" si="2"/>
        <v>31</v>
      </c>
      <c r="C33" s="16" t="s">
        <v>8385</v>
      </c>
    </row>
    <row r="34" spans="1:3" x14ac:dyDescent="0.25">
      <c r="A34" s="1" t="s">
        <v>2590</v>
      </c>
      <c r="B34" s="1">
        <f t="shared" si="2"/>
        <v>32</v>
      </c>
      <c r="C34" s="16" t="s">
        <v>8386</v>
      </c>
    </row>
    <row r="35" spans="1:3" x14ac:dyDescent="0.25">
      <c r="A35" s="1" t="s">
        <v>2590</v>
      </c>
      <c r="B35" s="1">
        <f t="shared" si="2"/>
        <v>33</v>
      </c>
      <c r="C35" s="16" t="s">
        <v>8491</v>
      </c>
    </row>
    <row r="36" spans="1:3" x14ac:dyDescent="0.25">
      <c r="A36" s="1" t="s">
        <v>2590</v>
      </c>
      <c r="B36" s="1">
        <f t="shared" si="2"/>
        <v>34</v>
      </c>
      <c r="C36" s="16" t="s">
        <v>8387</v>
      </c>
    </row>
    <row r="37" spans="1:3" x14ac:dyDescent="0.25">
      <c r="A37" s="1" t="s">
        <v>2590</v>
      </c>
      <c r="B37" s="1">
        <f t="shared" si="2"/>
        <v>35</v>
      </c>
      <c r="C37" s="16" t="s">
        <v>8490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510D5-69DC-4504-8925-C39DDC2E3487}">
  <dimension ref="A1:F10"/>
  <sheetViews>
    <sheetView workbookViewId="0">
      <selection activeCell="F6" sqref="F6"/>
    </sheetView>
  </sheetViews>
  <sheetFormatPr baseColWidth="10" defaultRowHeight="15" x14ac:dyDescent="0.25"/>
  <cols>
    <col min="1" max="1" width="16.5703125" bestFit="1" customWidth="1"/>
  </cols>
  <sheetData>
    <row r="1" spans="1:6" x14ac:dyDescent="0.25">
      <c r="A1" t="s">
        <v>8990</v>
      </c>
      <c r="B1">
        <v>50</v>
      </c>
      <c r="D1" t="s">
        <v>8998</v>
      </c>
    </row>
    <row r="2" spans="1:6" x14ac:dyDescent="0.25">
      <c r="A2" t="s">
        <v>8991</v>
      </c>
      <c r="B2">
        <v>0.33</v>
      </c>
    </row>
    <row r="4" spans="1:6" x14ac:dyDescent="0.25">
      <c r="A4" t="s">
        <v>8992</v>
      </c>
      <c r="B4">
        <v>45</v>
      </c>
      <c r="C4">
        <v>40</v>
      </c>
      <c r="D4">
        <v>35</v>
      </c>
      <c r="E4">
        <v>30</v>
      </c>
      <c r="F4">
        <v>25</v>
      </c>
    </row>
    <row r="5" spans="1:6" x14ac:dyDescent="0.25">
      <c r="A5" t="s">
        <v>8993</v>
      </c>
      <c r="B5">
        <v>0</v>
      </c>
      <c r="C5">
        <v>0</v>
      </c>
      <c r="D5">
        <v>0</v>
      </c>
      <c r="E5">
        <v>0</v>
      </c>
      <c r="F5">
        <v>0</v>
      </c>
    </row>
    <row r="6" spans="1:6" x14ac:dyDescent="0.25">
      <c r="A6" t="s">
        <v>8994</v>
      </c>
      <c r="B6">
        <f>(B4-(B5*$B$2))/$B$1*10</f>
        <v>9</v>
      </c>
      <c r="C6">
        <f>(C4-(C5*$B$2))/$B$1*10</f>
        <v>8</v>
      </c>
      <c r="D6">
        <f>(D4-(D5*$B$2))/$B$1*10</f>
        <v>7</v>
      </c>
      <c r="E6">
        <f>(E4-(E5*$B$2))/$B$1*10</f>
        <v>6</v>
      </c>
      <c r="F6">
        <f>(F4-(F5*$B$2))/$B$1*10</f>
        <v>5</v>
      </c>
    </row>
    <row r="8" spans="1:6" x14ac:dyDescent="0.25">
      <c r="A8" t="s">
        <v>8995</v>
      </c>
      <c r="B8">
        <f>(5*B2)/B1*10</f>
        <v>0.33</v>
      </c>
    </row>
    <row r="9" spans="1:6" x14ac:dyDescent="0.25">
      <c r="A9" t="s">
        <v>8996</v>
      </c>
      <c r="B9">
        <f>(10*B2)/B1*10</f>
        <v>0.66</v>
      </c>
    </row>
    <row r="10" spans="1:6" x14ac:dyDescent="0.25">
      <c r="A10" t="s">
        <v>8997</v>
      </c>
      <c r="B10">
        <f>(15*B2)/B1*10</f>
        <v>0.99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Conteo</vt:lpstr>
      <vt:lpstr>Temas</vt:lpstr>
      <vt:lpstr>Estrategia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2026-04-15T16:01:13Z</dcterms:modified>
</cp:coreProperties>
</file>